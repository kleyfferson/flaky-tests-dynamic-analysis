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- Table 2" sheetId="1" state="visible" r:id="rId3"/>
    <sheet name="Sheet1" sheetId="2" state="visible" r:id="rId4"/>
  </sheets>
  <definedNames>
    <definedName function="false" hidden="true" localSheetId="0" name="_xlnm._FilterDatabase" vbProcedure="false">'Paper - Table 2'!$A$3:$AR$250</definedName>
    <definedName function="false" hidden="true" localSheetId="0" name="Z_11114CB9_3A83_4B78_AECE_3CF5E26C3FF3_.wvu.FilterData" vbProcedure="false">'Paper - Table 2'!$AR$3:$AR$250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<sst xmlns="http://schemas.openxmlformats.org/spreadsheetml/2006/main" count="634" uniqueCount="593">
  <si>
    <t xml:space="preserve">Project Name</t>
  </si>
  <si>
    <t xml:space="preserve">Dynamic analysis</t>
  </si>
  <si>
    <t xml:space="preserve">No Analise Dinamic</t>
  </si>
  <si>
    <t xml:space="preserve">Code coverage</t>
  </si>
  <si>
    <t xml:space="preserve">Profiling</t>
  </si>
  <si>
    <t xml:space="preserve">Function-level Tracing</t>
  </si>
  <si>
    <t xml:space="preserve">Metrics</t>
  </si>
  <si>
    <t xml:space="preserve">Quantity that had to</t>
  </si>
  <si>
    <t xml:space="preserve">Quantity that had the Percentage of Coverage</t>
  </si>
  <si>
    <t xml:space="preserve">passed</t>
  </si>
  <si>
    <t xml:space="preserve">failed</t>
  </si>
  <si>
    <t xml:space="preserve">Quantity that had the Percentage of Profiling</t>
  </si>
  <si>
    <t xml:space="preserve">passed
ncalls</t>
  </si>
  <si>
    <t xml:space="preserve">failed
ncalls</t>
  </si>
  <si>
    <t xml:space="preserve">passed
cumtime_top20</t>
  </si>
  <si>
    <t xml:space="preserve">failed
cumtime_top20</t>
  </si>
  <si>
    <t xml:space="preserve">Quantity that had the Percentage of Tracing</t>
  </si>
  <si>
    <t xml:space="preserve">passed
Tracing_Size_Bytes (Bytes)</t>
  </si>
  <si>
    <t xml:space="preserve">failed
Tracing_Size_Bytes (Bytes)</t>
  </si>
  <si>
    <t xml:space="preserve">Test Name</t>
  </si>
  <si>
    <t xml:space="preserve">Hash</t>
  </si>
  <si>
    <t xml:space="preserve">#Passed</t>
  </si>
  <si>
    <t xml:space="preserve">#Failed</t>
  </si>
  <si>
    <t xml:space="preserve">Result</t>
  </si>
  <si>
    <t xml:space="preserve">AVG</t>
  </si>
  <si>
    <t xml:space="preserve">SD</t>
  </si>
  <si>
    <t xml:space="preserve">CV</t>
  </si>
  <si>
    <t xml:space="preserve">Groups</t>
  </si>
  <si>
    <t xml:space="preserve">Result Final</t>
  </si>
  <si>
    <t xml:space="preserve">airflow</t>
  </si>
  <si>
    <t xml:space="preserve">test_cli.py::TestLogsfromTaskRunCommand::test_logging_with_run_task_subprocess</t>
  </si>
  <si>
    <t xml:space="preserve">3133846b53e1a2803391ca17f0cf198bd3dda19602accf13567ff41106e9c994</t>
  </si>
  <si>
    <t xml:space="preserve">test_python_sensor.py::PythonSensorTests::test_python_callable_arguments_are_templatized</t>
  </si>
  <si>
    <t xml:space="preserve">e48d4714cab9c53c8d93072b739458862b362deb18906f35f86ba87910b4c82b</t>
  </si>
  <si>
    <t xml:space="preserve">test_python_sensor.py::PythonSensorTests::test_python_callable_keyword_arguments_are_templatized</t>
  </si>
  <si>
    <t xml:space="preserve">b0bd0cae2d72647c8ddc8e244d41680ae0aa27c8e3be56db73777ad39e728bd5</t>
  </si>
  <si>
    <t xml:space="preserve">test_core.py::CliTests::test_cli_connections_add_delete</t>
  </si>
  <si>
    <t xml:space="preserve">3f82253b0e70dccbf314ef4dab9556ad88dd925374f24af4bf450b02a1221d9e</t>
  </si>
  <si>
    <t xml:space="preserve">test_core.py::CliTests::test_cli_connections_list_redirect</t>
  </si>
  <si>
    <t xml:space="preserve">2afaa97935135aa44fc2c22efa62c55793ef453d50fbdaabb952e9cc4be5d896</t>
  </si>
  <si>
    <t xml:space="preserve">test_core.py::CliTests::test_cli_create_user_random_password</t>
  </si>
  <si>
    <t xml:space="preserve">749c609f27cec0ad1e51d855b355ed2bb93dd1768b11408bab36cc4ea982e93e</t>
  </si>
  <si>
    <t xml:space="preserve">test_core.py::CliTests::test_cli_create_user_supplied_password</t>
  </si>
  <si>
    <t xml:space="preserve">107722810b9b7947ac10d83de65d00569336e71a305223bc4df11d8157074d09</t>
  </si>
  <si>
    <t xml:space="preserve">test_core.py::CliTests::test_cli_delete_user</t>
  </si>
  <si>
    <t xml:space="preserve">991e3cdd9c971c6008aacf6a798c9b30af4944aa61ee73f097b7a2ea0cb81328</t>
  </si>
  <si>
    <t xml:space="preserve">test_core.py::CliTests::test_cli_initdb</t>
  </si>
  <si>
    <t xml:space="preserve">b1a49108f25a8cdbf923b09c1954a004f750d45843c976516e70957d1df6bdee</t>
  </si>
  <si>
    <t xml:space="preserve">test_core.py::CliTests::test_cli_list_dag_runs</t>
  </si>
  <si>
    <t xml:space="preserve">09fc759efd4aaa0aa12e22b979eda9ea1fda645a4f6356853e7a2ceddacba099</t>
  </si>
  <si>
    <t xml:space="preserve">test_core.py::CliTests::test_cli_list_dags</t>
  </si>
  <si>
    <t xml:space="preserve">2589ebe27edc745a038bf2e92dcd52b4caf643f2d4d524650d12f56322bb859d</t>
  </si>
  <si>
    <t xml:space="preserve">test_core.py::CliTests::test_cli_list_users</t>
  </si>
  <si>
    <t xml:space="preserve">6fc042d72ba15947d486e77e6570adeb82e8fc889ccb53e7cafb77a3f44d88e9</t>
  </si>
  <si>
    <t xml:space="preserve">test_core.py::CliTests::test_cli_resetdb</t>
  </si>
  <si>
    <t xml:space="preserve">de0d9d40554be20cb9cb469d276bce07acc424f28f79dc396811db750d481895</t>
  </si>
  <si>
    <t xml:space="preserve">test_core.py::CliTests::test_cli_sync_perm</t>
  </si>
  <si>
    <t xml:space="preserve">4a4ed302946186cef2989b617307f844a91044299ce97734c5764c49be6dc8c7</t>
  </si>
  <si>
    <t xml:space="preserve">test_core.py::CliTests::test_cli_test</t>
  </si>
  <si>
    <t xml:space="preserve">f2f7bc715d17f0ac73dfc5c8eb9654eb9d84bac5864bf2aedf86f883ad0e1978</t>
  </si>
  <si>
    <t xml:space="preserve">test_core.py::CliTests::test_cli_test_with_params</t>
  </si>
  <si>
    <t xml:space="preserve">a9429ba880b6078f5f69336cdb45edb27a418d74088903e0b7ae9b88ff735b4a</t>
  </si>
  <si>
    <t xml:space="preserve">test_core.py::CliTests::test_dag_state</t>
  </si>
  <si>
    <t xml:space="preserve">a39df14f2d73a1ad238bee9fb12b569eb86b2e20bb01187d58e8e29c40bc8279</t>
  </si>
  <si>
    <t xml:space="preserve">test_core.py::CliTests::test_delete_dag</t>
  </si>
  <si>
    <t xml:space="preserve">84e596e7a3ff540f026c858c9ac8b74ce4b1fe5163890a749107b728f85cedad</t>
  </si>
  <si>
    <t xml:space="preserve">test_core.py::CliTests::test_delete_dag_existing_file</t>
  </si>
  <si>
    <t xml:space="preserve">92207fa15ee93d200029629333fdf1b8838549fa8c8e2df91ed99043bc1e8d94</t>
  </si>
  <si>
    <t xml:space="preserve">test_core.py::CliTests::test_parentdag_downstream_clear</t>
  </si>
  <si>
    <t xml:space="preserve">e4da7545d58e1e524ba47a34673c93b81d0d61405a1c2ebaa53e8ceb581c3f29</t>
  </si>
  <si>
    <t xml:space="preserve">test_core.py::CliTests::test_pool_create</t>
  </si>
  <si>
    <t xml:space="preserve">731ae8324417879da4667237e970ff2e733604f9d37eb71d0c5b46f324fbd77b</t>
  </si>
  <si>
    <t xml:space="preserve">test_core.py::CliTests::test_pool_delete</t>
  </si>
  <si>
    <t xml:space="preserve">aad6d767ee6839c4fc7a8acd07d46f42952a895ece1bbed0d7dcde7ffaa5db8c</t>
  </si>
  <si>
    <t xml:space="preserve">test_core.py::CliTests::test_pool_no_args</t>
  </si>
  <si>
    <t xml:space="preserve">535dcb4b1a6bb2959b62e3129b6d217332f7a32bfc4d899404f20b5e95f37ac0</t>
  </si>
  <si>
    <t xml:space="preserve">test_core.py::CliTests::test_task_state</t>
  </si>
  <si>
    <t xml:space="preserve">523c64e594ec3d7a10375bc7b09432da8eea136812899349bbdf014a4d53f87c</t>
  </si>
  <si>
    <t xml:space="preserve">test_core.py::CliTests::test_trigger_dag</t>
  </si>
  <si>
    <t xml:space="preserve">caad1e023cf084f875bc52f8c862974a390e13167be38366056303312cc9fe95</t>
  </si>
  <si>
    <t xml:space="preserve">test_core.py::ConnectionTest::test_dbapi_get_sqlalchemy_engine</t>
  </si>
  <si>
    <t xml:space="preserve">875921e860c05b50f306a342fb5b693d722b3e311d039a76a69552e6fd6fccb6</t>
  </si>
  <si>
    <t xml:space="preserve">test_core.py::ConnectionTest::test_using_env_var</t>
  </si>
  <si>
    <t xml:space="preserve">07f624e4f3a2eb4ef152c026be2bd7e9a47fa80a45395236b10c6d482b59bc0d</t>
  </si>
  <si>
    <t xml:space="preserve">test_core.py::CoreTest::test_bash_operator_kill</t>
  </si>
  <si>
    <t xml:space="preserve">4dfd3ad92be83a5c28067a4f5a8f67f15fcaed09247c4353255ab0fd4b981ed1</t>
  </si>
  <si>
    <t xml:space="preserve">test_core.py::CoreTest::test_terminate_task</t>
  </si>
  <si>
    <t xml:space="preserve">6d886928727ff820b5ee82f8dfd53c2ff96cd9eb66cdff61bd22e7678a4f4939</t>
  </si>
  <si>
    <t xml:space="preserve">test_core.py::PasswordUserTest::test_password_authenticate_session</t>
  </si>
  <si>
    <t xml:space="preserve">57219c3fdb118a4819656cd8142e4a66c657019c16374a687a8c10b258dce93c</t>
  </si>
  <si>
    <t xml:space="preserve">test_kubernetes_executor.py::TestKubernetesExecutor::test_change_state_failed</t>
  </si>
  <si>
    <t xml:space="preserve">ab469d3e7e9f832d96b9209f5d2b1e2cafc88886d466a8fc8f2fa87ad24a48ac</t>
  </si>
  <si>
    <t xml:space="preserve">test_kubernetes_executor.py::TestKubernetesExecutor::test_change_state_running</t>
  </si>
  <si>
    <t xml:space="preserve">bc49ef40613d76eaa18e3e01fb50c1c0fab8dcd76c58cbac2a515e108ff4b003</t>
  </si>
  <si>
    <t xml:space="preserve">test_druid_hook.py::TestDruidHook::test_submit_ok</t>
  </si>
  <si>
    <t xml:space="preserve">0280d0f0b2941be380efa3bbaee5abaaf515ce2c1b8b0739434b93c4e7e150e2</t>
  </si>
  <si>
    <t xml:space="preserve">test_druid_hook.py::TestDruidHook::test_submit_timeout</t>
  </si>
  <si>
    <t xml:space="preserve">49c9720b497468986026735b129b8bf7c889afe217dc0ebc1d501868e07913bf</t>
  </si>
  <si>
    <t xml:space="preserve">test_druid_hook.py::TestDruidHook::test_submit_unknown_response</t>
  </si>
  <si>
    <t xml:space="preserve">3fd7458666cad4e21b23bc709fbb22acc82183b9318775e4b338dfe695da08d2</t>
  </si>
  <si>
    <t xml:space="preserve">test_s3_hook.py::TestS3Hook::test_check_for_bucket_raises_error_with_invalid_conn_id</t>
  </si>
  <si>
    <t xml:space="preserve">100a0abc3abd455dff7e84375ba73ef8f639f364c09d83bacee5b2d165da43354</t>
  </si>
  <si>
    <t xml:space="preserve">test_s3_hook.py::TestS3Hook::test_copy_object_acl</t>
  </si>
  <si>
    <t xml:space="preserve">7dc4e18e346b956ee1067052c02e4dee708d019677ea47dfd3a8831a36ad3021</t>
  </si>
  <si>
    <t xml:space="preserve">test_s3_hook.py::TestS3Hook::test_load_string_acl</t>
  </si>
  <si>
    <t xml:space="preserve">0971e58ca4080965cfe5bc7edba525d605f1003f09c08f5dbb8f35de7341cfbbd</t>
  </si>
  <si>
    <t xml:space="preserve">test_local_task_job.py::TestLocalTaskJob::test_heartbeat_failed_fast</t>
  </si>
  <si>
    <t xml:space="preserve">2fd2a025eae7fa4ab4c920b8ab7d10e91c4ae27836a14b0b58340cbbea6dac34</t>
  </si>
  <si>
    <t xml:space="preserve">test_local_task_job.py::TestLocalTaskJob::test_mark_failure_on_failure_callback</t>
  </si>
  <si>
    <t xml:space="preserve">bd4695055a1c6a109b04a44cca4f8d49285c3fc18beccbb0ae985afff031da8a</t>
  </si>
  <si>
    <t xml:space="preserve">test_scheduler_job.py::SchedulerJobTest::test_add_unparseable_file_after_sched_start_creates_import_error</t>
  </si>
  <si>
    <t xml:space="preserve">0078d6e05352c78618915e71fca1ebb88d2eb8a430691b700bfa674b13b4a9f6</t>
  </si>
  <si>
    <t xml:space="preserve">test_scheduler_job.py::SchedulerJobTest::test_add_unparseable_file_before_sched_start_creates_import_error</t>
  </si>
  <si>
    <t xml:space="preserve">a90590c89e56332484fdf592b316debf5adf1902e121f2acf5c0d918d75483b9</t>
  </si>
  <si>
    <t xml:space="preserve">test_scheduler_job.py::SchedulerJobTest::test_new_import_error_replaces_old</t>
  </si>
  <si>
    <t xml:space="preserve">b52ced0886fdb47d61d7dbeac0f0e6371a392df3b4760b7c702940ba9d453232</t>
  </si>
  <si>
    <t xml:space="preserve">test_scheduler_job.py::SchedulerJobTest::test_remove_error_clears_import_error</t>
  </si>
  <si>
    <t xml:space="preserve">1820ae176be90fa5a10237477dbf2a59ce1823880d080f127515319692f1b2fe</t>
  </si>
  <si>
    <t xml:space="preserve">test_scheduler_job.py::SchedulerJobTest::test_remove_file_clears_import_error</t>
  </si>
  <si>
    <t xml:space="preserve">7c4b731df2d4fa6d24cb12b955aaa36c0421ea0d4b318a190a63ad3bfcf9de77</t>
  </si>
  <si>
    <t xml:space="preserve">test_scheduler_job.py::SchedulerJobTest::test_scheduler_executor_overflow</t>
  </si>
  <si>
    <t xml:space="preserve">ba52bf82ba36ba05c8123dd82a62accee0e4609c6e7024aadac3aacfdaec88e3</t>
  </si>
  <si>
    <t xml:space="preserve">test_scheduler_job.py::SchedulerJobTest::test_scheduler_reschedule</t>
  </si>
  <si>
    <t xml:space="preserve">7534f64f45695e42ba365542c524c124ffc9bb40dd1623b8fa4ea188946bb2e0</t>
  </si>
  <si>
    <t xml:space="preserve">test_scheduler_job.py::SchedulerJobTest::test_scheduler_run_duration</t>
  </si>
  <si>
    <t xml:space="preserve">72c7f8e390b377c42cfd1b096983494099e86a8643e1b71d94015e4e3f0d3659</t>
  </si>
  <si>
    <t xml:space="preserve">test_taskinstance.py::TaskInstanceTest::test_retry_delay</t>
  </si>
  <si>
    <t xml:space="preserve">7dd2589cf32d64a084e1baf03459df1f435ea7b75648e8f3cc4f8783c9f42e71</t>
  </si>
  <si>
    <t xml:space="preserve">test_python_operator.py::BranchOperatorTest::test_branch_list_without_dag_run</t>
  </si>
  <si>
    <t xml:space="preserve">2d5dc14676d4aa3379b3def6994f96ea3b8627857a183f1aebedc855aa75b3da</t>
  </si>
  <si>
    <t xml:space="preserve">test_python_operator.py::BranchOperatorTest::test_clear_skipped_downstream_task</t>
  </si>
  <si>
    <t xml:space="preserve">69246fda0862fe97b007625bb8a922c61e84e980e8d4ff69a67314799c98c434</t>
  </si>
  <si>
    <t xml:space="preserve">test_python_operator.py::BranchOperatorTest::test_with_dag_run</t>
  </si>
  <si>
    <t xml:space="preserve">a72355b9821de81e6531e7f3b59a3aac343ffa96183c1f2de4fd2bb2c4c9691e</t>
  </si>
  <si>
    <t xml:space="preserve">test_python_operator.py::BranchOperatorTest::test_with_skip_in_branch_downstream_dependencies</t>
  </si>
  <si>
    <t xml:space="preserve">12d2320502956dd100b892dbd328db3910065b6eb102100f515044db64bed7dbb1</t>
  </si>
  <si>
    <t xml:space="preserve">test_python_operator.py::BranchOperatorTest::test_with_skip_in_branch_downstream_dependencies2</t>
  </si>
  <si>
    <t xml:space="preserve">f85e6ea1b13acdcd9189e7d16c1a147606fbfcd97e519e5ad9b270f217d5924b</t>
  </si>
  <si>
    <t xml:space="preserve">test_python_operator.py::BranchOperatorTest::test_without_dag_run</t>
  </si>
  <si>
    <t xml:space="preserve">800ef67b9a0e617aacaa03ec4589398ebc538d1ce396be3219fa828142b273c1</t>
  </si>
  <si>
    <t xml:space="preserve">test_python_operator.py::ShortCircuitOperatorTest::test_clear_skipped_downstream_task</t>
  </si>
  <si>
    <t xml:space="preserve">d9d5bfc089d558d954e883f9424629fcab1283128e615b0f1f92c9af6b6d8998</t>
  </si>
  <si>
    <t xml:space="preserve">test_python_operator.py::ShortCircuitOperatorTest::test_with_dag_run</t>
  </si>
  <si>
    <t xml:space="preserve">22b0ba9b16ca765ff046c8799be4151ccec645b0f8a2a6bc46d8c8929ec00783</t>
  </si>
  <si>
    <t xml:space="preserve">test_python_operator.py::ShortCircuitOperatorTest::test_without_dag_run</t>
  </si>
  <si>
    <t xml:space="preserve">5bfb7e1a99fe496550980bf08774d313595f4c2b6d697f4af5e0c9e65105b041</t>
  </si>
  <si>
    <t xml:space="preserve">test_python_operator.py::TestPythonOperator::test_echo_env_variables</t>
  </si>
  <si>
    <t xml:space="preserve">65431601529d396f19171a69b198938c80fd5627835657286024c7db25b94d91</t>
  </si>
  <si>
    <t xml:space="preserve">test_python_operator.py::TestPythonOperator::test_python_callable_arguments_are_templatized</t>
  </si>
  <si>
    <t xml:space="preserve">a492ea42b0b8fe3e77ce9ad493f245700bd0070ecf341c390d9616b1001479563</t>
  </si>
  <si>
    <t xml:space="preserve">test_python_operator.py::TestPythonOperator::test_python_callable_keyword_arguments_are_templatized</t>
  </si>
  <si>
    <t xml:space="preserve">f4be65a5d3f992b584010c31d90fb94b63c3aabb283b4b4be0a28f4f763e467e</t>
  </si>
  <si>
    <t xml:space="preserve">test_python_operator.py::TestPythonOperator::test_python_operator_python_callable_is_callable</t>
  </si>
  <si>
    <t xml:space="preserve">98345eef61d55c3a1285387868c5c379d3ef1fb66fd325fc257dc802900314e6</t>
  </si>
  <si>
    <t xml:space="preserve">test_python_operator.py::TestPythonOperator::test_python_operator_run</t>
  </si>
  <si>
    <t xml:space="preserve">b4d4cd16da5d96a567648422e25a042bb0d5d0dd07943beeb36fd2369461c9ad</t>
  </si>
  <si>
    <t xml:space="preserve">test_python_operator.py::TestPythonOperator::test_python_operator_shallow_copy_attr</t>
  </si>
  <si>
    <t xml:space="preserve">9c4ab430235c1c52c290ff1838a22e30a7057f9062d237b94e0b489bc0cda63d</t>
  </si>
  <si>
    <t xml:space="preserve">test_http_sensor.py::HttpSensorTests::test_logging_head_error_reques</t>
  </si>
  <si>
    <t xml:space="preserve">ba845e9b5351dd79f0dce3c4eabd7679688512070b69a2cbbd3f4070e4c7258b</t>
  </si>
  <si>
    <t xml:space="preserve">test_standard_task_runner.py::TestStandardTaskRunner::test_on_kill</t>
  </si>
  <si>
    <t xml:space="preserve">d80662c3a2473e5f7c66bbd09e3ffd00ab02000e2f6a9ced7478c9104418ea6d</t>
  </si>
  <si>
    <t xml:space="preserve">Flexget</t>
  </si>
  <si>
    <t xml:space="preserve">test_urlrewriting.py::TestURLRewriters::test_rutracker</t>
  </si>
  <si>
    <t xml:space="preserve">bf956bc08bd3aee28d0c366c1f568ea1355263fd4339d3a531f4f59824e2406f</t>
  </si>
  <si>
    <t xml:space="preserve">fonttools</t>
  </si>
  <si>
    <t xml:space="preserve">loggingTools_test.py::TimerTest::test_split</t>
  </si>
  <si>
    <t xml:space="preserve">6babdfcdf562e71258476a84f191376da1c22158f0bf100b6b30d0396af4950f6</t>
  </si>
  <si>
    <t xml:space="preserve">hypothesis</t>
  </si>
  <si>
    <t xml:space="preserve">test_randoms.py::test_range_with_arbitrary_step_is_in_range</t>
  </si>
  <si>
    <t xml:space="preserve">0417ebb09f5b1eeef8b18e106e892e5e0fc2fbf5c89e22e1c38a83b0eae1f35b</t>
  </si>
  <si>
    <t xml:space="preserve">test_integer_ranges.py::interval::test_bounded_integers_distribution_of_bit_width_issue_1387_regression</t>
  </si>
  <si>
    <t xml:space="preserve">5c22a28fa2f457da7444615a839b7835c570736d55100c813f9de20331e462ddd</t>
  </si>
  <si>
    <t xml:space="preserve">test_regex.py::test_conservative_regex_are_correct_by_construction</t>
  </si>
  <si>
    <t xml:space="preserve">a3a4d8e976c13fdb89546c1501f7294190ddd287fbe50cf43839a47b52100dc5e</t>
  </si>
  <si>
    <t xml:space="preserve">test_strategy_state.py::TestHypothesis::runTest</t>
  </si>
  <si>
    <t xml:space="preserve">0cc0c9158debde080353372e0278c57e8fd3c0bfe237d2a47a8372399e45378b</t>
  </si>
  <si>
    <t xml:space="preserve">test_gen_data.py::test_minimize_mutually_broadcastable_shape</t>
  </si>
  <si>
    <t xml:space="preserve">96876840de43594dd6a4762fdbc6170651b2198a543fe673a98bff371737adb5</t>
  </si>
  <si>
    <t xml:space="preserve">ipython</t>
  </si>
  <si>
    <t xml:space="preserve">test_debugger.py::test_xmode_skip</t>
  </si>
  <si>
    <t xml:space="preserve">ace88d046e3dfb541d3944aab99333f2818015ccbd36c4bb5a85efe79738c2d1</t>
  </si>
  <si>
    <t xml:space="preserve">test_debug_magic.py::test_debug_magic_passes_through_generators</t>
  </si>
  <si>
    <t xml:space="preserve">53d3bf3b180dcbc0109fc6144338b00fa44055f4d48abcba9df120dc3f7b5816</t>
  </si>
  <si>
    <t xml:space="preserve">test_embed.py::test_nest_embed</t>
  </si>
  <si>
    <t xml:space="preserve">78d01067a30a7030dc694eb0e57cb693d6bce786b7aac2c4b881b2779d162839</t>
  </si>
  <si>
    <t xml:space="preserve">test_tools.py::Test_ipexec_validate::test_exception_path</t>
  </si>
  <si>
    <t xml:space="preserve">1bcdcdf8c4966c59c7cdb45fc04dc7e4037a419d77a553731af4e74bf6e1ba96</t>
  </si>
  <si>
    <t xml:space="preserve">test_tools.py::Test_ipexec_validate::test_exception_path2</t>
  </si>
  <si>
    <t xml:space="preserve">1659861a3498fc2e10b2324f18640f86bf527a98cd127669621b253fa83e9d85</t>
  </si>
  <si>
    <t xml:space="preserve">test_process.py::SubProcessTestCase::test_system_interrupt</t>
  </si>
  <si>
    <t xml:space="preserve">e85b75d06b6f4e95e423212c79d2942dca50689d139485a10ced18d9c8a59bbc</t>
  </si>
  <si>
    <t xml:space="preserve">kombu</t>
  </si>
  <si>
    <t xml:space="preserve">test_azureservicebus.py::test_delete_empty_queue</t>
  </si>
  <si>
    <t xml:space="preserve">0b710ba75d4aa5789e407b84939e9798c22c658e460ab58d9f6a8f2843ead8fb</t>
  </si>
  <si>
    <t xml:space="preserve">test_azureservicebus.py::test_delete_populated_queue</t>
  </si>
  <si>
    <t xml:space="preserve">41ee925abaf565a56217597b6d3dc44c2ec27d6f2b893b28775f3fd9f3b4778f</t>
  </si>
  <si>
    <t xml:space="preserve">libcloud</t>
  </si>
  <si>
    <t xml:space="preserve">test_base.py::BaseTestCase::test_export_zone_to_bind_format_success</t>
  </si>
  <si>
    <t xml:space="preserve">79df501b085281469b6da1c9af2830c6164e24cd0079dd3a90ad6aad64c92f06</t>
  </si>
  <si>
    <t xml:space="preserve">test_http.py::HttpLayerTestCase::test_prepared_request_empty_body_chunked_encoding_not_used</t>
  </si>
  <si>
    <t xml:space="preserve">f3f438112880210c855ee4d45b4c7b2a86ecb60e4713232e8b1055288c07bfea</t>
  </si>
  <si>
    <t xml:space="preserve">test_http.py::HttpLayerTestCase::test_prepared_request_with_body</t>
  </si>
  <si>
    <t xml:space="preserve">59104de3690a252279da7f3d2b48dc6744d793e5127741244d71189a06f50876</t>
  </si>
  <si>
    <t xml:space="preserve">loguru</t>
  </si>
  <si>
    <t xml:space="preserve">test_add_option_catch.py::test_broken_sink_caught_keep_working[True]</t>
  </si>
  <si>
    <t xml:space="preserve">bf4d0c37aee759dd64b9c0d3018d5fb221df482f58c462eb1e2b10370e12dcc6</t>
  </si>
  <si>
    <t xml:space="preserve">test_filesink_rotation.py::test_time_rotation_reopening_native[False]</t>
  </si>
  <si>
    <t xml:space="preserve">55e90c8f53a38e6f4834d8ba2c944487c146208cc11c2eea54eafadc2ab6f423</t>
  </si>
  <si>
    <t xml:space="preserve">test_filesink_rotation.py::test_time_rotation_reopening_native[True]</t>
  </si>
  <si>
    <t xml:space="preserve">14544c476b91d737409b58a68ab5eda9bb4e9967d891b7d90eb816996f22b24b</t>
  </si>
  <si>
    <t xml:space="preserve">test_multiprocessing.py::test_no_deadlock_if_internal_lock_in_use[False-False]</t>
  </si>
  <si>
    <t xml:space="preserve">f8caed36324e870c6fd07425c7e541ed7968d62e4c3c76c317261f74dd173bab</t>
  </si>
  <si>
    <t xml:space="preserve">prefect</t>
  </si>
  <si>
    <t xml:space="preserve">test_agent.py::test_catch_errors_in_heartbeat_thread</t>
  </si>
  <si>
    <t xml:space="preserve">6d046ee678eb7785ea8a0b25c8e1d809d20561f5595f3251b5eaa25a7c4e7872</t>
  </si>
  <si>
    <t xml:space="preserve">test_execution.py::TestWaitForFlowRunStartTime::test_flow_and_task_run_are_scheduled_in_the_future</t>
  </si>
  <si>
    <t xml:space="preserve">73134e99c76df53eaa5cbf67602755866f9b6c1604d13a6bea2fe950c8765769</t>
  </si>
  <si>
    <t xml:space="preserve">test_execution.py::TestWaitForFlowRunStartTime::test_flow_run_is_ready_immediately</t>
  </si>
  <si>
    <t xml:space="preserve">18115f264b2883ecb78d61f395707712dda1d1f0eb93542b590c5c43db8b790d</t>
  </si>
  <si>
    <t xml:space="preserve">test_execution.py::TestWaitForFlowRunStartTime::test_flow_run_is_scheduled_in_the_future</t>
  </si>
  <si>
    <t xml:space="preserve">bf1e6ebec66183ababa169c87e39387b119bda6ccc25a2ef7f844fdab7c69745</t>
  </si>
  <si>
    <t xml:space="preserve">test_execution.py::TestWaitForFlowRunStartTime::test_flow_run_is_scheduled_in_the_past</t>
  </si>
  <si>
    <t xml:space="preserve">75695a325bebece524b5ce64b8d715f2a3818b5ccfcb23de3830a89919fd2920</t>
  </si>
  <si>
    <t xml:space="preserve">test_execution.py::TestWaitForFlowRunStartTime::test_task_run_is_scheduled_in_the_future</t>
  </si>
  <si>
    <t xml:space="preserve">6fd8af04419e3bebceba59f46651201a4a2735a998bcec0aa5620cd391f2dcde</t>
  </si>
  <si>
    <t xml:space="preserve">test_execution.py::TestWaitForFlowRunStartTime::test_task_run_is_scheduled_in_the_past</t>
  </si>
  <si>
    <t xml:space="preserve">7955b3d9f4ffd4d847d195988ddb0bb87938e4fd26721b00125902a3f3d5297f</t>
  </si>
  <si>
    <t xml:space="preserve">test_build_register.py::TestWatchForChanges::test_watch_paths</t>
  </si>
  <si>
    <t xml:space="preserve">243dbd57868f79318e7a6c6ed481643dfcf62d2c98a2e3965e6c84e733f65fd7</t>
  </si>
  <si>
    <t xml:space="preserve">test_flow.py::test_timeout_actually_stops_execution[mproc]</t>
  </si>
  <si>
    <t xml:space="preserve">fb9a72cab9b650d094a21cf31e995307e98345b69c8716ae1c76c9abaa303bb7</t>
  </si>
  <si>
    <t xml:space="preserve">test_flow.py::test_timeout_actually_stops_execution[mthread]</t>
  </si>
  <si>
    <t xml:space="preserve">147cc7a0bbec7b703e568dd2bcabef5646ff4671b8ea76050864869c6563bc08</t>
  </si>
  <si>
    <t xml:space="preserve">test_flow.py::test_timeout_actually_stops_execution[threaded_local]</t>
  </si>
  <si>
    <t xml:space="preserve">0ca5f0f6abc5ebc39e6310fdfb65999d42e0a5a7b3a19643dbfbbd6deb1ba3e3</t>
  </si>
  <si>
    <t xml:space="preserve">test_flow.py::TestFlowRunMethod::test_flow_dot_run_handles_mapped_cached_states_across_runs</t>
  </si>
  <si>
    <t xml:space="preserve">30ecf20511ff2bc4d937ee2793857534b13a351323baddebeaff8d11084f81c1</t>
  </si>
  <si>
    <t xml:space="preserve">test_cloud_flow_runner.py::TestCloudFlowRunnerCancellation::test_cancelling_mid_flow_run_exits_early</t>
  </si>
  <si>
    <t xml:space="preserve">d36916a3a983f3ab6253abc4ff22f817f01d9b6fd4b55378c9ab291900a90905</t>
  </si>
  <si>
    <t xml:space="preserve">test_task_runner.py::TestCheckScheduledStep::test_scheduled_states_with_future_start_time[state0]</t>
  </si>
  <si>
    <t xml:space="preserve">aa9e4c51003c374694b814d80c1103457ba3e1fef2d6e521c92bb1a8113fa0ea</t>
  </si>
  <si>
    <t xml:space="preserve">test_task_runner.py::TestCheckScheduledStep::test_scheduled_states_with_future_start_time[state1]</t>
  </si>
  <si>
    <t xml:space="preserve">364da3d6597bae8be1fbdaac12e332127767db73d67acc3aad165be1713befdc</t>
  </si>
  <si>
    <t xml:space="preserve">test_task_runner.py::TestCheckScheduledStep::test_scheduled_states_with_future_start_time[state2]</t>
  </si>
  <si>
    <t xml:space="preserve">e9a0b15dddcfd3ff4e5c5f80b290d0d1fb672692d399ee8d35ec65d9c70f5d2f</t>
  </si>
  <si>
    <t xml:space="preserve">test_executors.py::TestDaskExecutor::test_executor_logs_worker_events</t>
  </si>
  <si>
    <t xml:space="preserve">9da737cb82a7071c59eaf6cca50b1c7eea73a1b12a68cd195f198f2979554230</t>
  </si>
  <si>
    <t xml:space="preserve">test_executors.py::TestDaskExecutor::test_exit_early_with_external_or_inproc_cluster_waits_for_pending_futures[external]</t>
  </si>
  <si>
    <t xml:space="preserve">c3682981045a0999952d3759822879a04f940e26c1a04925e81b9a43e81737f0</t>
  </si>
  <si>
    <t xml:space="preserve">test_executors.py::TestDaskExecutor::test_exit_early_with_external_or_inproc_cluster_waits_for_pending_futures[inproc]</t>
  </si>
  <si>
    <t xml:space="preserve">1dd44fe57d6a0a6cb1158d6af3ca6fd5fd3e65aaaa17168c1824c6c80d20b9e0</t>
  </si>
  <si>
    <t xml:space="preserve">test_executors.py::TestDaskExecutor::test_temporary_cluster_forcefully_cancels_pending_tasks</t>
  </si>
  <si>
    <t xml:space="preserve">f2fbd421a5781cf36969347cd4bee29ae78443f2f4f42b332edf0118708649ed</t>
  </si>
  <si>
    <t xml:space="preserve">test_executors.py::TestLocalDaskExecutor::test_interrupt_stops_running_tasks_quickly[threads]</t>
  </si>
  <si>
    <t xml:space="preserve">a46f6d0293a2faf7187c69f9764af19f18b5bc7c260d6851c031217e2d392ccb</t>
  </si>
  <si>
    <t xml:space="preserve">test_executors.py::test_timeout_handler_actually_stops_execution[run_with_multiprocess_timeout]</t>
  </si>
  <si>
    <t xml:space="preserve">3f5fb8a80c82e0677f07d3b5dfef2a5d05e652c08ec93c4a0b58a4cf9d03359c</t>
  </si>
  <si>
    <t xml:space="preserve">test_executors.py::test_timeout_handler_passes_args_and_kwargs_and_returns[run_with_multiprocess_timeout]</t>
  </si>
  <si>
    <t xml:space="preserve">30f961e587abc2d7ff19ce3fe15ea9b29882acf6340a5fb234b1044ea1681c29</t>
  </si>
  <si>
    <t xml:space="preserve">test_logging.py::test_log_manager_batches_logs</t>
  </si>
  <si>
    <t xml:space="preserve">75552c29234f1efa66f789ee1b4df0a5038ebc8d44367cbe8cd87668e7c22767</t>
  </si>
  <si>
    <t xml:space="preserve">test_logging.py::test_log_manager_warns_and_retries_on_client_error</t>
  </si>
  <si>
    <t xml:space="preserve">244db120e1444e8f420ba887e3b70aee50bb38d2da39f81f47a60210eedcd15a</t>
  </si>
  <si>
    <t xml:space="preserve">requests</t>
  </si>
  <si>
    <t xml:space="preserve">test_requests.py::TestTimeout::test_connect_timeout[timeout0]</t>
  </si>
  <si>
    <t xml:space="preserve">204f7a52c5e1f7936caebc304bfffac4c899c6fc966fc1edb621fef176d2047d</t>
  </si>
  <si>
    <t xml:space="preserve">test_requests.py::TestTimeout::test_connect_timeout[timeout1]</t>
  </si>
  <si>
    <t xml:space="preserve">ae18cef93de83e91f8864052895ae2dd1b0f044229fa79f3f8b65464c11cd9b8</t>
  </si>
  <si>
    <t xml:space="preserve">test_requests.py::TestTimeout::test_total_timeout_connect[timeout0]</t>
  </si>
  <si>
    <t xml:space="preserve">357fc7ae24e35797ada1f83f3c80fb613e3079027be99451109979f52863172b</t>
  </si>
  <si>
    <t xml:space="preserve">test_requests.py::TestTimeout::test_total_timeout_connect[timeout1]</t>
  </si>
  <si>
    <t xml:space="preserve">b7d508410ded8f662f6123502905570ca7638ec3e2a4606887a7df4595cd3b8e</t>
  </si>
  <si>
    <t xml:space="preserve">test_testserver.py::TestTestServer::test_multiple_requests</t>
  </si>
  <si>
    <t xml:space="preserve">9c5a48a58315938948a6e7591b9971e81e8b068f895bef28557bfd56dcbad2ae</t>
  </si>
  <si>
    <t xml:space="preserve">seaborn</t>
  </si>
  <si>
    <t xml:space="preserve">test_utils.py::test_load_cached_datasets</t>
  </si>
  <si>
    <t xml:space="preserve">ffdf9a2f0b2c015695c99f356476add76a2943e0f921c6535040c2357db46ad3</t>
  </si>
  <si>
    <t xml:space="preserve">setuptools</t>
  </si>
  <si>
    <t xml:space="preserve">test_virtualenv.py::test_pip_upgrade_from_source[https://github.com/pypa/pip/archive/main.zip]</t>
  </si>
  <si>
    <t xml:space="preserve">7d59048e340acc9c03abea7ff15500f0a6031beef172a1ab27fac1aa7c95cf57</t>
  </si>
  <si>
    <t xml:space="preserve">urllib3</t>
  </si>
  <si>
    <t xml:space="preserve">test_connectionpool.py::TestConnectionPoolTimeouts::test_timeout_float</t>
  </si>
  <si>
    <t xml:space="preserve">609a80e944e559fdc6fe2203f45ad884eefe884d3f80bde5e5341ad362f3bfb7</t>
  </si>
  <si>
    <t xml:space="preserve">test_poolmanager.py::TestPoolManager::test_cross_host_redirect</t>
  </si>
  <si>
    <t xml:space="preserve">d2a9b7aef6d17db462e15adbc2a7e4448574e9c3d2f36e86a48fd8311815e279</t>
  </si>
  <si>
    <t xml:space="preserve">test_proxy_poolmanager.py::TestHTTPProxyManager::test_https_proxy_pool_timeout</t>
  </si>
  <si>
    <t xml:space="preserve">1cb4588447bfe4cdded04e446745199cf67c7ea2ea1cc7f61725e4ed18a26e4d</t>
  </si>
  <si>
    <t xml:space="preserve">test_socketlevel.py::TestHEAD::test_chunked_head_response_does_not_hang</t>
  </si>
  <si>
    <t xml:space="preserve">15c712f0139a52f97c101422e0e3df2875a7769129b8f164beff7691ddd4ef66</t>
  </si>
  <si>
    <t xml:space="preserve">test_socketlevel.py::TestHEAD::test_empty_head_response_does_not_hang</t>
  </si>
  <si>
    <t xml:space="preserve">f937d73bb12208e48c5e5a1ac581e4c962dd2c174e33dfae98bbb3041177b9d1</t>
  </si>
  <si>
    <t xml:space="preserve">test_socketlevel.py::TestSocketClosing::test_closing_response_actually_closes_connection</t>
  </si>
  <si>
    <t xml:space="preserve">c79ff88cb428418eb871488e60dae446c9bd9f462d3101ece4d572da3c36e3ab</t>
  </si>
  <si>
    <t xml:space="preserve">test_socketlevel.py::TestSocketClosing::test_connection_cleanup_on_read_timeout</t>
  </si>
  <si>
    <t xml:space="preserve">f5c097d3946bfac543a4dfaa77bae2337e87148544524de74723763ea63f8814</t>
  </si>
  <si>
    <t xml:space="preserve">test_socketlevel.py::TestSocketClosing::test_connection_closed_on_read_timeout_preload_false</t>
  </si>
  <si>
    <t xml:space="preserve">5979c382f309311a88995ffe05b2c833881712d0320e685a86b4df87528c92dd</t>
  </si>
  <si>
    <t xml:space="preserve">test_socketlevel.py::TestSocketClosing::test_delayed_body_read_timeout</t>
  </si>
  <si>
    <t xml:space="preserve">231aca9d4f74e0fa030e445febce4c23e910675c7b4f3b1023f26f969b90489e</t>
  </si>
  <si>
    <t xml:space="preserve">test_socketlevel.py::TestSocketClosing::test_release_conn_param_is_respected_after_timeout_retry</t>
  </si>
  <si>
    <t xml:space="preserve">eec32fbd4d20d4e0b8a6496029313f6a04be21a1e10ef83558cd4f92278647c1</t>
  </si>
  <si>
    <t xml:space="preserve">test_socketlevel.py::TestSocketClosing::test_timeout_errors_cause_retries</t>
  </si>
  <si>
    <t xml:space="preserve">b8f81d9839b2ef5de2e70c449e0243633ed892583ad3a04a69fed16f2d16293c</t>
  </si>
  <si>
    <t xml:space="preserve">test_socketlevel.py::TestSSL::test_ssl_custom_validation_failure_terminates</t>
  </si>
  <si>
    <t xml:space="preserve">598e1bc2154c17d183324c9cbe0b71d6d0b22f4a92acadf4a4b0eea4fcc3f125</t>
  </si>
  <si>
    <t xml:space="preserve">test_socketlevel.py::TestSSL::test_ssl_failed_fingerprint_verification</t>
  </si>
  <si>
    <t xml:space="preserve">a59d3be7c1517018c41a311ccac523a2b9d8f644d30aa3e7e35385f26bdf0f35</t>
  </si>
  <si>
    <t xml:space="preserve">test_socketlevel.py::TestSSL::test_ssl_read_timeout</t>
  </si>
  <si>
    <t xml:space="preserve">2164d691f8db2916a505693925eee867dc8b0044f35e71f27ab13c67dea60cda</t>
  </si>
  <si>
    <t xml:space="preserve">test_socketlevel.py::TestStream::test_stream_none_unchunked_response_does_not_hang</t>
  </si>
  <si>
    <t xml:space="preserve">3437c66e4899844c7efc9bec506c220032d49b016b1a17575fab97d65cbedc7d</t>
  </si>
  <si>
    <t xml:space="preserve">xonsh</t>
  </si>
  <si>
    <t xml:space="preserve">test_specs.py::test_capture_always[False-False]</t>
  </si>
  <si>
    <t xml:space="preserve">d7611dba35326ef2ece390e7934925200778d1bb9713786b1aa08c3a3ebb9e3e</t>
  </si>
  <si>
    <t xml:space="preserve">test_specs.py::test_capture_always[False-True]</t>
  </si>
  <si>
    <t xml:space="preserve">83a059853b011b111e743167c54ecc881f617ccc215c3bf095a903948ead38ab</t>
  </si>
  <si>
    <t xml:space="preserve">test_imphooks.py::test_absolute_import</t>
  </si>
  <si>
    <t xml:space="preserve">709f1ad115a49c3a946585f8b1ec90d81d89a2da430e5e84d321bdb03e7a49f7</t>
  </si>
  <si>
    <t xml:space="preserve">test_imphooks.py::test_import</t>
  </si>
  <si>
    <t xml:space="preserve">cebe4579b52301472056c7744319c37d18af698be4030286d4881a847bc75154</t>
  </si>
  <si>
    <t xml:space="preserve">test_imphooks.py::test_relative_import</t>
  </si>
  <si>
    <t xml:space="preserve">9dc992c59b0c67f107a758e5b3989c0b1d3e315bec6bd2f51b0658f9f5d2f2a7</t>
  </si>
  <si>
    <t xml:space="preserve">test_imphooks.py::test_sub_import</t>
  </si>
  <si>
    <t xml:space="preserve">2673eb7d745272e542e12d548b987a2fe8229a5844d5799b9c8ef35501c8a3d5</t>
  </si>
  <si>
    <t xml:space="preserve">test_integrations.py::test_script[case11]</t>
  </si>
  <si>
    <t xml:space="preserve">f6fa64349e0916ba20cfb04c1a5a09143b7c731cbf84f94252ae53d43d5502f2</t>
  </si>
  <si>
    <t xml:space="preserve">test_integrations.py::test_script[case19]</t>
  </si>
  <si>
    <t xml:space="preserve">8bff088a6edf72e8741083aaa626ba3603bd40ab3c6e740eee82f588be02b4ca</t>
  </si>
  <si>
    <t xml:space="preserve">test_shell.py::test_shell_with_json_history</t>
  </si>
  <si>
    <t xml:space="preserve">990dd1b2e267502d21c6cbff0a42d9cf8bb544e87607840c2e0454240e5b8f5c</t>
  </si>
  <si>
    <t xml:space="preserve">Verifone</t>
  </si>
  <si>
    <t xml:space="preserve">Verifone/tests/test_verifone.py::TestVerifone::test_023_get_endpoint</t>
  </si>
  <si>
    <t xml:space="preserve">319b5cf61ecc09398b3b520a29783ec1c1bd143cbe2d7e5ff3d4388781c8883c</t>
  </si>
  <si>
    <t xml:space="preserve">amphipathic</t>
  </si>
  <si>
    <t xml:space="preserve">amphipathic/tests/test_secondary_structure.py::test_secondary_structure::test_jpred_1</t>
  </si>
  <si>
    <t xml:space="preserve">cb8cc6291c5effcf542698bb8ba8f6d2b457511116a77df2c1f2ff2344e01887</t>
  </si>
  <si>
    <t xml:space="preserve">analytic_shrinkage</t>
  </si>
  <si>
    <t xml:space="preserve">analytic_shrinkage/nonlinshrink/test/test_analytic_shrinkage.py::test_analytic_shrinkage::test_demean</t>
  </si>
  <si>
    <t xml:space="preserve">0da8268c3b53b13a5dd6adc7b3fdc8ad287ffb77ef82886340d4f3bd671a292e</t>
  </si>
  <si>
    <t xml:space="preserve">analytic_shrinkage/nonlinshrink/test/test_analytic_shrinkage.py::test_analytic_shrinkage::test_ols</t>
  </si>
  <si>
    <t xml:space="preserve">9f8f1c6282caf9fec02c8fab9ed7037316e80bbaef387edca5704a6efd18bb7c</t>
  </si>
  <si>
    <t xml:space="preserve">cuckoopy</t>
  </si>
  <si>
    <t xml:space="preserve">cuckoopy/tests/test_cuckoofilter.py::test_cuckoofilter::test_insert_filter_full</t>
  </si>
  <si>
    <t xml:space="preserve">4879dec8c0566e6a7bfbea7d91bc3b13422ff962bcacbf912a9c55b31bd3096f</t>
  </si>
  <si>
    <t xml:space="preserve">darkchess</t>
  </si>
  <si>
    <t xml:space="preserve">darkchess/darkchess/tests/test_bishop/test_bishop.py::test_bishop::test_bishop_moves</t>
  </si>
  <si>
    <t xml:space="preserve">62474fa83ec091824652b6a27f0eb033350099c56292e73b24bc0110f384c12f</t>
  </si>
  <si>
    <t xml:space="preserve">darkchess/darkchess/tests/test_knight/test_knight.py::test_knight::test_knight_moves</t>
  </si>
  <si>
    <t xml:space="preserve">44361ef1f3d3fd75b4f8afeb07c0828c74b64da28c5409dc2e3cde06f8db5756</t>
  </si>
  <si>
    <t xml:space="preserve">data-partitioner</t>
  </si>
  <si>
    <t xml:space="preserve">data-partitioner/tests/data_suplier_test.py::DataSuplierTest::test_training_percent</t>
  </si>
  <si>
    <t xml:space="preserve">403b7135d23e2920bfd38050481a1897405afe157879f287213cc5701e2f112c</t>
  </si>
  <si>
    <t xml:space="preserve">dockerfile_bakery</t>
  </si>
  <si>
    <t xml:space="preserve">dockerfile_bakery/tests/test_generate_case02.py::test_generate_case02::test_generate_should_generate_dockerfiles</t>
  </si>
  <si>
    <t xml:space="preserve">5f7382301ae49fb7cc4cd2a9f8886542fb830f1a60b39eedb37bf478fef61d16</t>
  </si>
  <si>
    <t xml:space="preserve">dockerfile_bakery/tests/test_generate_case02.py::test_generate_case02::test_should_build_script_contains_right_statement</t>
  </si>
  <si>
    <t xml:space="preserve">7ad86e3b627a043f9b2d7caed6facbf45faf7174931028fab44981924d19984d</t>
  </si>
  <si>
    <t xml:space="preserve">dockerfile_bakery/tests/test_generate_case02.py::test_generate_case02::test_should_pull_script_contains_right_statement</t>
  </si>
  <si>
    <t xml:space="preserve">141dfb3a82d099da95a93ade667dc2623c21859272b9bcddf16ac64215ebc318</t>
  </si>
  <si>
    <t xml:space="preserve">fistro</t>
  </si>
  <si>
    <t xml:space="preserve">fistro/tests/test_fistro.py::test_fistro::test_simple</t>
  </si>
  <si>
    <t xml:space="preserve">c30143ff3a28a821e2624cafbc67a6047dbd444372994530388a9014d2020e64</t>
  </si>
  <si>
    <t xml:space="preserve">supportdata</t>
  </si>
  <si>
    <t xml:space="preserve">forkliftpy/tests/test_supportdata.py::test_supportdata::test_download_WOA</t>
  </si>
  <si>
    <t xml:space="preserve">e5c7cca4c203e52b9c5663e093ef4f1b7673e70f120ce3d0116e79db46c88f43</t>
  </si>
  <si>
    <t xml:space="preserve">fossor</t>
  </si>
  <si>
    <t xml:space="preserve">fossor/test/test_check_similar_log_errors.py::test_check_similar_log_errors::test_max_unique_lines</t>
  </si>
  <si>
    <t xml:space="preserve">185b740a4ed40e67b3c028d56bbd9b424df3a7686832b91da0aeaf8c3eed36e7</t>
  </si>
  <si>
    <t xml:space="preserve">ftpsync</t>
  </si>
  <si>
    <t xml:space="preserve">ftpsync/test_ftpsmartsync.py::TestsFtpsmartsync::test_ftpupstream</t>
  </si>
  <si>
    <t xml:space="preserve">ae31d32b6fcf1b9ec1130894b9b08bb0771c83ee28b1d95cd61418915ddb9066</t>
  </si>
  <si>
    <t xml:space="preserve">gamble_git</t>
  </si>
  <si>
    <t xml:space="preserve">gamble.git/tests/models/test_cards.py::test_cards::test_deck_init</t>
  </si>
  <si>
    <t xml:space="preserve">895cfb965fe75f39ec882a0893ea554e0f19c2346182ad1f24921a2c63bdcee7</t>
  </si>
  <si>
    <t xml:space="preserve">hotwing-core</t>
  </si>
  <si>
    <t xml:space="preserve">hotwing-core/tests/test_profile.py::TestProfile::test_load_dat_file</t>
  </si>
  <si>
    <t xml:space="preserve">ffa436be71833b9272089c282cc13466257fa9e85dd3b57386db997c0b4b4af1</t>
  </si>
  <si>
    <t xml:space="preserve">jinja2-github</t>
  </si>
  <si>
    <t xml:space="preserve">jinja2-github/test_jinja2_github.py::test_jinja2_github::test_github_repo_branch_sha</t>
  </si>
  <si>
    <t xml:space="preserve">d59f6cfb3ee3c806d4daee0f60ade016b89c5d56bd462ac50bcad862434c8d95</t>
  </si>
  <si>
    <t xml:space="preserve">jinja2-github/test_jinja2_github.py::test_jinja2_github::test_github_repo_description</t>
  </si>
  <si>
    <t xml:space="preserve">429362862ee56876a60f8628f57097b25bce2487d9adc6e4c6b054c95512d6bf</t>
  </si>
  <si>
    <t xml:space="preserve">kb_python</t>
  </si>
  <si>
    <t xml:space="preserve">kb_python/tests/test_utils.py::TestUtils::test_run_executable_with_stream</t>
  </si>
  <si>
    <t xml:space="preserve">fcb9f9e51c27c7a33e0a3f688146eb132eae4c9e12959f0e45b1ac6cbfaf73a5</t>
  </si>
  <si>
    <t xml:space="preserve">keplertools</t>
  </si>
  <si>
    <t xml:space="preserve">keplertools/tests/test_keplertools.py::TestKeplerTools::test_orbElem2vec_1body</t>
  </si>
  <si>
    <t xml:space="preserve">a32c0b2d98be0109c204deacd31b9f53055495c482df86b8ab4f22f50d4af78d</t>
  </si>
  <si>
    <t xml:space="preserve">keplertools/tests/test_keplertools.py::TestKeplerTools::test_orbElem2vec_Nbody</t>
  </si>
  <si>
    <t xml:space="preserve">bd6fd7532c399bc1cf2546d514fc2ad31df8972cfb88fc87e08819028a9369c8</t>
  </si>
  <si>
    <t xml:space="preserve">keplertools/tests/test_keplertools.py::TestKeplerTools::test_trueanom</t>
  </si>
  <si>
    <t xml:space="preserve">65ecfad8a8728546e346f82f6b1a4657925a824723f558505d1514630dbb63b4</t>
  </si>
  <si>
    <t xml:space="preserve">kevinarpe-rambutan3</t>
  </si>
  <si>
    <t xml:space="preserve">kevinarpe-rambutan3/tests/check_args/base/test_RNotNoneTypeMatcher.py::test_RNotNoneTypeMatcher::test_check_arg</t>
  </si>
  <si>
    <t xml:space="preserve">7329f84725ebd20b10b04fc438267cb2f4c6e4554f603d2a0f630144e4d276ce</t>
  </si>
  <si>
    <t xml:space="preserve">kindle-maker</t>
  </si>
  <si>
    <t xml:space="preserve">kindle-maker/tests/test_ebook.py::test_ebook::test_ebook_save</t>
  </si>
  <si>
    <t xml:space="preserve">1cde4f7f56f191fe9e24b87afa866de5bfe982dd961f92879f7a8c4476d7047f</t>
  </si>
  <si>
    <t xml:space="preserve">langsplit</t>
  </si>
  <si>
    <t xml:space="preserve">langsplit/tests/test_split.py::test_split::test_partial_autodetect</t>
  </si>
  <si>
    <t xml:space="preserve">8d36fd632dd7b2dfed2ba5fc25710ea780950bcdfa05fe0b2fcf22b82cb515c6</t>
  </si>
  <si>
    <t xml:space="preserve">layouts</t>
  </si>
  <si>
    <t xml:space="preserve">layouts/tests/test_cache.py::test_cache::test_local_cache</t>
  </si>
  <si>
    <t xml:space="preserve">7f88fddfb96934e34605ac9568dd1e743f78a05bea19c2d641f358a9516e4edc</t>
  </si>
  <si>
    <t xml:space="preserve">levitate</t>
  </si>
  <si>
    <t xml:space="preserve">levitate/tests/test_optimization.py::test_optimization::test_jacobian_accuracy[Pressure-kwargs28-True-1]</t>
  </si>
  <si>
    <t xml:space="preserve">512dac82160efcb4195d5752d5d35b9570994d398d0a6190af13bcaad6a31f03</t>
  </si>
  <si>
    <t xml:space="preserve">levitate/tests/test_optimization.py::test_optimization::test_jacobian_accuracy[SphericalHarmonicsExpansion-kwargs67-True-weight67]</t>
  </si>
  <si>
    <t xml:space="preserve">7a74d000ce707a414d0f2393a31a9e4f2808d5d047c23f252eac221aded108ed</t>
  </si>
  <si>
    <t xml:space="preserve">levitate/tests/test_optimization.py::test_optimization::test_jacobian_accuracy[SphericalHarmonicsExpansion-kwargs68-True-weight68]</t>
  </si>
  <si>
    <t xml:space="preserve">478f7e4f3023496a82bceb99e4552053fd4626ed54e3a350e55e30471a4ef14a</t>
  </si>
  <si>
    <t xml:space="preserve">levitate/tests/test_optimization.py::test_optimization::test_jacobian_accuracy[SphericalHarmonicsExpansionGradient-kwargs69-True-weight69]</t>
  </si>
  <si>
    <t xml:space="preserve">7289c09cd8a1d5cedb3322c70f66074fc16daf5bb839023aa579b9e52c788bd4</t>
  </si>
  <si>
    <t xml:space="preserve">levitate/tests/test_optimization.py::test_optimization::test_jacobian_accuracy[SphericalHarmonicsExpansionGradient-kwargs70-True-weight70]</t>
  </si>
  <si>
    <t xml:space="preserve">479119a31e67a8fd97de8d5b6b25ff2bf522af2fbfd7c02641afcfc47840483b</t>
  </si>
  <si>
    <t xml:space="preserve">nnweaver</t>
  </si>
  <si>
    <t xml:space="preserve">nnweaver/test/optimizers_test.py::optimizers_test::test_sgd_circles</t>
  </si>
  <si>
    <t xml:space="preserve">ae2b5f805543b815d1e5ad469c4411431a0ee868bfc2f65c37819692edf91bc3</t>
  </si>
  <si>
    <t xml:space="preserve">override</t>
  </si>
  <si>
    <t xml:space="preserve">override/tests/test_example.py::TestFunctionalExample::test_example</t>
  </si>
  <si>
    <t xml:space="preserve">3a697739191c3b8a554f354f44088d3cd581fdf0921be753e4ed3f495bf3fdce</t>
  </si>
  <si>
    <t xml:space="preserve">packeteer</t>
  </si>
  <si>
    <t xml:space="preserve">packeteer/tests/field_string_test.py::field_string_test::test_dynamic_string</t>
  </si>
  <si>
    <t xml:space="preserve">3be8c2f577f2ab65112ae09dc986fa263f3e877b0ddad87b8fd5073d9638d73e</t>
  </si>
  <si>
    <t xml:space="preserve">packeteer/tests/field_string_test.py::field_string_test::test_static_string</t>
  </si>
  <si>
    <t xml:space="preserve">08d3b4fbc7327d51e9f9fa65d47e9bb8a2a9a2240ed2260dda42a8adedb7db98</t>
  </si>
  <si>
    <t xml:space="preserve">packeteer/tests/field_string_test.py::field_string_test::test_variable_string</t>
  </si>
  <si>
    <t xml:space="preserve">29716c845274e343267f551af14d7b0b155750c4e1a62bd9bff17b292a8c0e7a</t>
  </si>
  <si>
    <t xml:space="preserve">piripherals</t>
  </si>
  <si>
    <t xml:space="preserve">piripherals/tests/test_mpr121.py::test_mpr121::test_mpr121_irq</t>
  </si>
  <si>
    <t xml:space="preserve">e9f6792cee9f718f860a152fffe2c9267066394be9edd69b3641dbb3ae1e94af</t>
  </si>
  <si>
    <t xml:space="preserve">pybnn</t>
  </si>
  <si>
    <t xml:space="preserve">pybnn/test/test_bohamiann.py::TestBohamiann::test_gradient_mean</t>
  </si>
  <si>
    <t xml:space="preserve">e3da508b120e6b8c1a1673c3ed3342dd53092a6d7cb9526c5c86f8df8b34542d</t>
  </si>
  <si>
    <t xml:space="preserve">pybnn/test/test_bohamiann.py::TestBohamiann::test_gradient_variance</t>
  </si>
  <si>
    <t xml:space="preserve">a97feb8f83a96568728dca40222a86ede1882d1aa09934b3e1982b429c299bd4</t>
  </si>
  <si>
    <t xml:space="preserve">pylabeledrf</t>
  </si>
  <si>
    <t xml:space="preserve">pylabeledrf/test/test_computeLRF.py::UtilTest::test_computeLRF1</t>
  </si>
  <si>
    <t xml:space="preserve">9a619ed7b4128d6177eb9d2a1937043bf157c5e5761449dbf0335105f44e3cf4</t>
  </si>
  <si>
    <t xml:space="preserve">pylabeledrf/test/test_computeLRF.py::UtilTest::test_computeLRF2</t>
  </si>
  <si>
    <t xml:space="preserve">69fc6d40c77f556d7c8e76657df258bfee712f7359716c965c6217cb3d07417e</t>
  </si>
  <si>
    <t xml:space="preserve">pymannkendall</t>
  </si>
  <si>
    <t xml:space="preserve">pymannkendall/tests/test_pymannkendall.py::test_pymannkendall::test_hamed_rao_modification_test</t>
  </si>
  <si>
    <t xml:space="preserve">3ab9a1562a5671f552f087737dd512a99509d4b9e2e2d26e58e18e3a2a9a55e6</t>
  </si>
  <si>
    <t xml:space="preserve">pymemorydb</t>
  </si>
  <si>
    <t xml:space="preserve">pymemorydb/test_textanalysis.py::TestApp::test_get_tokenized_data_two_indices</t>
  </si>
  <si>
    <t xml:space="preserve">e0501626d5f20961a45c437c2ffc3d7775c30a7b0b53808ce7b4882f6a6b4b09</t>
  </si>
  <si>
    <t xml:space="preserve">pypfm</t>
  </si>
  <si>
    <t xml:space="preserve">pypfm/tests/test_pfm.py::test_pfm::test_save_and_load_with_compression</t>
  </si>
  <si>
    <t xml:space="preserve">c855843fe7c48feed026546ea8ff2a57df21de9cf7f787b2c6639cef5ff5e52e</t>
  </si>
  <si>
    <t xml:space="preserve">pysshutil</t>
  </si>
  <si>
    <t xml:space="preserve">pysshutil/tests/test_server.py::test_server::test_server_close_cache</t>
  </si>
  <si>
    <t xml:space="preserve">ef8c12526d464e33c730e5f4c6907770922b4a47284fce21d6507a8a961603cf</t>
  </si>
  <si>
    <t xml:space="preserve">pysshutil/tests/test_server.py::test_server::test_server_close_no_cache</t>
  </si>
  <si>
    <t xml:space="preserve">60680a65a1c9b3257a091a93d1d50b5ead602624bc124e82912cdd6a4b2ba902</t>
  </si>
  <si>
    <t xml:space="preserve">python-matlab-functions</t>
  </si>
  <si>
    <t xml:space="preserve">python-matlab-functions/tests/test_subind.py::Test::test_ind2sub</t>
  </si>
  <si>
    <t xml:space="preserve">73437858396107515f482a7c801f0f850291a0a2a599f2e16538527e200ea212</t>
  </si>
  <si>
    <t xml:space="preserve">python-matlab-functions/tests/test_subind.py::Test::test_sub2ind</t>
  </si>
  <si>
    <t xml:space="preserve">f4a3114acf5131ae03c93af5379444fee5294539d680f4ee101a075d441f4c22</t>
  </si>
  <si>
    <t xml:space="preserve">python-timemarker</t>
  </si>
  <si>
    <t xml:space="preserve">python-timemarker/tests/test_timer.py::TestPctgTimer::test_twotag_pctg</t>
  </si>
  <si>
    <t xml:space="preserve">0412b06fda0433b6fbf42765a0e692e43c5018e082c446055669b19da2b18d02</t>
  </si>
  <si>
    <t xml:space="preserve">r_map</t>
  </si>
  <si>
    <t xml:space="preserve">r_map/tests/test_data_structure.py::test_data_structure::test_bit_reg_linkage</t>
  </si>
  <si>
    <t xml:space="preserve">33a3c4aa652cc44547d177dcee7b46588ca72edccfa53cb1994cc6a4c61a59a0</t>
  </si>
  <si>
    <t xml:space="preserve">rs3clans_py</t>
  </si>
  <si>
    <t xml:space="preserve">rs3clans_py/tests/test_players.py::test_players::test_attribute_types</t>
  </si>
  <si>
    <t xml:space="preserve">d9a8a3ec291679bc3b13c470bd532ebf83fd4a456e596006e9f46013c8fa2621</t>
  </si>
  <si>
    <t xml:space="preserve">rs3clans_py/tests/test_players.py::test_players::test_player_clan</t>
  </si>
  <si>
    <t xml:space="preserve">50df41e0130bbc397739819646f6c28a52e00bd049c6a5d8336d9f258be8e22c</t>
  </si>
  <si>
    <t xml:space="preserve">rs3clans_py/tests/test_players.py::test_players::test_player_exists</t>
  </si>
  <si>
    <t xml:space="preserve">fd2a46a09ba8a4e5af4fd1e116898f284adde1ae4b80e97d5278a36db2ca2646</t>
  </si>
  <si>
    <t xml:space="preserve">rs3clans_py/tests/test_players.py::test_players::test_player_exp</t>
  </si>
  <si>
    <t xml:space="preserve">b6bfc077f8e89f579d2c2247ca957726b32376f9fa99389483496449aafbab61</t>
  </si>
  <si>
    <t xml:space="preserve">rs3clans_py/tests/test_players.py::test_players::test_player_name</t>
  </si>
  <si>
    <t xml:space="preserve">e9c1dc3d0123a1176aa7470db41dbc86166b55809153e2d6eb3277f79b48cb85</t>
  </si>
  <si>
    <t xml:space="preserve">rs3clans_py/tests/test_players.py::test_players::test_skill_exp[0-0]</t>
  </si>
  <si>
    <t xml:space="preserve">37e768c62db2ac915fc030cbcb665707806fb53d5c24e23b470d1a184bf84680</t>
  </si>
  <si>
    <t xml:space="preserve">rs3clans_py/tests/test_players.py::test_players::test_skill_exp[13-0]</t>
  </si>
  <si>
    <t xml:space="preserve">07bbd593d6478cd3c45ca0e6e7377ef5631cffd91202d233c4a3f63db7aa88b2</t>
  </si>
  <si>
    <t xml:space="preserve">rs3clans_py/tests/test_players.py::test_players::test_skill_exp[26-0]</t>
  </si>
  <si>
    <t xml:space="preserve">b0208d28552a466b492555e2694fbbf35a756a1fcaa250bedc55226738c87526</t>
  </si>
  <si>
    <t xml:space="preserve">rs3clans_py/tests/test_players.py::test_players::test_skill_exp[3-1154]</t>
  </si>
  <si>
    <t xml:space="preserve">aeee9e2408bbb549fe896dccc76ef33bfc67674bee7a5d18c34c32dbeb6d5bf7</t>
  </si>
  <si>
    <t xml:space="preserve">rs3clans_py/tests/test_players.py::test_players::test_skill_exp[8-100]</t>
  </si>
  <si>
    <t xml:space="preserve">daac8d57c3cec9754f113579f16f41f992179429c6c6ca09d1c0236903fc8f42</t>
  </si>
  <si>
    <t xml:space="preserve">rs3clans_pytests/test_players.py::test_players::test_skill_exp[CoNsTiTutioN-1154]</t>
  </si>
  <si>
    <t xml:space="preserve">1294aa8f2c38f895157dcd2be11a266929ba87754104a8d79aa9cbe3417d1689</t>
  </si>
  <si>
    <t xml:space="preserve">rs3clans_py/tests/test_players.py::test_players::test_skill_exp[WoOdcuttIng-100]</t>
  </si>
  <si>
    <t xml:space="preserve">02b71de5ea624c87e384fd794af3ff36eddf079b8d71230c710488000a773c71</t>
  </si>
  <si>
    <t xml:space="preserve">rs3clans_py/tests/test_players.py::test_players::test_skill_exp[aTTacK-0]</t>
  </si>
  <si>
    <t xml:space="preserve">5e63a228a8d3b30cc5e7b5fbe9517b4ca32591468598f8b646b6ac9ef64eeb25</t>
  </si>
  <si>
    <t xml:space="preserve">rs3clans_py/tests/test_players.py::test_players::test_skill_exp[attack-0]</t>
  </si>
  <si>
    <t xml:space="preserve">771ee887fef50fa6824cc44d4d43855fa0bcace37ae9139a72185c924fb50fe7</t>
  </si>
  <si>
    <t xml:space="preserve">rs3clans_py/tests/test_players.py::test_players::test_skill_exp[constitution-1154]</t>
  </si>
  <si>
    <t xml:space="preserve">431cbf8e2c6cc7a1c66f0b184ba268c398d9e18565a0b807e4dd62a051a86abb</t>
  </si>
  <si>
    <t xml:space="preserve">rs3clans_py/tests/test_players.py::test_players::test_skill_exp[woodcutting-100]</t>
  </si>
  <si>
    <t xml:space="preserve">303988ac53fe4f637a7237a79c42a40e598b13a57ee39b71683bc1ed418c5beb</t>
  </si>
  <si>
    <t xml:space="preserve">rs3clans_py/tests/test_players.py::test_players::test_skill_level[0-1]</t>
  </si>
  <si>
    <t xml:space="preserve">2cbcbf7f125a671e6908247cbf27b9d9f83eacc634b13e6cf4b9398f5779072e</t>
  </si>
  <si>
    <t xml:space="preserve">rs3clans_py/tests/test_players.py::test_players::test_skill_level[13-1]</t>
  </si>
  <si>
    <t xml:space="preserve">7422fe183a1b681d5ca950a400a2ccae991debe46b76c7883bb02edb556b69ad</t>
  </si>
  <si>
    <t xml:space="preserve">rs3clans_py/tests/test_players.py::test_players::test_skill_level[26-1]</t>
  </si>
  <si>
    <t xml:space="preserve">17ba81f490496b0b23c371b4658c95e276f74abe72526f860e3d010d77a7d983</t>
  </si>
  <si>
    <t xml:space="preserve">rs3clans_py/tests/test_players.py::test_players::test_skill_level[3-10]</t>
  </si>
  <si>
    <t xml:space="preserve">9ae4b910bb43c88d1e17a5fc97b8a1ac6755b349d44ef9ab175602658ddd4c3a</t>
  </si>
  <si>
    <t xml:space="preserve">rs3clans_py/tests/test_players.py::test_players::test_skill_level[8-2]</t>
  </si>
  <si>
    <t xml:space="preserve">4af981c493ef1caaa1429bc9b1bd61aa66d81c00595e5d2a200380bd46791092</t>
  </si>
  <si>
    <t xml:space="preserve">rs3clans_py/tests/test_players.py::test_players::test_skill_level[ConstItuTion-10]</t>
  </si>
  <si>
    <t xml:space="preserve">d0fef17ecfa02e6ea96d2bab23619632e8647bef44b9604aa0cf688cc3efe009</t>
  </si>
  <si>
    <t xml:space="preserve">rs3clans_py/tests/test_players.py::test_players::test_skill_level[atTaCk-1]</t>
  </si>
  <si>
    <t xml:space="preserve">a17a5c989528aa5d05f025fac5fc97504471b7befffe76f59065e0019a30626f</t>
  </si>
  <si>
    <t xml:space="preserve">rs3clans_py/tests/test_players.py::test_players::test_skill_level[attack-1]</t>
  </si>
  <si>
    <t xml:space="preserve">d7cce8bf9de63349434fe5b6c9eb6db05f25b4161aade331716ffe66a0c7e163</t>
  </si>
  <si>
    <t xml:space="preserve">rs3clans_py/tests/test_players.py::test_players::test_skill_level[constitution-10]</t>
  </si>
  <si>
    <t xml:space="preserve">69e3c29850fb24c315886bbb7225b14a75e79fd0e07b1132c54fffa2fe54a6b3</t>
  </si>
  <si>
    <t xml:space="preserve">rs3clans_pytests/test_players.py::test_players::test_skill_level[wOoDcutTing-2]</t>
  </si>
  <si>
    <t xml:space="preserve">39bf522a36f92cddb61d11801d963f1357cb0d1c6d948114483759cbdbb5aeb3</t>
  </si>
  <si>
    <t xml:space="preserve">rs3clans_py/tests/test_players.py::test_players::test_skill_level[woodcutting-2]</t>
  </si>
  <si>
    <t xml:space="preserve">027027831c8194441ed62082c262d6a4b6981519873cf6eed3be228cad686449</t>
  </si>
  <si>
    <t xml:space="preserve">rs3clans_py/tests/test_players.py::test_players::test_status_codes</t>
  </si>
  <si>
    <t xml:space="preserve">0a614820643d925e3fd19f0c4c04b03d501d7a4489d3535c8bdb44ccae227265</t>
  </si>
  <si>
    <t xml:space="preserve">service-manager</t>
  </si>
  <si>
    <t xml:space="preserve">service-manager/test/unit/test_smdownload.py::TestSmDownload::test_reporthook10percent</t>
  </si>
  <si>
    <t xml:space="preserve">19e1915dd460e09c86473740f13dc171dba49f8600ba61469d8b3627a55e7c8e</t>
  </si>
  <si>
    <t xml:space="preserve">service-manager/test/unit/test_smdownload.py::TestSmDownload::test_reporthook20percent</t>
  </si>
  <si>
    <t xml:space="preserve">f9f5ddbba67756cd800a3099b47b158cb8bf40a5d2d9c24f263d0201003dd13c</t>
  </si>
  <si>
    <t xml:space="preserve">setigen</t>
  </si>
  <si>
    <t xml:space="preserve">setigen/tests/test_noise_generation.py::test_noise_generation::test_hres_chi2</t>
  </si>
  <si>
    <t xml:space="preserve">be1452af91ed09ad5aa28fc90459575e3e9faccb74b0ef003de5347a8478afee</t>
  </si>
  <si>
    <t xml:space="preserve">setigen/tests/test_noise_generation.py::test_noise_generation::test_very_hres_chi2</t>
  </si>
  <si>
    <t xml:space="preserve">5d3a23931589bc7586f42737c8e9e2b578ac16e960295ebebfee9ec007afd075</t>
  </si>
  <si>
    <t xml:space="preserve">spreading_dye_sampler</t>
  </si>
  <si>
    <t xml:space="preserve">spreading_dye_sampler/spreading_dye_sampler/test/test_dye_blot.py::test_dye_blot::test_for_each_cell</t>
  </si>
  <si>
    <t xml:space="preserve">58daae1cc8ff7d357e9cee8fd90cf16974642c6dfc54b7e56a45637fa9fc47ba</t>
  </si>
  <si>
    <t xml:space="preserve">torch-embed-sim</t>
  </si>
  <si>
    <t xml:space="preserve">torch-embed-sim/tests/test_embedding_sim.py::TestEmbeddingSim::test_sample</t>
  </si>
  <si>
    <t xml:space="preserve">eb9a86c4e1f92f75e51f570ba1c5eae7dbcdfbf9d2cc91edf7904212b9230b9b</t>
  </si>
  <si>
    <t xml:space="preserve">torch-layer-normalization</t>
  </si>
  <si>
    <t xml:space="preserve">torch-layer-normalization/tests/test_layer_normalization.py::TestLayerNormalization::test_fit</t>
  </si>
  <si>
    <t xml:space="preserve">8ce1165147624d81fb92d8115a0fee7e9be6b65da640c7d1a2e08cb3aca012fc</t>
  </si>
  <si>
    <t xml:space="preserve">uhashring</t>
  </si>
  <si>
    <t xml:space="preserve">uhashring/tests/test_distribution.py::test_distribution::test_distribution</t>
  </si>
  <si>
    <t xml:space="preserve">77d57dbdb839a676420f59beae8eca64daedd79aaa4754a83bd43f646f959abd</t>
  </si>
  <si>
    <t xml:space="preserve">pyss3</t>
  </si>
  <si>
    <t xml:space="preserve">pyss3/tests/test_server.py::test_server::test_main</t>
  </si>
  <si>
    <t xml:space="preserve">e5b160ce42e6b6f13b1b9fbfe66b5c3a483be76ddefdc19339cb800b94af5688</t>
  </si>
  <si>
    <t xml:space="preserve">wiki-futures</t>
  </si>
  <si>
    <t xml:space="preserve">wiki-futures/tests/test_dispatcher.py::test_dispatcher::test_content_size</t>
  </si>
  <si>
    <t xml:space="preserve">16f30365e213b0696d43c77ba4e674c3789c78f23ef765bd01bb1a5345d012ab</t>
  </si>
  <si>
    <t xml:space="preserve">pyquery</t>
  </si>
  <si>
    <t xml:space="preserve">pyquery/tests/test_pyquery.py::TestWebScrappingEncoding::test_get</t>
  </si>
  <si>
    <t xml:space="preserve">388d37db2f4466b90d7d43523daba843361f939aaba16d57a8771fccd4e7c365</t>
  </si>
  <si>
    <t xml:space="preserve">forex-python</t>
  </si>
  <si>
    <t xml:space="preserve">forex-python/tests/test_bitcoin.py::TestBitCoinWithoutForceDecimal::test_convert_to_btc_on_with_invalid_currency</t>
  </si>
  <si>
    <t xml:space="preserve">829320b28d20213dcd2d2e5a5a5d310038e8da0ae2f2d101e3670867e434a2fa</t>
  </si>
  <si>
    <t xml:space="preserve">forex-python/tests/test_bitcoin.py::TestBitCoinWithoutForceDecimal::test_previous_price_invalid_currency</t>
  </si>
  <si>
    <t xml:space="preserve">0a01b8d53893b247a0c21bbeaa1e7266a42c310d921f108317feb7f43c33bbd9</t>
  </si>
  <si>
    <t xml:space="preserve">forex-python/tests/test_bitcoin.py::TestBitCoinWithoutForceDecimal::test_previous_price_list_with_invalid_currency</t>
  </si>
  <si>
    <t xml:space="preserve">3e7eab5cad3d02fb65552773560910514791494ef441e43e3dfdab34187d2602</t>
  </si>
  <si>
    <t xml:space="preserve">forex-python/tests/test_bitcoin.py::TestConvertToBtcOn::test_convert_to_btc_on_with_invalid_currency</t>
  </si>
  <si>
    <t xml:space="preserve">c2cc93af227923cd54afd372006eb39c7379b0656ddb71ef43a1884dcb69bcaa</t>
  </si>
  <si>
    <t xml:space="preserve">forex-python/tests/test_bitcoin.py::TestPreviousPrice::test_previous_price_invalid_currency</t>
  </si>
  <si>
    <t xml:space="preserve">61f3bb56cc1fa8a6240c09717f774cbfcb74ddad0caebbffe8da9a3c6f336e02</t>
  </si>
  <si>
    <t xml:space="preserve">forex-python/tests/test_bitcoin.py::TestPreviousPrice::test_previous_price_valid_currency</t>
  </si>
  <si>
    <t xml:space="preserve">01a548d45b3ee761598d391a95d53f774c8d4e6038809abc974395909bc29dd0</t>
  </si>
  <si>
    <t xml:space="preserve">forex-python/tests/test_bitcoin.py::TestPreviousPriceList::test_previous_price_list_with_invalid_currency</t>
  </si>
  <si>
    <t xml:space="preserve">4df3c6750d5d1a2a76920b653a5fdc58e512a648fa43ae78820438857004bd03</t>
  </si>
  <si>
    <t xml:space="preserve">textdistance</t>
  </si>
  <si>
    <t xml:space="preserve">textdistance/tests/test_common.py::test_normalization_range[alg1]</t>
  </si>
  <si>
    <t xml:space="preserve">4f8ebcd3b5a2048f05e5d261b5c8cbcb3e4ffa2c3839713c8000abf5addff04d</t>
  </si>
  <si>
    <t xml:space="preserve">textdistance/tests/test_compression/test_common.py::test_is_normalized[alg0]</t>
  </si>
  <si>
    <t xml:space="preserve">a2b47f9c8d1e3a5f6b8c0d9e2f4a1b3c5d7e9f0a8b6c4d2e1f3a5b7c9d0e2f4a</t>
  </si>
  <si>
    <t xml:space="preserve">/textdistance/tests/test_compression/test_common.py::test_simmetry[alg0]</t>
  </si>
  <si>
    <t xml:space="preserve">c3d59e1f0a2b4c6d8e0f1a3b5c7d9e2f4a6b8c0d1e3f5a7b9c1d3e5f7a9b0c2d</t>
  </si>
  <si>
    <t xml:space="preserve">/textdistance/tests/test_compression/test_common.py::test_normalized_by_one[alg0]</t>
  </si>
  <si>
    <t xml:space="preserve">e5f71a3b2c4d6e8f0a1b3c5d7e9f1a2b4c6d8e0f2a4b6c8d0e1f3a5b7c9d1e3f</t>
  </si>
  <si>
    <t xml:space="preserve">pycco</t>
  </si>
  <si>
    <t xml:space="preserve">pycco/tests/test_pycco.py::test_get_language_bad_source</t>
  </si>
  <si>
    <t xml:space="preserve">a308641a48e7a49655e962aed01b7106c1137c6db8fba3a03d16a13987546d1d</t>
  </si>
  <si>
    <t xml:space="preserve">pycco/tests/test_pycco.py::test_process</t>
  </si>
  <si>
    <t xml:space="preserve">4796a543999dabe6380ec228ee1e00b3cc358a9cbeb351c426e4a05d43c7cd18</t>
  </si>
  <si>
    <t xml:space="preserve">Approaches</t>
  </si>
  <si>
    <t xml:space="preserve"># observed flaky tests</t>
  </si>
  <si>
    <t xml:space="preserve">%</t>
  </si>
  <si>
    <t xml:space="preserve">No Dynamic Analysis</t>
  </si>
  <si>
    <t xml:space="preserve">Code Coverage</t>
  </si>
  <si>
    <t xml:space="preserve">Tracing</t>
  </si>
  <si>
    <t xml:space="preserve"># non-observed flaky tests </t>
  </si>
  <si>
    <t xml:space="preserve">in general </t>
  </si>
  <si>
    <t xml:space="preserve">total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</si>
</sst>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.00"/>
    <numFmt numFmtId="166" formatCode="#,##0.000000000"/>
    <numFmt numFmtId="167" formatCode="0.0000000000"/>
    <numFmt numFmtId="168" formatCode="General"/>
    <numFmt numFmtId="169" formatCode="#,##0.000000"/>
    <numFmt numFmtId="170" formatCode="#,##0.00000000"/>
    <numFmt numFmtId="171" formatCode="#,##0.00000"/>
    <numFmt numFmtId="172" formatCode="[$-409]#,##0.0000000"/>
    <numFmt numFmtId="173" formatCode="0.00"/>
    <numFmt numFmtId="174" formatCode="0.000000000000"/>
    <numFmt numFmtId="175" formatCode="0.0000000"/>
    <numFmt numFmtId="176" formatCode="0.0000000000000"/>
    <numFmt numFmtId="177" formatCode="#,##0.0000"/>
    <numFmt numFmtId="178" formatCode="#,##0.0"/>
    <numFmt numFmtId="179" formatCode="0.00000000000"/>
    <numFmt numFmtId="180" formatCode="#,##0"/>
    <numFmt numFmtId="181" formatCode="0.00000000"/>
    <numFmt numFmtId="182" formatCode="0.00000"/>
    <numFmt numFmtId="183" formatCode="#,##0.000"/>
    <numFmt numFmtId="184" formatCode="0.000000000"/>
    <numFmt numFmtId="185" formatCode="0.000000000000000"/>
    <numFmt numFmtId="186" formatCode="0.00000000000000"/>
    <numFmt numFmtId="187" formatCode="#,##0.0000000"/>
    <numFmt numFmtId="188" formatCode="0.000000"/>
    <numFmt numFmtId="189" formatCode="0"/>
    <numFmt numFmtId="190" formatCode="0.00%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E5E7E9"/>
      </patternFill>
    </fill>
    <fill>
      <patternFill patternType="solid">
        <fgColor rgb="FFD5A6BD"/>
        <bgColor rgb="FFE6B8AF"/>
      </patternFill>
    </fill>
    <fill>
      <patternFill patternType="solid">
        <fgColor rgb="FFA2C4C9"/>
        <bgColor rgb="FFA4C2F4"/>
      </patternFill>
    </fill>
    <fill>
      <patternFill patternType="solid">
        <fgColor rgb="FFB6D7A8"/>
        <bgColor rgb="FFA2C4C9"/>
      </patternFill>
    </fill>
    <fill>
      <patternFill patternType="solid">
        <fgColor rgb="FFF9CB9C"/>
        <bgColor rgb="FFE6B8AF"/>
      </patternFill>
    </fill>
    <fill>
      <patternFill patternType="solid">
        <fgColor rgb="FFC9DAF8"/>
        <bgColor rgb="FFD9D2E9"/>
      </patternFill>
    </fill>
    <fill>
      <patternFill patternType="solid">
        <fgColor rgb="FFA4C2F4"/>
        <bgColor rgb="FFA2C4C9"/>
      </patternFill>
    </fill>
    <fill>
      <patternFill patternType="solid">
        <fgColor rgb="FFD9D2E9"/>
        <bgColor rgb="FFD9D9D9"/>
      </patternFill>
    </fill>
    <fill>
      <patternFill patternType="solid">
        <fgColor rgb="FFF6B26B"/>
        <bgColor rgb="FFE6B8AF"/>
      </patternFill>
    </fill>
    <fill>
      <patternFill patternType="solid">
        <fgColor rgb="FFEAD1DC"/>
        <bgColor rgb="FFD9D2E9"/>
      </patternFill>
    </fill>
    <fill>
      <patternFill patternType="solid">
        <fgColor rgb="FFB4A7D6"/>
        <bgColor rgb="FFD5A6BD"/>
      </patternFill>
    </fill>
    <fill>
      <patternFill patternType="solid">
        <fgColor rgb="FFFFE599"/>
        <bgColor rgb="FFF9CB9C"/>
      </patternFill>
    </fill>
    <fill>
      <patternFill patternType="solid">
        <fgColor rgb="FFE6B8AF"/>
        <bgColor rgb="FFD5A6BD"/>
      </patternFill>
    </fill>
    <fill>
      <patternFill patternType="solid">
        <fgColor rgb="FFE5E7E9"/>
        <bgColor rgb="FFD9D9D9"/>
      </patternFill>
    </fill>
    <fill>
      <patternFill patternType="solid">
        <fgColor rgb="FFD9D9D9"/>
        <bgColor rgb="FFD9D2E9"/>
      </patternFill>
    </fill>
    <fill>
      <patternFill patternType="solid">
        <fgColor rgb="FFEA9999"/>
        <bgColor rgb="FFD5A6BD"/>
      </patternFill>
    </fill>
    <fill>
      <patternFill patternType="solid">
        <fgColor rgb="FF6D9EEB"/>
        <bgColor rgb="FFB4A7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7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2" fontId="4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9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8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9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3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4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4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8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1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7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1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8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87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1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8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8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9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9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1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90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A2C4C9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E5E7E9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6D9EEB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6B8AF"/>
          <bgColor rgb="FF000000"/>
        </patternFill>
      </fill>
    </dxf>
    <dxf>
      <fill>
        <patternFill patternType="solid">
          <fgColor rgb="FFF6B2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6D9EEB"/>
      <rgbColor rgb="FF993366"/>
      <rgbColor rgb="FFEAD1DC"/>
      <rgbColor rgb="FFE5E7E9"/>
      <rgbColor rgb="FF660066"/>
      <rgbColor rgb="FFF6B26B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2E9"/>
      <rgbColor rgb="FFD9D9D9"/>
      <rgbColor rgb="FFFFE599"/>
      <rgbColor rgb="FFA4C2F4"/>
      <rgbColor rgb="FFEA9999"/>
      <rgbColor rgb="FFB4A7D6"/>
      <rgbColor rgb="FFF9CB9C"/>
      <rgbColor rgb="FF3366FF"/>
      <rgbColor rgb="FF33CCCC"/>
      <rgbColor rgb="FFB6D7A8"/>
      <rgbColor rgb="FFE6B8AF"/>
      <rgbColor rgb="FFFF9900"/>
      <rgbColor rgb="FFFF6600"/>
      <rgbColor rgb="FF666699"/>
      <rgbColor rgb="FFD5A6B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30600</xdr:rowOff>
    </xdr:from>
    <xdr:to>
      <xdr:col>3</xdr:col>
      <xdr:colOff>639720</xdr:colOff>
      <xdr:row>44</xdr:row>
      <xdr:rowOff>47520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3419640"/>
          <a:ext cx="5284080" cy="516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9360</xdr:colOff>
      <xdr:row>0</xdr:row>
      <xdr:rowOff>0</xdr:rowOff>
    </xdr:from>
    <xdr:to>
      <xdr:col>15</xdr:col>
      <xdr:colOff>529560</xdr:colOff>
      <xdr:row>26</xdr:row>
      <xdr:rowOff>56880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5544000" y="0"/>
          <a:ext cx="10313280" cy="5160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AI4" activePane="bottomRight" state="frozen"/>
      <selection pane="topLeft" activeCell="A1" activeCellId="0" sqref="A1"/>
      <selection pane="topRight" activeCell="AI1" activeCellId="0" sqref="AI1"/>
      <selection pane="bottomLeft" activeCell="A4" activeCellId="0" sqref="A4"/>
      <selection pane="bottomRight" activeCell="AO20" activeCellId="0" sqref="AO20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37.63"/>
    <col collapsed="false" customWidth="true" hidden="false" outlineLevel="0" max="3" min="3" style="1" width="48.52"/>
    <col collapsed="false" customWidth="true" hidden="false" outlineLevel="0" max="7" min="4" style="1" width="11.75"/>
    <col collapsed="false" customWidth="true" hidden="false" outlineLevel="0" max="8" min="8" style="1" width="12"/>
    <col collapsed="false" customWidth="true" hidden="false" outlineLevel="0" max="9" min="9" style="1" width="16.96"/>
    <col collapsed="false" customWidth="true" hidden="false" outlineLevel="0" max="10" min="10" style="1" width="13.75"/>
    <col collapsed="false" customWidth="true" hidden="false" outlineLevel="0" max="12" min="11" style="1" width="19.52"/>
    <col collapsed="false" customWidth="true" hidden="false" outlineLevel="0" max="13" min="13" style="1" width="18.63"/>
    <col collapsed="false" customWidth="true" hidden="false" outlineLevel="0" max="14" min="14" style="1" width="14.75"/>
    <col collapsed="false" customWidth="true" hidden="false" outlineLevel="0" max="15" min="15" style="1" width="19.88"/>
    <col collapsed="false" customWidth="true" hidden="false" outlineLevel="0" max="16" min="16" style="1" width="62.88"/>
    <col collapsed="false" customWidth="true" hidden="false" outlineLevel="0" max="20" min="20" style="1" width="18.79"/>
    <col collapsed="false" customWidth="true" hidden="false" outlineLevel="0" max="21" min="21" style="1" width="17.5"/>
    <col collapsed="false" customWidth="true" hidden="false" outlineLevel="0" max="23" min="23" style="1" width="20.72"/>
    <col collapsed="false" customWidth="true" hidden="false" outlineLevel="0" max="24" min="24" style="1" width="21.14"/>
    <col collapsed="false" customWidth="true" hidden="false" outlineLevel="0" max="25" min="25" style="1" width="24.62"/>
    <col collapsed="false" customWidth="true" hidden="false" outlineLevel="0" max="26" min="26" style="1" width="50.63"/>
    <col collapsed="false" customWidth="true" hidden="false" outlineLevel="0" max="27" min="27" style="1" width="15.85"/>
    <col collapsed="false" customWidth="true" hidden="false" outlineLevel="0" max="28" min="28" style="1" width="18.22"/>
    <col collapsed="false" customWidth="true" hidden="false" outlineLevel="0" max="29" min="29" style="1" width="15.3"/>
    <col collapsed="false" customWidth="true" hidden="false" outlineLevel="0" max="30" min="30" style="1" width="15.71"/>
    <col collapsed="false" customWidth="true" hidden="false" outlineLevel="0" max="31" min="31" style="1" width="10.38"/>
    <col collapsed="false" customWidth="true" hidden="false" outlineLevel="0" max="32" min="32" style="1" width="12.13"/>
    <col collapsed="false" customWidth="true" hidden="false" outlineLevel="0" max="33" min="33" style="1" width="58.25"/>
    <col collapsed="false" customWidth="true" hidden="false" outlineLevel="0" max="35" min="34" style="1" width="12.38"/>
    <col collapsed="false" customWidth="true" hidden="false" outlineLevel="0" max="36" min="36" style="1" width="15.13"/>
    <col collapsed="false" customWidth="true" hidden="false" outlineLevel="0" max="37" min="37" style="1" width="21.63"/>
    <col collapsed="false" customWidth="true" hidden="false" outlineLevel="0" max="38" min="38" style="1" width="25"/>
    <col collapsed="false" customWidth="true" hidden="false" outlineLevel="0" max="40" min="39" style="1" width="18.75"/>
    <col collapsed="false" customWidth="true" hidden="false" outlineLevel="0" max="41" min="41" style="1" width="20.51"/>
    <col collapsed="false" customWidth="true" hidden="false" outlineLevel="0" max="42" min="42" style="1" width="18.25"/>
    <col collapsed="false" customWidth="true" hidden="false" outlineLevel="0" max="43" min="43" style="1" width="62.25"/>
    <col collapsed="false" customWidth="true" hidden="false" outlineLevel="0" max="44" min="44" style="1" width="30.38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 t="s">
        <v>2</v>
      </c>
      <c r="E1" s="3"/>
      <c r="F1" s="3"/>
      <c r="G1" s="3" t="s">
        <v>3</v>
      </c>
      <c r="H1" s="3"/>
      <c r="I1" s="3"/>
      <c r="J1" s="3"/>
      <c r="K1" s="3"/>
      <c r="L1" s="3"/>
      <c r="M1" s="3"/>
      <c r="N1" s="3"/>
      <c r="O1" s="3"/>
      <c r="P1" s="3"/>
      <c r="Q1" s="3" t="s">
        <v>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5</v>
      </c>
      <c r="AI1" s="3"/>
      <c r="AJ1" s="3"/>
      <c r="AK1" s="3"/>
      <c r="AL1" s="3"/>
      <c r="AM1" s="3"/>
      <c r="AN1" s="3"/>
      <c r="AO1" s="3"/>
      <c r="AP1" s="3"/>
      <c r="AQ1" s="3"/>
      <c r="AR1" s="4"/>
    </row>
    <row r="2" customFormat="false" ht="34.5" hidden="false" customHeight="true" outlineLevel="0" collapsed="false">
      <c r="A2" s="2"/>
      <c r="B2" s="3" t="s">
        <v>6</v>
      </c>
      <c r="C2" s="3"/>
      <c r="D2" s="5" t="s">
        <v>7</v>
      </c>
      <c r="E2" s="5"/>
      <c r="F2" s="5"/>
      <c r="G2" s="5" t="s">
        <v>8</v>
      </c>
      <c r="H2" s="5"/>
      <c r="I2" s="5"/>
      <c r="J2" s="3" t="s">
        <v>9</v>
      </c>
      <c r="K2" s="3"/>
      <c r="L2" s="3"/>
      <c r="M2" s="3" t="s">
        <v>10</v>
      </c>
      <c r="N2" s="3"/>
      <c r="O2" s="3"/>
      <c r="P2" s="3"/>
      <c r="Q2" s="6" t="s">
        <v>11</v>
      </c>
      <c r="R2" s="6"/>
      <c r="S2" s="6"/>
      <c r="T2" s="7" t="s">
        <v>12</v>
      </c>
      <c r="U2" s="7"/>
      <c r="V2" s="7"/>
      <c r="W2" s="7" t="s">
        <v>13</v>
      </c>
      <c r="X2" s="7"/>
      <c r="Y2" s="7"/>
      <c r="Z2" s="8"/>
      <c r="AA2" s="7" t="s">
        <v>14</v>
      </c>
      <c r="AB2" s="7"/>
      <c r="AC2" s="7"/>
      <c r="AD2" s="7" t="s">
        <v>15</v>
      </c>
      <c r="AE2" s="7"/>
      <c r="AF2" s="7"/>
      <c r="AG2" s="3"/>
      <c r="AH2" s="5" t="s">
        <v>16</v>
      </c>
      <c r="AI2" s="5"/>
      <c r="AJ2" s="5"/>
      <c r="AK2" s="3" t="s">
        <v>17</v>
      </c>
      <c r="AL2" s="3"/>
      <c r="AM2" s="3"/>
      <c r="AN2" s="3" t="s">
        <v>18</v>
      </c>
      <c r="AO2" s="3"/>
      <c r="AP2" s="3"/>
      <c r="AQ2" s="3"/>
      <c r="AR2" s="9"/>
    </row>
    <row r="3" customFormat="false" ht="15.75" hidden="false" customHeight="true" outlineLevel="0" collapsed="false">
      <c r="A3" s="10"/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24</v>
      </c>
      <c r="N3" s="3" t="s">
        <v>25</v>
      </c>
      <c r="O3" s="3" t="s">
        <v>26</v>
      </c>
      <c r="P3" s="3" t="s">
        <v>27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24</v>
      </c>
      <c r="X3" s="7" t="s">
        <v>25</v>
      </c>
      <c r="Y3" s="7" t="s">
        <v>26</v>
      </c>
      <c r="Z3" s="11" t="s">
        <v>27</v>
      </c>
      <c r="AA3" s="12" t="s">
        <v>24</v>
      </c>
      <c r="AB3" s="12" t="s">
        <v>25</v>
      </c>
      <c r="AC3" s="12" t="s">
        <v>26</v>
      </c>
      <c r="AD3" s="12" t="s">
        <v>24</v>
      </c>
      <c r="AE3" s="12" t="s">
        <v>25</v>
      </c>
      <c r="AF3" s="12" t="s">
        <v>26</v>
      </c>
      <c r="AG3" s="3" t="s">
        <v>27</v>
      </c>
      <c r="AH3" s="3" t="s">
        <v>21</v>
      </c>
      <c r="AI3" s="3" t="s">
        <v>22</v>
      </c>
      <c r="AJ3" s="3" t="s">
        <v>23</v>
      </c>
      <c r="AK3" s="3" t="s">
        <v>24</v>
      </c>
      <c r="AL3" s="3" t="s">
        <v>25</v>
      </c>
      <c r="AM3" s="3" t="s">
        <v>26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</row>
    <row r="4" customFormat="false" ht="15.75" hidden="false" customHeight="true" outlineLevel="0" collapsed="false">
      <c r="A4" s="13" t="s">
        <v>29</v>
      </c>
      <c r="B4" s="14" t="s">
        <v>30</v>
      </c>
      <c r="C4" s="14" t="s">
        <v>31</v>
      </c>
      <c r="D4" s="15" t="n">
        <v>0</v>
      </c>
      <c r="E4" s="15" t="n">
        <v>100</v>
      </c>
      <c r="F4" s="16" t="str">
        <f aca="false">IF(AND(D4&gt;0, E4&gt;0), "Observed Flaky Test", "Non-observed Flaky Test")</f>
        <v>Non-observed Flaky Test</v>
      </c>
      <c r="G4" s="17" t="n">
        <v>0</v>
      </c>
      <c r="H4" s="17" t="n">
        <v>100</v>
      </c>
      <c r="I4" s="16" t="str">
        <f aca="false">IF(AND(G4&gt;0, H4&gt;0), "Observed Flaky Test", "Non-observed Flaky Test")</f>
        <v>Non-observed Flaky Test</v>
      </c>
      <c r="J4" s="18" t="n">
        <v>0</v>
      </c>
      <c r="K4" s="18" t="n">
        <v>0</v>
      </c>
      <c r="L4" s="19" t="str">
        <f aca="false">IFERROR(K4/J4*100,"N/A")</f>
        <v>N/A</v>
      </c>
      <c r="M4" s="18" t="n">
        <v>7.73</v>
      </c>
      <c r="N4" s="18" t="n">
        <v>0</v>
      </c>
      <c r="O4" s="20" t="n">
        <f aca="false">IFERROR(N4/M4*100,"N/A")</f>
        <v>0</v>
      </c>
      <c r="P4" s="21" t="str">
        <f aca="false">IF(AND(G4&gt;0, H4=0), IF(ROUND(K4,8)=0, "Group 9: Only Passed | Without variation (SD Passed = 0)", "Group 10: Only Passed | With variation (SD Passed &gt; 0)"), IF(AND(G4=0, H4&gt;0), IF(ROUND(N4,8)=0, "Group 11: Only Failed | Without variation (SD Failed = 0)", "Group 12: Only Failed | With variation (SD Failed &gt; 0)"), IF(AND(G4&gt;0, H4&gt;0), IF(ROUND(J4,5)&lt;&gt;ROUND(M4,5), IF(AND(ROUND(K4,8)=0, ROUND(N4,8)=0), "Group 1: Flaky | Passed (no variation) AND Failed (no variation) | Different Means", IF(AND(ROUND(K4,8)&gt;0, ROUND(N4,8)&gt;0), "Group 2: Flaky | Passed (with variation) AND Failed (with variation) | Different Means", IF(AND(ROUND(K4,8)=0, ROUND(N4,8)&gt;0), "Group 3: Flaky | Passed (no variation) AND Failed (with variation) | Different Means", "Group 4: Flaky | Passed (with variation) AND Failed (no variation) | Different Means"))), IF(AND(ROUND(K4,8)=0, ROUND(N4,8)=0), "Group 5: Flaky | Passed (no variation) AND Failed (no variation) | Equal Means", IF(AND(ROUND(K4,8)&gt;0, ROUND(N4,8)&gt;0), "Group 6: Flaky | Passed (with variation) AND Failed (with variation) | Equal Means", IF(AND(ROUND(K4,8)=0, ROUND(N4,8)&gt;0),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4" s="22" t="n">
        <v>0</v>
      </c>
      <c r="R4" s="22" t="n">
        <v>100</v>
      </c>
      <c r="S4" s="23" t="str">
        <f aca="false">IF(AND(Q4&gt;0, R4&gt;0), "Observed Flaky Test", "Non-observed Flaky Test")</f>
        <v>Non-observed Flaky Test</v>
      </c>
      <c r="T4" s="24" t="n">
        <v>0</v>
      </c>
      <c r="U4" s="24" t="n">
        <v>0</v>
      </c>
      <c r="V4" s="25" t="str">
        <f aca="false">IFERROR(U4/T4*100,"N/A")</f>
        <v>N/A</v>
      </c>
      <c r="W4" s="22" t="n">
        <v>3332004.38</v>
      </c>
      <c r="X4" s="26" t="n">
        <v>18.331835</v>
      </c>
      <c r="Y4" s="27" t="n">
        <f aca="false">IFERROR(X4/W4*100,"N/A")</f>
        <v>0.000550174396829575</v>
      </c>
      <c r="Z4" s="28" t="str">
        <f aca="false">IF(AND(Q4&gt;0, R4=0), IF(IFERROR(ROUND(V4,8),0)=0, "Group 9: Only Passed | Without variation (no var CV = 0)", "Group 10: Only Passed | With variation (with var CV &gt; 0)"), IF(AND(Q4=0, R4&gt;0), IF(IFERROR(ROUND(Y4,8),0)=0, "Group 11: Only Failed | Without variation (no var CV = 0)", "Group 12: Only Failed | With variation (with var CV &gt; 0)"), IF(AND(Q4&gt;0, R4&gt;0), IF(ROUND(T4,5)&lt;&gt;ROUND(W4,5), IF(AND(IFERROR(ROUND(V4,8),0)=0, IFERROR(ROUND(Y4,8),0)=0), "Group 1: Flaky | Passed (no variation: CV = 0) AND Failed (no variation: CV = 0) | Different Means", IF(AND(IFERROR(ROUND(V4,8),0)&gt;0, IFERROR(ROUND(Y4,8),0)&gt;0), "Group 2: Flaky | Passed (with variation: CV &gt; 0) AND Failed (with variation: CV &gt; 0) | Different Means", IF(AND(IFERROR(ROUND(V4,8),0)=0, IFERROR(ROUND(Y4,8),0)&gt;0), "Group 3: Flaky | Passed (no variation: CV = 0) AND Failed (with variation: CV &gt; 0) | Different Means", "Group 4: Flaky | Passed (with variation: CV &gt; 0) AND Failed (no variation: CV = 0) | Different Means"))), IF(AND(IFERROR(ROUND(V4,8),0)=0, IFERROR(ROUND(Y4,8),0)=0), "Group 5: Flaky | Passed (no var CV = 0) AND Failed (no var CV = 0) | Equal Means", IF(AND(IFERROR(ROUND(V4,8),0)&gt;0, IFERROR(ROUND(Y4,8),0)&gt;0), "Group 6: Flaky | Passed (with var CV &gt; 0) AND Failed (with var CV &gt; 0) | Equal Means", IF(AND(IFERROR(ROUND(V4,8),0)=0, IFERROR(ROUND(Y4,8),0)&gt;0),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4" s="29" t="n">
        <v>0</v>
      </c>
      <c r="AB4" s="29" t="n">
        <v>0</v>
      </c>
      <c r="AC4" s="29" t="str">
        <f aca="false">IFERROR(AB4/AA4*100,"N/A")</f>
        <v>N/A</v>
      </c>
      <c r="AD4" s="29" t="n">
        <v>2.197098</v>
      </c>
      <c r="AE4" s="29" t="n">
        <v>0.077396</v>
      </c>
      <c r="AF4" s="29" t="n">
        <f aca="false">IFERROR(AE4/AD4*100,"N/A")</f>
        <v>3.52264669122634</v>
      </c>
      <c r="AG4" s="30" t="str">
        <f aca="false">IF(AND(Q4&gt;0, R4=0), IF(IFERROR(ROUND(AC4,8),0)=0, "Group 9: Only Passed | Without variation (no var CV = 0)", "Group 10: Only Passed | With variation (with var CV &gt; 0)"), IF(AND(Q4=0, R4&gt;0), IF(IFERROR(ROUND(AF4,8),0)=0, "Group 11: Only Failed | Without variation (no var CV = 0)", "Group 12: Only Failed | With variation (with var CV &gt; 0)"), IF(AND(Q4&gt;0, R4&gt;0), IF(ROUND(AA4,5)&lt;&gt;ROUND(AD4,5), IF(AND(IFERROR(ROUND(AC4,8),0)=0, IFERROR(ROUND(AF4,8),0)=0), "Group 1: Flaky | Passed (no variation: CV = 0) AND Failed (no variation: CV = 0) | Different Means", IF(AND(IFERROR(ROUND(AC4,8),0)&gt;0, IFERROR(ROUND(AF4,8),0)&gt;0), "Group 2: Flaky | Passed (with variation: CV &gt; 0) AND Failed (with variation: CV &gt; 0) | Different Means", IF(AND(IFERROR(ROUND(AC4,8),0)=0, IFERROR(ROUND(AF4,8),0)&gt;0), "Group 3: Flaky | Passed (no variation: CV = 0) AND Failed (with variation: CV &gt; 0) | Different Means", "Group 4: Flaky | Passed (with variation: CV &gt; 0) AND Failed (no variation: CV = 0) | Different Means"))), IF(AND(IFERROR(ROUND(AC4,8),0)=0, IFERROR(ROUND(AF4,8),0)=0), "Group 5: Flaky | Passed (no var CV = 0) AND Failed (no var CV = 0) | Equal Means", IF(AND(IFERROR(ROUND(AC4,8),0)&gt;0, IFERROR(ROUND(AF4,8),0)&gt;0), "Group 6: Flaky | Passed (with var CV &gt; 0) AND Failed (with var CV &gt; 0) | Equal Means", IF(AND(IFERROR(ROUND(AC4,8),0)=0, IFERROR(ROUND(AF4,8),0)&gt;0),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4" s="22" t="n">
        <v>0</v>
      </c>
      <c r="AI4" s="17" t="n">
        <v>100</v>
      </c>
      <c r="AJ4" s="31" t="str">
        <f aca="false">IF(AND(AH4&gt;0, AI4&gt;0), "Observed Flaky Test", "Non-observed Flaky Test")</f>
        <v>Non-observed Flaky Test</v>
      </c>
      <c r="AK4" s="32" t="n">
        <v>0</v>
      </c>
      <c r="AL4" s="32" t="n">
        <v>0</v>
      </c>
      <c r="AM4" s="33" t="str">
        <f aca="false">IFERROR(AL4/AK4*100,"N/A")</f>
        <v>N/A</v>
      </c>
      <c r="AN4" s="32" t="n">
        <v>1781453.35</v>
      </c>
      <c r="AO4" s="34" t="n">
        <v>43.517644163435</v>
      </c>
      <c r="AP4" s="35" t="n">
        <f aca="false">IFERROR(AO4/AN4*100,"N/A")</f>
        <v>0.002442816937274</v>
      </c>
      <c r="AQ4" s="36" t="str">
        <f aca="false">IF(AND(AH4&gt;0, AI4&gt;0),
    IF(ROUND(N(AK4),5)&lt;&gt;ROUND(N(AN4),5),
        IF(AND(ROUND(N(AL4),8)=0, ROUND(N(AO4),8)=0), "Group 1: Flaky | Passed (no variation: SD = 0) AND Failed (no variation: SD = 0) | Different Means",
        IF(AND(ROUND(N(AL4),8)&gt;0, ROUND(N(AO4),8)&gt;0), "Group 2: Flaky | Passed (with variation: SD &gt; 0) AND Failed (with variation: SD &gt; 0) | Different Means",
        IF(AND(ROUND(N(AL4),8)=0, ROUND(N(AO4),8)&gt;0), "Group 3: Flaky | Passed (no variation: SD = 0) AND Failed (with variation: SD &gt; 0) | Different Means",
        "Group 4: Flaky | Passed (with variation: SD &gt; 0) AND Failed (no variation: SD = 0) | Different Means"))),
        IF(AND(ROUND(N(AL4),8)=0, ROUND(N(AO4),8)=0), "Group 5: Flaky | Passed (no var SD = 0) AND Failed (no var SD = 0) | Equal Means",
        IF(AND(ROUND(N(AL4),8)&gt;0, ROUND(N(AO4),8)&gt;0), "Group 6: Flaky | Passed (with var SD &gt; 0 ) AND Failed (with var SD &gt; 0) | Equal Means",
        IF(AND(ROUND(N(AL4),8)=0, ROUND(N(AO4),8)&gt;0), "Group 7: Flaky | Passed (no var SD = 0) AND Failed (with var SD &gt; 0) | Equal Means",
        "Group 8: Flaky | Passed (with var SD &gt; 0 ) AND Failed (no var SD = 0) | Equal Means")))
    ),
    IF(AH4&gt;0,
        IF(N(AL4)&gt;0, "Group 10: Only Passed | With variation (with var SD &gt; 0)", "Group 9: Only Passed | Without variation (no var SD = 0)"),
        IF(AI4&gt;0,
            IF(N(AO4)&gt;0,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4" s="37" t="str">
        <f aca="false">IF(OR(F4="Observed Flaky Test", I4="Observed Flaky Test", S4="Observed Flaky Test", AJ4="Observed Flaky Test"), "Observed Flaky Test", "Non-observed Flaky Test")</f>
        <v>Non-observed Flaky Test</v>
      </c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</row>
    <row r="5" customFormat="false" ht="15.75" hidden="false" customHeight="true" outlineLevel="0" collapsed="false">
      <c r="A5" s="13"/>
      <c r="B5" s="14" t="s">
        <v>32</v>
      </c>
      <c r="C5" s="14" t="s">
        <v>33</v>
      </c>
      <c r="D5" s="15" t="n">
        <v>100</v>
      </c>
      <c r="E5" s="15" t="n">
        <v>0</v>
      </c>
      <c r="F5" s="16" t="str">
        <f aca="false">IF(AND(D5&gt;0, E5&gt;0), "Observed Flaky Test", "Non-observed Flaky Test")</f>
        <v>Non-observed Flaky Test</v>
      </c>
      <c r="G5" s="17" t="n">
        <v>0</v>
      </c>
      <c r="H5" s="17" t="n">
        <v>100</v>
      </c>
      <c r="I5" s="16" t="str">
        <f aca="false">IF(AND(G5&gt;0, H5&gt;0), "Observed Flaky Test", "Non-observed Flaky Test")</f>
        <v>Non-observed Flaky Test</v>
      </c>
      <c r="J5" s="18" t="n">
        <v>0</v>
      </c>
      <c r="K5" s="18" t="n">
        <v>0</v>
      </c>
      <c r="L5" s="19" t="str">
        <f aca="false">IFERROR(K5/J5*100,"N/A")</f>
        <v>N/A</v>
      </c>
      <c r="M5" s="18" t="n">
        <v>4.92</v>
      </c>
      <c r="N5" s="18" t="n">
        <v>0</v>
      </c>
      <c r="O5" s="20" t="n">
        <f aca="false">IFERROR(N5/M5*100,"N/A")</f>
        <v>0</v>
      </c>
      <c r="P5" s="21" t="str">
        <f aca="false">IF(AND(G5&gt;0, H5=0), IF(ROUND(K5,8)=0, "Group 9: Only Passed | Without variation (SD Passed = 0)", "Group 10: Only Passed | With variation (SD Passed &gt; 0)"), IF(AND(G5=0, H5&gt;0), IF(ROUND(N5,8)=0, "Group 11: Only Failed | Without variation (SD Failed = 0)", "Group 12: Only Failed | With variation (SD Failed &gt; 0)"), IF(AND(G5&gt;0, H5&gt;0), IF(ROUND(J5,5)&lt;&gt;ROUND(M5,5), IF(AND(ROUND(K5,8)=0, ROUND(N5,8)=0), "Group 1: Flaky | Passed (no variation) AND Failed (no variation) | Different Means", IF(AND(ROUND(K5,8)&gt;0, ROUND(N5,8)&gt;0), "Group 2: Flaky | Passed (with variation) AND Failed (with variation) | Different Means", IF(AND(ROUND(K5,8)=0, ROUND(N5,8)&gt;0), "Group 3: Flaky | Passed (no variation) AND Failed (with variation) | Different Means", "Group 4: Flaky | Passed (with variation) AND Failed (no variation) | Different Means"))), IF(AND(ROUND(K5,8)=0, ROUND(N5,8)=0), "Group 5: Flaky | Passed (no variation) AND Failed (no variation) | Equal Means", IF(AND(ROUND(K5,8)&gt;0, ROUND(N5,8)&gt;0), "Group 6: Flaky | Passed (with variation) AND Failed (with variation) | Equal Means", IF(AND(ROUND(K5,8)=0, ROUND(N5,8)&gt;0),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5" s="22" t="n">
        <v>0</v>
      </c>
      <c r="R5" s="22" t="n">
        <v>100</v>
      </c>
      <c r="S5" s="23" t="str">
        <f aca="false">IF(AND(Q5&gt;0, R5&gt;0), "Observed Flaky Test", "Non-observed Flaky Test")</f>
        <v>Non-observed Flaky Test</v>
      </c>
      <c r="T5" s="24" t="n">
        <v>0</v>
      </c>
      <c r="U5" s="24" t="n">
        <v>0</v>
      </c>
      <c r="V5" s="25" t="str">
        <f aca="false">IFERROR(U5/T5*100,"N/A")</f>
        <v>N/A</v>
      </c>
      <c r="W5" s="24" t="n">
        <v>2277580.12</v>
      </c>
      <c r="X5" s="24" t="n">
        <v>216703.624712</v>
      </c>
      <c r="Y5" s="27" t="n">
        <f aca="false">IFERROR(X5/W5*100,"N/A")</f>
        <v>9.51464331854108</v>
      </c>
      <c r="Z5" s="28" t="str">
        <f aca="false">IF(AND(Q5&gt;0, R5=0), IF(IFERROR(ROUND(V5,8),0)=0, "Group 9: Only Passed | Without variation (no var CV = 0)", "Group 10: Only Passed | With variation (with var CV &gt; 0)"), IF(AND(Q5=0, R5&gt;0), IF(IFERROR(ROUND(Y5,8),0)=0, "Group 11: Only Failed | Without variation (no var CV = 0)", "Group 12: Only Failed | With variation (with var CV &gt; 0)"), IF(AND(Q5&gt;0, R5&gt;0), IF(ROUND(T5,5)&lt;&gt;ROUND(W5,5), IF(AND(IFERROR(ROUND(V5,8),0)=0, IFERROR(ROUND(Y5,8),0)=0), "Group 1: Flaky | Passed (no variation: CV = 0) AND Failed (no variation: CV = 0) | Different Means", IF(AND(IFERROR(ROUND(V5,8),0)&gt;0, IFERROR(ROUND(Y5,8),0)&gt;0), "Group 2: Flaky | Passed (with variation: CV &gt; 0) AND Failed (with variation: CV &gt; 0) | Different Means", IF(AND(IFERROR(ROUND(V5,8),0)=0, IFERROR(ROUND(Y5,8),0)&gt;0), "Group 3: Flaky | Passed (no variation: CV = 0) AND Failed (with variation: CV &gt; 0) | Different Means", "Group 4: Flaky | Passed (with variation: CV &gt; 0) AND Failed (no variation: CV = 0) | Different Means"))), IF(AND(IFERROR(ROUND(V5,8),0)=0, IFERROR(ROUND(Y5,8),0)=0), "Group 5: Flaky | Passed (no var CV = 0) AND Failed (no var CV = 0) | Equal Means", IF(AND(IFERROR(ROUND(V5,8),0)&gt;0, IFERROR(ROUND(Y5,8),0)&gt;0), "Group 6: Flaky | Passed (with var CV &gt; 0) AND Failed (with var CV &gt; 0) | Equal Means", IF(AND(IFERROR(ROUND(V5,8),0)=0, IFERROR(ROUND(Y5,8),0)&gt;0),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5" s="29" t="n">
        <v>0</v>
      </c>
      <c r="AB5" s="29" t="n">
        <v>0</v>
      </c>
      <c r="AC5" s="29" t="str">
        <f aca="false">IFERROR(AB5/AA5*100,"N/A")</f>
        <v>N/A</v>
      </c>
      <c r="AD5" s="29" t="n">
        <v>1.435702</v>
      </c>
      <c r="AE5" s="29" t="n">
        <v>0.120186</v>
      </c>
      <c r="AF5" s="29" t="n">
        <f aca="false">IFERROR(AE5/AD5*100,"N/A")</f>
        <v>8.3712358135602</v>
      </c>
      <c r="AG5" s="30" t="str">
        <f aca="false">IF(AND(Q5&gt;0, R5=0), IF(IFERROR(ROUND(AC5,8),0)=0, "Group 9: Only Passed | Without variation (no var CV = 0)", "Group 10: Only Passed | With variation (with var CV &gt; 0)"), IF(AND(Q5=0, R5&gt;0), IF(IFERROR(ROUND(AF5,8),0)=0, "Group 11: Only Failed | Without variation (no var CV = 0)", "Group 12: Only Failed | With variation (with var CV &gt; 0)"), IF(AND(Q5&gt;0, R5&gt;0), IF(ROUND(AA5,5)&lt;&gt;ROUND(AD5,5), IF(AND(IFERROR(ROUND(AC5,8),0)=0, IFERROR(ROUND(AF5,8),0)=0), "Group 1: Flaky | Passed (no variation: CV = 0) AND Failed (no variation: CV = 0) | Different Means", IF(AND(IFERROR(ROUND(AC5,8),0)&gt;0, IFERROR(ROUND(AF5,8),0)&gt;0), "Group 2: Flaky | Passed (with variation: CV &gt; 0) AND Failed (with variation: CV &gt; 0) | Different Means", IF(AND(IFERROR(ROUND(AC5,8),0)=0, IFERROR(ROUND(AF5,8),0)&gt;0), "Group 3: Flaky | Passed (no variation: CV = 0) AND Failed (with variation: CV &gt; 0) | Different Means", "Group 4: Flaky | Passed (with variation: CV &gt; 0) AND Failed (no variation: CV = 0) | Different Means"))), IF(AND(IFERROR(ROUND(AC5,8),0)=0, IFERROR(ROUND(AF5,8),0)=0), "Group 5: Flaky | Passed (no var CV = 0) AND Failed (no var CV = 0) | Equal Means", IF(AND(IFERROR(ROUND(AC5,8),0)&gt;0, IFERROR(ROUND(AF5,8),0)&gt;0), "Group 6: Flaky | Passed (with var CV &gt; 0) AND Failed (with var CV &gt; 0) | Equal Means", IF(AND(IFERROR(ROUND(AC5,8),0)=0, IFERROR(ROUND(AF5,8),0)&gt;0),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5" s="22" t="n">
        <v>1</v>
      </c>
      <c r="AI5" s="17" t="n">
        <v>99</v>
      </c>
      <c r="AJ5" s="39" t="str">
        <f aca="false">IF(AND(AH5&gt;0, AI5&gt;0), "Observed Flaky Test", "Non-observed Flaky Test")</f>
        <v>Observed Flaky Test</v>
      </c>
      <c r="AK5" s="32" t="n">
        <v>96333</v>
      </c>
      <c r="AL5" s="32" t="n">
        <v>0</v>
      </c>
      <c r="AM5" s="33" t="n">
        <f aca="false">IFERROR(AL5/AK5*100,"N/A")</f>
        <v>0</v>
      </c>
      <c r="AN5" s="33" t="n">
        <v>63403.8484848484</v>
      </c>
      <c r="AO5" s="40" t="n">
        <v>20.3140464303586</v>
      </c>
      <c r="AP5" s="35" t="n">
        <f aca="false">IFERROR(AO5/AN5*100,"N/A")</f>
        <v>0.0320391378690728</v>
      </c>
      <c r="AQ5" s="41" t="str">
        <f aca="false">IF(AND(AH5&gt;0, AI5&gt;0),
    IF(ROUND(N(AK5),5)&lt;&gt;ROUND(N(AN5),5),
        IF(AND(ROUND(N(AL5),8)=0, ROUND(N(AO5),8)=0), "Group 1: Flaky | Passed (no variation: SD = 0) AND Failed (no variation: SD = 0) | Different Means",
        IF(AND(ROUND(N(AL5),8)&gt;0, ROUND(N(AO5),8)&gt;0), "Group 2: Flaky | Passed (with variation: SD &gt; 0) AND Failed (with variation: SD &gt; 0) | Different Means",
        IF(AND(ROUND(N(AL5),8)=0, ROUND(N(AO5),8)&gt;0), "Group 3: Flaky | Passed (no variation: SD = 0) AND Failed (with variation: SD &gt; 0) | Different Means",
        "Group 4: Flaky | Passed (with variation: SD &gt; 0) AND Failed (no variation: SD = 0) | Different Means"))),
        IF(AND(ROUND(N(AL5),8)=0, ROUND(N(AO5),8)=0), "Group 5: Flaky | Passed (no var SD = 0) AND Failed (no var SD = 0) | Equal Means",
        IF(AND(ROUND(N(AL5),8)&gt;0, ROUND(N(AO5),8)&gt;0), "Group 6: Flaky | Passed (with var SD &gt; 0 ) AND Failed (with var SD &gt; 0) | Equal Means",
        IF(AND(ROUND(N(AL5),8)=0, ROUND(N(AO5),8)&gt;0), "Group 7: Flaky | Passed (no var SD = 0) AND Failed (with var SD &gt; 0) | Equal Means",
        "Group 8: Flaky | Passed (with var SD &gt; 0 ) AND Failed (no var SD = 0) | Equal Means")))
    ),
    IF(AH5&gt;0,
        IF(N(AL5)&gt;0, "Group 10: Only Passed | With variation (with var SD &gt; 0)", "Group 9: Only Passed | Without variation (no var SD = 0)"),
        IF(AI5&gt;0,
            IF(N(AO5)&gt;0,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5" s="42" t="str">
        <f aca="false">IF(OR(F5="Observed Flaky Test", I5="Observed Flaky Test", S5="Observed Flaky Test", AJ5="Observed Flaky Test"), "Observed Flaky Test", "Non-observed Flaky Test")</f>
        <v>Observed Flaky Test</v>
      </c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</row>
    <row r="6" customFormat="false" ht="15.75" hidden="false" customHeight="true" outlineLevel="0" collapsed="false">
      <c r="A6" s="13"/>
      <c r="B6" s="14" t="s">
        <v>34</v>
      </c>
      <c r="C6" s="14" t="s">
        <v>35</v>
      </c>
      <c r="D6" s="15" t="n">
        <v>100</v>
      </c>
      <c r="E6" s="15" t="n">
        <v>0</v>
      </c>
      <c r="F6" s="16" t="str">
        <f aca="false">IF(AND(D6&gt;0, E6&gt;0), "Observed Flaky Test", "Non-observed Flaky Test")</f>
        <v>Non-observed Flaky Test</v>
      </c>
      <c r="G6" s="17" t="n">
        <v>0</v>
      </c>
      <c r="H6" s="17" t="n">
        <v>100</v>
      </c>
      <c r="I6" s="16" t="str">
        <f aca="false">IF(AND(G6&gt;0, H6&gt;0), "Observed Flaky Test", "Non-observed Flaky Test")</f>
        <v>Non-observed Flaky Test</v>
      </c>
      <c r="J6" s="18" t="n">
        <v>0</v>
      </c>
      <c r="K6" s="18" t="n">
        <v>0</v>
      </c>
      <c r="L6" s="19" t="str">
        <f aca="false">IFERROR(K6/J6*100,"N/A")</f>
        <v>N/A</v>
      </c>
      <c r="M6" s="18" t="n">
        <v>4.92</v>
      </c>
      <c r="N6" s="18" t="n">
        <v>0</v>
      </c>
      <c r="O6" s="20" t="n">
        <f aca="false">IFERROR(N6/M6*100,"N/A")</f>
        <v>0</v>
      </c>
      <c r="P6" s="21" t="str">
        <f aca="false">IF(AND(G6&gt;0, H6=0), IF(ROUND(K6,8)=0, "Group 9: Only Passed | Without variation (SD Passed = 0)", "Group 10: Only Passed | With variation (SD Passed &gt; 0)"), IF(AND(G6=0, H6&gt;0), IF(ROUND(N6,8)=0, "Group 11: Only Failed | Without variation (SD Failed = 0)", "Group 12: Only Failed | With variation (SD Failed &gt; 0)"), IF(AND(G6&gt;0, H6&gt;0), IF(ROUND(J6,5)&lt;&gt;ROUND(M6,5), IF(AND(ROUND(K6,8)=0, ROUND(N6,8)=0), "Group 1: Flaky | Passed (no variation) AND Failed (no variation) | Different Means", IF(AND(ROUND(K6,8)&gt;0, ROUND(N6,8)&gt;0), "Group 2: Flaky | Passed (with variation) AND Failed (with variation) | Different Means", IF(AND(ROUND(K6,8)=0, ROUND(N6,8)&gt;0), "Group 3: Flaky | Passed (no variation) AND Failed (with variation) | Different Means", "Group 4: Flaky | Passed (with variation) AND Failed (no variation) | Different Means"))), IF(AND(ROUND(K6,8)=0, ROUND(N6,8)=0), "Group 5: Flaky | Passed (no variation) AND Failed (no variation) | Equal Means", IF(AND(ROUND(K6,8)&gt;0, ROUND(N6,8)&gt;0), "Group 6: Flaky | Passed (with variation) AND Failed (with variation) | Equal Means", IF(AND(ROUND(K6,8)=0, ROUND(N6,8)&gt;0),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6" s="22" t="n">
        <v>1</v>
      </c>
      <c r="R6" s="22" t="n">
        <v>99</v>
      </c>
      <c r="S6" s="43" t="str">
        <f aca="false">IF(AND(Q6&gt;0, R6&gt;0), "Observed Flaky Test", "Non-observed Flaky Test")</f>
        <v>Observed Flaky Test</v>
      </c>
      <c r="T6" s="24" t="n">
        <v>1917838</v>
      </c>
      <c r="U6" s="24" t="n">
        <v>0</v>
      </c>
      <c r="V6" s="25" t="n">
        <f aca="false">IFERROR(U6/T6*100,"N/A")</f>
        <v>0</v>
      </c>
      <c r="W6" s="24" t="n">
        <v>2255494.252525</v>
      </c>
      <c r="X6" s="24" t="n">
        <v>15.147805</v>
      </c>
      <c r="Y6" s="27" t="n">
        <f aca="false">IFERROR(X6/W6*100,"N/A")</f>
        <v>0.00067159581466644</v>
      </c>
      <c r="Z6" s="44" t="str">
        <f aca="false">IF(AND(Q6&gt;0, R6=0), IF(IFERROR(ROUND(V6,8),0)=0, "Group 9: Only Passed | Without variation (no var CV = 0)", "Group 10: Only Passed | With variation (with var CV &gt; 0)"), IF(AND(Q6=0, R6&gt;0), IF(IFERROR(ROUND(Y6,8),0)=0, "Group 11: Only Failed | Without variation (no var CV = 0)", "Group 12: Only Failed | With variation (with var CV &gt; 0)"), IF(AND(Q6&gt;0, R6&gt;0), IF(ROUND(T6,5)&lt;&gt;ROUND(W6,5), IF(AND(IFERROR(ROUND(V6,8),0)=0, IFERROR(ROUND(Y6,8),0)=0), "Group 1: Flaky | Passed (no variation: CV = 0) AND Failed (no variation: CV = 0) | Different Means", IF(AND(IFERROR(ROUND(V6,8),0)&gt;0, IFERROR(ROUND(Y6,8),0)&gt;0), "Group 2: Flaky | Passed (with variation: CV &gt; 0) AND Failed (with variation: CV &gt; 0) | Different Means", IF(AND(IFERROR(ROUND(V6,8),0)=0, IFERROR(ROUND(Y6,8),0)&gt;0), "Group 3: Flaky | Passed (no variation: CV = 0) AND Failed (with variation: CV &gt; 0) | Different Means", "Group 4: Flaky | Passed (with variation: CV &gt; 0) AND Failed (no variation: CV = 0) | Different Means"))), IF(AND(IFERROR(ROUND(V6,8),0)=0, IFERROR(ROUND(Y6,8),0)=0), "Group 5: Flaky | Passed (no var CV = 0) AND Failed (no var CV = 0) | Equal Means", IF(AND(IFERROR(ROUND(V6,8),0)&gt;0, IFERROR(ROUND(Y6,8),0)&gt;0), "Group 6: Flaky | Passed (with var CV &gt; 0) AND Failed (with var CV &gt; 0) | Equal Means", IF(AND(IFERROR(ROUND(V6,8),0)=0, IFERROR(ROUND(Y6,8),0)&gt;0),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A6" s="29" t="n">
        <v>1.859104</v>
      </c>
      <c r="AB6" s="29" t="n">
        <v>0</v>
      </c>
      <c r="AC6" s="29" t="n">
        <f aca="false">IFERROR(AB6/AA6*100,"N/A")</f>
        <v>0</v>
      </c>
      <c r="AD6" s="29" t="n">
        <v>1.377134</v>
      </c>
      <c r="AE6" s="29" t="n">
        <v>0.051632</v>
      </c>
      <c r="AF6" s="29" t="n">
        <f aca="false">IFERROR(AE6/AD6*100,"N/A")</f>
        <v>3.7492357315991</v>
      </c>
      <c r="AG6" s="45" t="str">
        <f aca="false">IF(AND(Q6&gt;0, R6=0), IF(IFERROR(ROUND(AC6,8),0)=0, "Group 9: Only Passed | Without variation (no var CV = 0)", "Group 10: Only Passed | With variation (with var CV &gt; 0)"), IF(AND(Q6=0, R6&gt;0), IF(IFERROR(ROUND(AF6,8),0)=0, "Group 11: Only Failed | Without variation (no var CV = 0)", "Group 12: Only Failed | With variation (with var CV &gt; 0)"), IF(AND(Q6&gt;0, R6&gt;0), IF(ROUND(AA6,5)&lt;&gt;ROUND(AD6,5), IF(AND(IFERROR(ROUND(AC6,8),0)=0, IFERROR(ROUND(AF6,8),0)=0), "Group 1: Flaky | Passed (no variation: CV = 0) AND Failed (no variation: CV = 0) | Different Means", IF(AND(IFERROR(ROUND(AC6,8),0)&gt;0, IFERROR(ROUND(AF6,8),0)&gt;0), "Group 2: Flaky | Passed (with variation: CV &gt; 0) AND Failed (with variation: CV &gt; 0) | Different Means", IF(AND(IFERROR(ROUND(AC6,8),0)=0, IFERROR(ROUND(AF6,8),0)&gt;0), "Group 3: Flaky | Passed (no variation: CV = 0) AND Failed (with variation: CV &gt; 0) | Different Means", "Group 4: Flaky | Passed (with variation: CV &gt; 0) AND Failed (no variation: CV = 0) | Different Means"))), IF(AND(IFERROR(ROUND(AC6,8),0)=0, IFERROR(ROUND(AF6,8),0)=0), "Group 5: Flaky | Passed (no var CV = 0) AND Failed (no var CV = 0) | Equal Means", IF(AND(IFERROR(ROUND(AC6,8),0)&gt;0, IFERROR(ROUND(AF6,8),0)&gt;0), "Group 6: Flaky | Passed (with var CV &gt; 0) AND Failed (with var CV &gt; 0) | Equal Means", IF(AND(IFERROR(ROUND(AC6,8),0)=0, IFERROR(ROUND(AF6,8),0)&gt;0),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H6" s="22" t="n">
        <v>1</v>
      </c>
      <c r="AI6" s="17" t="n">
        <v>99</v>
      </c>
      <c r="AJ6" s="39" t="str">
        <f aca="false">IF(AND(AH6&gt;0, AI6&gt;0), "Observed Flaky Test", "Non-observed Flaky Test")</f>
        <v>Observed Flaky Test</v>
      </c>
      <c r="AK6" s="32" t="n">
        <v>93304</v>
      </c>
      <c r="AL6" s="32" t="n">
        <v>0</v>
      </c>
      <c r="AM6" s="33" t="n">
        <f aca="false">IFERROR(AL6/AK6*100,"N/A")</f>
        <v>0</v>
      </c>
      <c r="AN6" s="33" t="n">
        <v>63403.8282828282</v>
      </c>
      <c r="AO6" s="40" t="n">
        <v>22.9373772160603</v>
      </c>
      <c r="AP6" s="35" t="n">
        <f aca="false">IFERROR(AO6/AN6*100,"N/A")</f>
        <v>0.0361766439618481</v>
      </c>
      <c r="AQ6" s="41" t="str">
        <f aca="false">IF(AND(AH6&gt;0, AI6&gt;0),
    IF(ROUND(N(AK6),5)&lt;&gt;ROUND(N(AN6),5),
        IF(AND(ROUND(N(AL6),8)=0, ROUND(N(AO6),8)=0), "Group 1: Flaky | Passed (no variation: SD = 0) AND Failed (no variation: SD = 0) | Different Means",
        IF(AND(ROUND(N(AL6),8)&gt;0, ROUND(N(AO6),8)&gt;0), "Group 2: Flaky | Passed (with variation: SD &gt; 0) AND Failed (with variation: SD &gt; 0) | Different Means",
        IF(AND(ROUND(N(AL6),8)=0, ROUND(N(AO6),8)&gt;0), "Group 3: Flaky | Passed (no variation: SD = 0) AND Failed (with variation: SD &gt; 0) | Different Means",
        "Group 4: Flaky | Passed (with variation: SD &gt; 0) AND Failed (no variation: SD = 0) | Different Means"))),
        IF(AND(ROUND(N(AL6),8)=0, ROUND(N(AO6),8)=0), "Group 5: Flaky | Passed (no var SD = 0) AND Failed (no var SD = 0) | Equal Means",
        IF(AND(ROUND(N(AL6),8)&gt;0, ROUND(N(AO6),8)&gt;0), "Group 6: Flaky | Passed (with var SD &gt; 0 ) AND Failed (with var SD &gt; 0) | Equal Means",
        IF(AND(ROUND(N(AL6),8)=0, ROUND(N(AO6),8)&gt;0), "Group 7: Flaky | Passed (no var SD = 0) AND Failed (with var SD &gt; 0) | Equal Means",
        "Group 8: Flaky | Passed (with var SD &gt; 0 ) AND Failed (no var SD = 0) | Equal Means")))
    ),
    IF(AH6&gt;0,
        IF(N(AL6)&gt;0, "Group 10: Only Passed | With variation (with var SD &gt; 0)", "Group 9: Only Passed | Without variation (no var SD = 0)"),
        IF(AI6&gt;0,
            IF(N(AO6)&gt;0,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6" s="42" t="str">
        <f aca="false">IF(OR(F6="Observed Flaky Test", I6="Observed Flaky Test", S6="Observed Flaky Test", AJ6="Observed Flaky Test"), "Observed Flaky Test", "Non-observed Flaky Test")</f>
        <v>Observed Flaky Test</v>
      </c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customFormat="false" ht="15.75" hidden="false" customHeight="true" outlineLevel="0" collapsed="false">
      <c r="A7" s="13"/>
      <c r="B7" s="14" t="s">
        <v>36</v>
      </c>
      <c r="C7" s="14" t="s">
        <v>37</v>
      </c>
      <c r="D7" s="15" t="n">
        <v>100</v>
      </c>
      <c r="E7" s="15" t="n">
        <v>0</v>
      </c>
      <c r="F7" s="16" t="str">
        <f aca="false">IF(AND(D7&gt;0, E7&gt;0), "Observed Flaky Test", "Non-observed Flaky Test")</f>
        <v>Non-observed Flaky Test</v>
      </c>
      <c r="G7" s="17" t="n">
        <v>100</v>
      </c>
      <c r="H7" s="17" t="n">
        <v>0</v>
      </c>
      <c r="I7" s="16" t="str">
        <f aca="false">IF(AND(G7&gt;0, H7&gt;0), "Observed Flaky Test", "Non-observed Flaky Test")</f>
        <v>Non-observed Flaky Test</v>
      </c>
      <c r="J7" s="46" t="n">
        <v>8.7804</v>
      </c>
      <c r="K7" s="47" t="n">
        <v>0.00196</v>
      </c>
      <c r="L7" s="19" t="n">
        <f aca="false">IFERROR(K7/J7*100,"N/A")</f>
        <v>0.0223224454466767</v>
      </c>
      <c r="M7" s="18" t="n">
        <v>0</v>
      </c>
      <c r="N7" s="18" t="n">
        <v>0</v>
      </c>
      <c r="O7" s="20" t="str">
        <f aca="false">IFERROR(N7/M7*100,"N/A")</f>
        <v>N/A</v>
      </c>
      <c r="P7" s="48" t="str">
        <f aca="false">IF(AND(G7&gt;0, H7=0), IF(ROUND(K7,8)=0, "Group 9: Only Passed | Without variation (SD Passed = 0)", "Group 10: Only Passed | With variation (SD Passed &gt; 0)"), IF(AND(G7=0, H7&gt;0), IF(ROUND(N7,8)=0, "Group 11: Only Failed | Without variation (SD Failed = 0)", "Group 12: Only Failed | With variation (SD Failed &gt; 0)"), IF(AND(G7&gt;0, H7&gt;0), IF(ROUND(J7,5)&lt;&gt;ROUND(M7,5), IF(AND(ROUND(K7,8)=0, ROUND(N7,8)=0), "Group 1: Flaky | Passed (no variation) AND Failed (no variation) | Different Means", IF(AND(ROUND(K7,8)&gt;0, ROUND(N7,8)&gt;0), "Group 2: Flaky | Passed (with variation) AND Failed (with variation) | Different Means", IF(AND(ROUND(K7,8)=0, ROUND(N7,8)&gt;0), "Group 3: Flaky | Passed (no variation) AND Failed (with variation) | Different Means", "Group 4: Flaky | Passed (with variation) AND Failed (no variation) | Different Means"))), IF(AND(ROUND(K7,8)=0, ROUND(N7,8)=0), "Group 5: Flaky | Passed (no variation) AND Failed (no variation) | Equal Means", IF(AND(ROUND(K7,8)&gt;0, ROUND(N7,8)&gt;0), "Group 6: Flaky | Passed (with variation) AND Failed (with variation) | Equal Means", IF(AND(ROUND(K7,8)=0, ROUND(N7,8)&gt;0),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" s="49" t="n">
        <v>100</v>
      </c>
      <c r="R7" s="22" t="n">
        <v>0</v>
      </c>
      <c r="S7" s="23" t="str">
        <f aca="false">IF(AND(Q7&gt;0, R7&gt;0), "Observed Flaky Test", "Non-observed Flaky Test")</f>
        <v>Non-observed Flaky Test</v>
      </c>
      <c r="T7" s="22" t="n">
        <v>4320204.02</v>
      </c>
      <c r="U7" s="24" t="n">
        <v>283.894844</v>
      </c>
      <c r="V7" s="25" t="n">
        <f aca="false">IFERROR(U7/T7*100,"N/A")</f>
        <v>0.00657132956419961</v>
      </c>
      <c r="W7" s="22" t="n">
        <v>0</v>
      </c>
      <c r="X7" s="22" t="n">
        <v>0</v>
      </c>
      <c r="Y7" s="27" t="str">
        <f aca="false">IFERROR(X7/W7*100,"N/A")</f>
        <v>N/A</v>
      </c>
      <c r="Z7" s="50" t="str">
        <f aca="false">IF(AND(Q7&gt;0, R7=0), IF(IFERROR(ROUND(V7,8),0)=0, "Group 9: Only Passed | Without variation (no var CV = 0)", "Group 10: Only Passed | With variation (with var CV &gt; 0)"), IF(AND(Q7=0, R7&gt;0), IF(IFERROR(ROUND(Y7,8),0)=0, "Group 11: Only Failed | Without variation (no var CV = 0)", "Group 12: Only Failed | With variation (with var CV &gt; 0)"), IF(AND(Q7&gt;0, R7&gt;0), IF(ROUND(T7,5)&lt;&gt;ROUND(W7,5), IF(AND(IFERROR(ROUND(V7,8),0)=0, IFERROR(ROUND(Y7,8),0)=0), "Group 1: Flaky | Passed (no variation: CV = 0) AND Failed (no variation: CV = 0) | Different Means", IF(AND(IFERROR(ROUND(V7,8),0)&gt;0, IFERROR(ROUND(Y7,8),0)&gt;0), "Group 2: Flaky | Passed (with variation: CV &gt; 0) AND Failed (with variation: CV &gt; 0) | Different Means", IF(AND(IFERROR(ROUND(V7,8),0)=0, IFERROR(ROUND(Y7,8),0)&gt;0), "Group 3: Flaky | Passed (no variation: CV = 0) AND Failed (with variation: CV &gt; 0) | Different Means", "Group 4: Flaky | Passed (with variation: CV &gt; 0) AND Failed (no variation: CV = 0) | Different Means"))), IF(AND(IFERROR(ROUND(V7,8),0)=0, IFERROR(ROUND(Y7,8),0)=0), "Group 5: Flaky | Passed (no var CV = 0) AND Failed (no var CV = 0) | Equal Means", IF(AND(IFERROR(ROUND(V7,8),0)&gt;0, IFERROR(ROUND(Y7,8),0)&gt;0), "Group 6: Flaky | Passed (with var CV &gt; 0) AND Failed (with var CV &gt; 0) | Equal Means", IF(AND(IFERROR(ROUND(V7,8),0)=0, IFERROR(ROUND(Y7,8),0)&gt;0),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7" s="29" t="n">
        <v>2.568642</v>
      </c>
      <c r="AB7" s="29" t="n">
        <v>0.081876</v>
      </c>
      <c r="AC7" s="29" t="n">
        <f aca="false">IFERROR(AB7/AA7*100,"N/A")</f>
        <v>3.18752087679015</v>
      </c>
      <c r="AD7" s="29" t="n">
        <v>0</v>
      </c>
      <c r="AE7" s="29" t="n">
        <v>0</v>
      </c>
      <c r="AF7" s="29" t="str">
        <f aca="false">IFERROR(AE7/AD7*100,"N/A")</f>
        <v>N/A</v>
      </c>
      <c r="AG7" s="51" t="str">
        <f aca="false">IF(AND(Q7&gt;0, R7=0), IF(IFERROR(ROUND(AC7,8),0)=0, "Group 9: Only Passed | Without variation (no var CV = 0)", "Group 10: Only Passed | With variation (with var CV &gt; 0)"), IF(AND(Q7=0, R7&gt;0), IF(IFERROR(ROUND(AF7,8),0)=0, "Group 11: Only Failed | Without variation (no var CV = 0)", "Group 12: Only Failed | With variation (with var CV &gt; 0)"), IF(AND(Q7&gt;0, R7&gt;0), IF(ROUND(AA7,5)&lt;&gt;ROUND(AD7,5), IF(AND(IFERROR(ROUND(AC7,8),0)=0, IFERROR(ROUND(AF7,8),0)=0), "Group 1: Flaky | Passed (no variation: CV = 0) AND Failed (no variation: CV = 0) | Different Means", IF(AND(IFERROR(ROUND(AC7,8),0)&gt;0, IFERROR(ROUND(AF7,8),0)&gt;0), "Group 2: Flaky | Passed (with variation: CV &gt; 0) AND Failed (with variation: CV &gt; 0) | Different Means", IF(AND(IFERROR(ROUND(AC7,8),0)=0, IFERROR(ROUND(AF7,8),0)&gt;0), "Group 3: Flaky | Passed (no variation: CV = 0) AND Failed (with variation: CV &gt; 0) | Different Means", "Group 4: Flaky | Passed (with variation: CV &gt; 0) AND Failed (no variation: CV = 0) | Different Means"))), IF(AND(IFERROR(ROUND(AC7,8),0)=0, IFERROR(ROUND(AF7,8),0)=0), "Group 5: Flaky | Passed (no var CV = 0) AND Failed (no var CV = 0) | Equal Means", IF(AND(IFERROR(ROUND(AC7,8),0)&gt;0, IFERROR(ROUND(AF7,8),0)&gt;0), "Group 6: Flaky | Passed (with var CV &gt; 0) AND Failed (with var CV &gt; 0) | Equal Means", IF(AND(IFERROR(ROUND(AC7,8),0)=0, IFERROR(ROUND(AF7,8),0)&gt;0),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7" s="22" t="n">
        <v>100</v>
      </c>
      <c r="AI7" s="17" t="n">
        <v>0</v>
      </c>
      <c r="AJ7" s="31" t="str">
        <f aca="false">IF(AND(AH7&gt;0, AI7&gt;0), "Observed Flaky Test", "Non-observed Flaky Test")</f>
        <v>Non-observed Flaky Test</v>
      </c>
      <c r="AK7" s="32" t="n">
        <v>2865901.53</v>
      </c>
      <c r="AL7" s="40" t="n">
        <v>81.5464737051049</v>
      </c>
      <c r="AM7" s="33" t="n">
        <f aca="false">IFERROR(AL7/AK7*100,"N/A")</f>
        <v>0.00284540389303274</v>
      </c>
      <c r="AN7" s="32" t="n">
        <v>0</v>
      </c>
      <c r="AO7" s="32" t="n">
        <v>0</v>
      </c>
      <c r="AP7" s="35" t="str">
        <f aca="false">IFERROR(AO7/AN7*100,"N/A")</f>
        <v>N/A</v>
      </c>
      <c r="AQ7" s="52" t="str">
        <f aca="false">IF(AND(AH7&gt;0, AI7&gt;0),
    IF(ROUND(N(AK7),5)&lt;&gt;ROUND(N(AN7),5),
        IF(AND(ROUND(N(AL7),8)=0, ROUND(N(AO7),8)=0), "Group 1: Flaky | Passed (no variation: SD = 0) AND Failed (no variation: SD = 0) | Different Means",
        IF(AND(ROUND(N(AL7),8)&gt;0, ROUND(N(AO7),8)&gt;0), "Group 2: Flaky | Passed (with variation: SD &gt; 0) AND Failed (with variation: SD &gt; 0) | Different Means",
        IF(AND(ROUND(N(AL7),8)=0, ROUND(N(AO7),8)&gt;0), "Group 3: Flaky | Passed (no variation: SD = 0) AND Failed (with variation: SD &gt; 0) | Different Means",
        "Group 4: Flaky | Passed (with variation: SD &gt; 0) AND Failed (no variation: SD = 0) | Different Means"))),
        IF(AND(ROUND(N(AL7),8)=0, ROUND(N(AO7),8)=0), "Group 5: Flaky | Passed (no var SD = 0) AND Failed (no var SD = 0) | Equal Means",
        IF(AND(ROUND(N(AL7),8)&gt;0, ROUND(N(AO7),8)&gt;0), "Group 6: Flaky | Passed (with var SD &gt; 0 ) AND Failed (with var SD &gt; 0) | Equal Means",
        IF(AND(ROUND(N(AL7),8)=0, ROUND(N(AO7),8)&gt;0), "Group 7: Flaky | Passed (no var SD = 0) AND Failed (with var SD &gt; 0) | Equal Means",
        "Group 8: Flaky | Passed (with var SD &gt; 0 ) AND Failed (no var SD = 0) | Equal Means")))
    ),
    IF(AH7&gt;0,
        IF(N(AL7)&gt;0, "Group 10: Only Passed | With variation (with var SD &gt; 0)", "Group 9: Only Passed | Without variation (no var SD = 0)"),
        IF(AI7&gt;0,
            IF(N(AO7)&gt;0,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" s="37" t="str">
        <f aca="false">IF(OR(F7="Observed Flaky Test", I7="Observed Flaky Test", S7="Observed Flaky Test", AJ7="Observed Flaky Test"), "Observed Flaky Test", "Non-observed Flaky Test")</f>
        <v>Non-observed Flaky Test</v>
      </c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customFormat="false" ht="15.75" hidden="false" customHeight="true" outlineLevel="0" collapsed="false">
      <c r="A8" s="13"/>
      <c r="B8" s="14" t="s">
        <v>38</v>
      </c>
      <c r="C8" s="14" t="s">
        <v>39</v>
      </c>
      <c r="D8" s="15" t="n">
        <v>0</v>
      </c>
      <c r="E8" s="15" t="n">
        <v>100</v>
      </c>
      <c r="F8" s="16" t="str">
        <f aca="false">IF(AND(D8&gt;0, E8&gt;0), "Observed Flaky Test", "Non-observed Flaky Test")</f>
        <v>Non-observed Flaky Test</v>
      </c>
      <c r="G8" s="22" t="n">
        <v>0</v>
      </c>
      <c r="H8" s="22" t="n">
        <v>100</v>
      </c>
      <c r="I8" s="16" t="str">
        <f aca="false">IF(AND(G8&gt;0, H8&gt;0), "Observed Flaky Test", "Non-observed Flaky Test")</f>
        <v>Non-observed Flaky Test</v>
      </c>
      <c r="J8" s="18" t="n">
        <v>0</v>
      </c>
      <c r="K8" s="18" t="n">
        <v>0</v>
      </c>
      <c r="L8" s="19" t="str">
        <f aca="false">IFERROR(K8/J8*100,"N/A")</f>
        <v>N/A</v>
      </c>
      <c r="M8" s="46" t="n">
        <v>8.5109</v>
      </c>
      <c r="N8" s="53" t="n">
        <v>0.002862</v>
      </c>
      <c r="O8" s="20" t="n">
        <f aca="false">IFERROR(N8/M8*100,"N/A")</f>
        <v>0.0336274659554219</v>
      </c>
      <c r="P8" s="54" t="str">
        <f aca="false">IF(AND(G8&gt;0, H8=0), IF(ROUND(K8,8)=0, "Group 9: Only Passed | Without variation (SD Passed = 0)", "Group 10: Only Passed | With variation (SD Passed &gt; 0)"), IF(AND(G8=0, H8&gt;0), IF(ROUND(N8,8)=0, "Group 11: Only Failed | Without variation (SD Failed = 0)", "Group 12: Only Failed | With variation (SD Failed &gt; 0)"), IF(AND(G8&gt;0, H8&gt;0), IF(ROUND(J8,5)&lt;&gt;ROUND(M8,5), IF(AND(ROUND(K8,8)=0, ROUND(N8,8)=0), "Group 1: Flaky | Passed (no variation) AND Failed (no variation) | Different Means", IF(AND(ROUND(K8,8)&gt;0, ROUND(N8,8)&gt;0), "Group 2: Flaky | Passed (with variation) AND Failed (with variation) | Different Means", IF(AND(ROUND(K8,8)=0, ROUND(N8,8)&gt;0), "Group 3: Flaky | Passed (no variation) AND Failed (with variation) | Different Means", "Group 4: Flaky | Passed (with variation) AND Failed (no variation) | Different Means"))), IF(AND(ROUND(K8,8)=0, ROUND(N8,8)=0), "Group 5: Flaky | Passed (no variation) AND Failed (no variation) | Equal Means", IF(AND(ROUND(K8,8)&gt;0, ROUND(N8,8)&gt;0), "Group 6: Flaky | Passed (with variation) AND Failed (with variation) | Equal Means", IF(AND(ROUND(K8,8)=0, ROUND(N8,8)&gt;0), "Group 7: Flaky | Passed (no variation) AND Failed (with variation) | Equal Means", "Group 8: Flaky | Passed (with variation) AND Failed (no variation) | Equal Means")))), "Invalid")))</f>
        <v>Group 12: Only Failed | With variation (SD Failed &gt; 0)</v>
      </c>
      <c r="Q8" s="22" t="n">
        <v>0</v>
      </c>
      <c r="R8" s="22" t="n">
        <v>100</v>
      </c>
      <c r="S8" s="23" t="str">
        <f aca="false">IF(AND(Q8&gt;0, R8&gt;0), "Observed Flaky Test", "Non-observed Flaky Test")</f>
        <v>Non-observed Flaky Test</v>
      </c>
      <c r="T8" s="24" t="n">
        <v>0</v>
      </c>
      <c r="U8" s="24" t="n">
        <v>0</v>
      </c>
      <c r="V8" s="25" t="str">
        <f aca="false">IFERROR(U8/T8*100,"N/A")</f>
        <v>N/A</v>
      </c>
      <c r="W8" s="55" t="n">
        <v>4916823</v>
      </c>
      <c r="X8" s="24" t="n">
        <v>148.872191</v>
      </c>
      <c r="Y8" s="27" t="n">
        <f aca="false">IFERROR(X8/W8*100,"N/A")</f>
        <v>0.00302781269531159</v>
      </c>
      <c r="Z8" s="28" t="str">
        <f aca="false">IF(AND(Q8&gt;0, R8=0), IF(IFERROR(ROUND(V8,8),0)=0, "Group 9: Only Passed | Without variation (no var CV = 0)", "Group 10: Only Passed | With variation (with var CV &gt; 0)"), IF(AND(Q8=0, R8&gt;0), IF(IFERROR(ROUND(Y8,8),0)=0, "Group 11: Only Failed | Without variation (no var CV = 0)", "Group 12: Only Failed | With variation (with var CV &gt; 0)"), IF(AND(Q8&gt;0, R8&gt;0), IF(ROUND(T8,5)&lt;&gt;ROUND(W8,5), IF(AND(IFERROR(ROUND(V8,8),0)=0, IFERROR(ROUND(Y8,8),0)=0), "Group 1: Flaky | Passed (no variation: CV = 0) AND Failed (no variation: CV = 0) | Different Means", IF(AND(IFERROR(ROUND(V8,8),0)&gt;0, IFERROR(ROUND(Y8,8),0)&gt;0), "Group 2: Flaky | Passed (with variation: CV &gt; 0) AND Failed (with variation: CV &gt; 0) | Different Means", IF(AND(IFERROR(ROUND(V8,8),0)=0, IFERROR(ROUND(Y8,8),0)&gt;0), "Group 3: Flaky | Passed (no variation: CV = 0) AND Failed (with variation: CV &gt; 0) | Different Means", "Group 4: Flaky | Passed (with variation: CV &gt; 0) AND Failed (no variation: CV = 0) | Different Means"))), IF(AND(IFERROR(ROUND(V8,8),0)=0, IFERROR(ROUND(Y8,8),0)=0), "Group 5: Flaky | Passed (no var CV = 0) AND Failed (no var CV = 0) | Equal Means", IF(AND(IFERROR(ROUND(V8,8),0)&gt;0, IFERROR(ROUND(Y8,8),0)&gt;0), "Group 6: Flaky | Passed (with var CV &gt; 0) AND Failed (with var CV &gt; 0) | Equal Means", IF(AND(IFERROR(ROUND(V8,8),0)=0, IFERROR(ROUND(Y8,8),0)&gt;0),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8" s="29" t="n">
        <v>0</v>
      </c>
      <c r="AB8" s="29" t="n">
        <v>0</v>
      </c>
      <c r="AC8" s="29" t="str">
        <f aca="false">IFERROR(AB8/AA8*100,"N/A")</f>
        <v>N/A</v>
      </c>
      <c r="AD8" s="29" t="n">
        <v>3.228576</v>
      </c>
      <c r="AE8" s="29" t="n">
        <v>0.090421</v>
      </c>
      <c r="AF8" s="29" t="n">
        <f aca="false">IFERROR(AE8/AD8*100,"N/A")</f>
        <v>2.80064647696074</v>
      </c>
      <c r="AG8" s="30" t="str">
        <f aca="false">IF(AND(Q8&gt;0, R8=0), IF(IFERROR(ROUND(AC8,8),0)=0, "Group 9: Only Passed | Without variation (no var CV = 0)", "Group 10: Only Passed | With variation (with var CV &gt; 0)"), IF(AND(Q8=0, R8&gt;0), IF(IFERROR(ROUND(AF8,8),0)=0, "Group 11: Only Failed | Without variation (no var CV = 0)", "Group 12: Only Failed | With variation (with var CV &gt; 0)"), IF(AND(Q8&gt;0, R8&gt;0), IF(ROUND(AA8,5)&lt;&gt;ROUND(AD8,5), IF(AND(IFERROR(ROUND(AC8,8),0)=0, IFERROR(ROUND(AF8,8),0)=0), "Group 1: Flaky | Passed (no variation: CV = 0) AND Failed (no variation: CV = 0) | Different Means", IF(AND(IFERROR(ROUND(AC8,8),0)&gt;0, IFERROR(ROUND(AF8,8),0)&gt;0), "Group 2: Flaky | Passed (with variation: CV &gt; 0) AND Failed (with variation: CV &gt; 0) | Different Means", IF(AND(IFERROR(ROUND(AC8,8),0)=0, IFERROR(ROUND(AF8,8),0)&gt;0), "Group 3: Flaky | Passed (no variation: CV = 0) AND Failed (with variation: CV &gt; 0) | Different Means", "Group 4: Flaky | Passed (with variation: CV &gt; 0) AND Failed (no variation: CV = 0) | Different Means"))), IF(AND(IFERROR(ROUND(AC8,8),0)=0, IFERROR(ROUND(AF8,8),0)=0), "Group 5: Flaky | Passed (no var CV = 0) AND Failed (no var CV = 0) | Equal Means", IF(AND(IFERROR(ROUND(AC8,8),0)&gt;0, IFERROR(ROUND(AF8,8),0)&gt;0), "Group 6: Flaky | Passed (with var CV &gt; 0) AND Failed (with var CV &gt; 0) | Equal Means", IF(AND(IFERROR(ROUND(AC8,8),0)=0, IFERROR(ROUND(AF8,8),0)&gt;0),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8" s="22" t="n">
        <v>0</v>
      </c>
      <c r="AI8" s="17" t="n">
        <v>100</v>
      </c>
      <c r="AJ8" s="31" t="str">
        <f aca="false">IF(AND(AH8&gt;0, AI8&gt;0), "Observed Flaky Test", "Non-observed Flaky Test")</f>
        <v>Non-observed Flaky Test</v>
      </c>
      <c r="AK8" s="32" t="n">
        <v>0</v>
      </c>
      <c r="AL8" s="32" t="n">
        <v>0</v>
      </c>
      <c r="AM8" s="33" t="str">
        <f aca="false">IFERROR(AL8/AK8*100,"N/A")</f>
        <v>N/A</v>
      </c>
      <c r="AN8" s="32" t="n">
        <v>2793162.36</v>
      </c>
      <c r="AO8" s="40" t="n">
        <v>75.4259982507438</v>
      </c>
      <c r="AP8" s="35" t="n">
        <f aca="false">IFERROR(AO8/AN8*100,"N/A")</f>
        <v>0.00270038001839405</v>
      </c>
      <c r="AQ8" s="36" t="str">
        <f aca="false">IF(AND(AH8&gt;0, AI8&gt;0),
    IF(ROUND(N(AK8),5)&lt;&gt;ROUND(N(AN8),5),
        IF(AND(ROUND(N(AL8),8)=0, ROUND(N(AO8),8)=0), "Group 1: Flaky | Passed (no variation: SD = 0) AND Failed (no variation: SD = 0) | Different Means",
        IF(AND(ROUND(N(AL8),8)&gt;0, ROUND(N(AO8),8)&gt;0), "Group 2: Flaky | Passed (with variation: SD &gt; 0) AND Failed (with variation: SD &gt; 0) | Different Means",
        IF(AND(ROUND(N(AL8),8)=0, ROUND(N(AO8),8)&gt;0), "Group 3: Flaky | Passed (no variation: SD = 0) AND Failed (with variation: SD &gt; 0) | Different Means",
        "Group 4: Flaky | Passed (with variation: SD &gt; 0) AND Failed (no variation: SD = 0) | Different Means"))),
        IF(AND(ROUND(N(AL8),8)=0, ROUND(N(AO8),8)=0), "Group 5: Flaky | Passed (no var SD = 0) AND Failed (no var SD = 0) | Equal Means",
        IF(AND(ROUND(N(AL8),8)&gt;0, ROUND(N(AO8),8)&gt;0), "Group 6: Flaky | Passed (with var SD &gt; 0 ) AND Failed (with var SD &gt; 0) | Equal Means",
        IF(AND(ROUND(N(AL8),8)=0, ROUND(N(AO8),8)&gt;0), "Group 7: Flaky | Passed (no var SD = 0) AND Failed (with var SD &gt; 0) | Equal Means",
        "Group 8: Flaky | Passed (with var SD &gt; 0 ) AND Failed (no var SD = 0) | Equal Means")))
    ),
    IF(AH8&gt;0,
        IF(N(AL8)&gt;0, "Group 10: Only Passed | With variation (with var SD &gt; 0)", "Group 9: Only Passed | Without variation (no var SD = 0)"),
        IF(AI8&gt;0,
            IF(N(AO8)&gt;0,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8" s="37" t="str">
        <f aca="false">IF(OR(F8="Observed Flaky Test", I8="Observed Flaky Test", S8="Observed Flaky Test", AJ8="Observed Flaky Test"), "Observed Flaky Test", "Non-observed Flaky Test")</f>
        <v>Non-observed Flaky Test</v>
      </c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customFormat="false" ht="15.75" hidden="false" customHeight="true" outlineLevel="0" collapsed="false">
      <c r="A9" s="13"/>
      <c r="B9" s="14" t="s">
        <v>40</v>
      </c>
      <c r="C9" s="14" t="s">
        <v>41</v>
      </c>
      <c r="D9" s="15" t="n">
        <v>100</v>
      </c>
      <c r="E9" s="15" t="n">
        <v>0</v>
      </c>
      <c r="F9" s="16" t="str">
        <f aca="false">IF(AND(D9&gt;0, E9&gt;0), "Observed Flaky Test", "Non-observed Flaky Test")</f>
        <v>Non-observed Flaky Test</v>
      </c>
      <c r="G9" s="17" t="n">
        <v>100</v>
      </c>
      <c r="H9" s="17" t="n">
        <v>0</v>
      </c>
      <c r="I9" s="16" t="str">
        <f aca="false">IF(AND(G9&gt;0, H9&gt;0), "Observed Flaky Test", "Non-observed Flaky Test")</f>
        <v>Non-observed Flaky Test</v>
      </c>
      <c r="J9" s="46" t="n">
        <v>8.6008</v>
      </c>
      <c r="K9" s="53" t="n">
        <v>0.003919</v>
      </c>
      <c r="L9" s="19" t="n">
        <f aca="false">IFERROR(K9/J9*100,"N/A")</f>
        <v>0.0455655287880197</v>
      </c>
      <c r="M9" s="18" t="n">
        <v>0</v>
      </c>
      <c r="N9" s="18" t="n">
        <v>0</v>
      </c>
      <c r="O9" s="20" t="str">
        <f aca="false">IFERROR(N9/M9*100,"N/A")</f>
        <v>N/A</v>
      </c>
      <c r="P9" s="48" t="str">
        <f aca="false">IF(AND(G9&gt;0, H9=0), IF(ROUND(K9,8)=0, "Group 9: Only Passed | Without variation (SD Passed = 0)", "Group 10: Only Passed | With variation (SD Passed &gt; 0)"), IF(AND(G9=0, H9&gt;0), IF(ROUND(N9,8)=0, "Group 11: Only Failed | Without variation (SD Failed = 0)", "Group 12: Only Failed | With variation (SD Failed &gt; 0)"), IF(AND(G9&gt;0, H9&gt;0), IF(ROUND(J9,5)&lt;&gt;ROUND(M9,5), IF(AND(ROUND(K9,8)=0, ROUND(N9,8)=0), "Group 1: Flaky | Passed (no variation) AND Failed (no variation) | Different Means", IF(AND(ROUND(K9,8)&gt;0, ROUND(N9,8)&gt;0), "Group 2: Flaky | Passed (with variation) AND Failed (with variation) | Different Means", IF(AND(ROUND(K9,8)=0, ROUND(N9,8)&gt;0), "Group 3: Flaky | Passed (no variation) AND Failed (with variation) | Different Means", "Group 4: Flaky | Passed (with variation) AND Failed (no variation) | Different Means"))), IF(AND(ROUND(K9,8)=0, ROUND(N9,8)=0), "Group 5: Flaky | Passed (no variation) AND Failed (no variation) | Equal Means", IF(AND(ROUND(K9,8)&gt;0, ROUND(N9,8)&gt;0), "Group 6: Flaky | Passed (with variation) AND Failed (with variation) | Equal Means", IF(AND(ROUND(K9,8)=0, ROUND(N9,8)&gt;0),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9" s="22" t="n">
        <v>100</v>
      </c>
      <c r="R9" s="22" t="n">
        <v>0</v>
      </c>
      <c r="S9" s="23" t="str">
        <f aca="false">IF(AND(Q9&gt;0, R9&gt;0), "Observed Flaky Test", "Non-observed Flaky Test")</f>
        <v>Non-observed Flaky Test</v>
      </c>
      <c r="T9" s="22" t="n">
        <v>4275150.27</v>
      </c>
      <c r="U9" s="24" t="n">
        <v>117.907159</v>
      </c>
      <c r="V9" s="25" t="n">
        <f aca="false">IFERROR(U9/T9*100,"N/A")</f>
        <v>0.00275796525393247</v>
      </c>
      <c r="W9" s="22" t="n">
        <v>0</v>
      </c>
      <c r="X9" s="22" t="n">
        <v>0</v>
      </c>
      <c r="Y9" s="27" t="str">
        <f aca="false">IFERROR(X9/W9*100,"N/A")</f>
        <v>N/A</v>
      </c>
      <c r="Z9" s="50" t="str">
        <f aca="false">IF(AND(Q9&gt;0, R9=0), IF(IFERROR(ROUND(V9,8),0)=0, "Group 9: Only Passed | Without variation (no var CV = 0)", "Group 10: Only Passed | With variation (with var CV &gt; 0)"), IF(AND(Q9=0, R9&gt;0), IF(IFERROR(ROUND(Y9,8),0)=0, "Group 11: Only Failed | Without variation (no var CV = 0)", "Group 12: Only Failed | With variation (with var CV &gt; 0)"), IF(AND(Q9&gt;0, R9&gt;0), IF(ROUND(T9,5)&lt;&gt;ROUND(W9,5), IF(AND(IFERROR(ROUND(V9,8),0)=0, IFERROR(ROUND(Y9,8),0)=0), "Group 1: Flaky | Passed (no variation: CV = 0) AND Failed (no variation: CV = 0) | Different Means", IF(AND(IFERROR(ROUND(V9,8),0)&gt;0, IFERROR(ROUND(Y9,8),0)&gt;0), "Group 2: Flaky | Passed (with variation: CV &gt; 0) AND Failed (with variation: CV &gt; 0) | Different Means", IF(AND(IFERROR(ROUND(V9,8),0)=0, IFERROR(ROUND(Y9,8),0)&gt;0), "Group 3: Flaky | Passed (no variation: CV = 0) AND Failed (with variation: CV &gt; 0) | Different Means", "Group 4: Flaky | Passed (with variation: CV &gt; 0) AND Failed (no variation: CV = 0) | Different Means"))), IF(AND(IFERROR(ROUND(V9,8),0)=0, IFERROR(ROUND(Y9,8),0)=0), "Group 5: Flaky | Passed (no var CV = 0) AND Failed (no var CV = 0) | Equal Means", IF(AND(IFERROR(ROUND(V9,8),0)&gt;0, IFERROR(ROUND(Y9,8),0)&gt;0), "Group 6: Flaky | Passed (with var CV &gt; 0) AND Failed (with var CV &gt; 0) | Equal Means", IF(AND(IFERROR(ROUND(V9,8),0)=0, IFERROR(ROUND(Y9,8),0)&gt;0),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" s="29" t="n">
        <v>2.417762</v>
      </c>
      <c r="AB9" s="29" t="n">
        <v>0.11188</v>
      </c>
      <c r="AC9" s="29" t="n">
        <f aca="false">IFERROR(AB9/AA9*100,"N/A")</f>
        <v>4.62741990319974</v>
      </c>
      <c r="AD9" s="29" t="n">
        <v>0</v>
      </c>
      <c r="AE9" s="29" t="n">
        <v>0</v>
      </c>
      <c r="AF9" s="29" t="str">
        <f aca="false">IFERROR(AE9/AD9*100,"N/A")</f>
        <v>N/A</v>
      </c>
      <c r="AG9" s="51" t="str">
        <f aca="false">IF(AND(Q9&gt;0, R9=0), IF(IFERROR(ROUND(AC9,8),0)=0, "Group 9: Only Passed | Without variation (no var CV = 0)", "Group 10: Only Passed | With variation (with var CV &gt; 0)"), IF(AND(Q9=0, R9&gt;0), IF(IFERROR(ROUND(AF9,8),0)=0, "Group 11: Only Failed | Without variation (no var CV = 0)", "Group 12: Only Failed | With variation (with var CV &gt; 0)"), IF(AND(Q9&gt;0, R9&gt;0), IF(ROUND(AA9,5)&lt;&gt;ROUND(AD9,5), IF(AND(IFERROR(ROUND(AC9,8),0)=0, IFERROR(ROUND(AF9,8),0)=0), "Group 1: Flaky | Passed (no variation: CV = 0) AND Failed (no variation: CV = 0) | Different Means", IF(AND(IFERROR(ROUND(AC9,8),0)&gt;0, IFERROR(ROUND(AF9,8),0)&gt;0), "Group 2: Flaky | Passed (with variation: CV &gt; 0) AND Failed (with variation: CV &gt; 0) | Different Means", IF(AND(IFERROR(ROUND(AC9,8),0)=0, IFERROR(ROUND(AF9,8),0)&gt;0), "Group 3: Flaky | Passed (no variation: CV = 0) AND Failed (with variation: CV &gt; 0) | Different Means", "Group 4: Flaky | Passed (with variation: CV &gt; 0) AND Failed (no variation: CV = 0) | Different Means"))), IF(AND(IFERROR(ROUND(AC9,8),0)=0, IFERROR(ROUND(AF9,8),0)=0), "Group 5: Flaky | Passed (no var CV = 0) AND Failed (no var CV = 0) | Equal Means", IF(AND(IFERROR(ROUND(AC9,8),0)&gt;0, IFERROR(ROUND(AF9,8),0)&gt;0), "Group 6: Flaky | Passed (with var CV &gt; 0) AND Failed (with var CV &gt; 0) | Equal Means", IF(AND(IFERROR(ROUND(AC9,8),0)=0, IFERROR(ROUND(AF9,8),0)&gt;0),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" s="22" t="n">
        <v>100</v>
      </c>
      <c r="AI9" s="17" t="n">
        <v>0</v>
      </c>
      <c r="AJ9" s="31" t="str">
        <f aca="false">IF(AND(AH9&gt;0, AI9&gt;0), "Observed Flaky Test", "Non-observed Flaky Test")</f>
        <v>Non-observed Flaky Test</v>
      </c>
      <c r="AK9" s="32" t="n">
        <v>2795018.99</v>
      </c>
      <c r="AL9" s="40" t="n">
        <v>67.8870861404911</v>
      </c>
      <c r="AM9" s="33" t="n">
        <f aca="false">IFERROR(AL9/AK9*100,"N/A")</f>
        <v>0.0024288595670862</v>
      </c>
      <c r="AN9" s="32" t="n">
        <v>0</v>
      </c>
      <c r="AO9" s="32" t="n">
        <v>0</v>
      </c>
      <c r="AP9" s="35" t="str">
        <f aca="false">IFERROR(AO9/AN9*100,"N/A")</f>
        <v>N/A</v>
      </c>
      <c r="AQ9" s="52" t="str">
        <f aca="false">IF(AND(AH9&gt;0, AI9&gt;0),
    IF(ROUND(N(AK9),5)&lt;&gt;ROUND(N(AN9),5),
        IF(AND(ROUND(N(AL9),8)=0, ROUND(N(AO9),8)=0), "Group 1: Flaky | Passed (no variation: SD = 0) AND Failed (no variation: SD = 0) | Different Means",
        IF(AND(ROUND(N(AL9),8)&gt;0, ROUND(N(AO9),8)&gt;0), "Group 2: Flaky | Passed (with variation: SD &gt; 0) AND Failed (with variation: SD &gt; 0) | Different Means",
        IF(AND(ROUND(N(AL9),8)=0, ROUND(N(AO9),8)&gt;0), "Group 3: Flaky | Passed (no variation: SD = 0) AND Failed (with variation: SD &gt; 0) | Different Means",
        "Group 4: Flaky | Passed (with variation: SD &gt; 0) AND Failed (no variation: SD = 0) | Different Means"))),
        IF(AND(ROUND(N(AL9),8)=0, ROUND(N(AO9),8)=0), "Group 5: Flaky | Passed (no var SD = 0) AND Failed (no var SD = 0) | Equal Means",
        IF(AND(ROUND(N(AL9),8)&gt;0, ROUND(N(AO9),8)&gt;0), "Group 6: Flaky | Passed (with var SD &gt; 0 ) AND Failed (with var SD &gt; 0) | Equal Means",
        IF(AND(ROUND(N(AL9),8)=0, ROUND(N(AO9),8)&gt;0), "Group 7: Flaky | Passed (no var SD = 0) AND Failed (with var SD &gt; 0) | Equal Means",
        "Group 8: Flaky | Passed (with var SD &gt; 0 ) AND Failed (no var SD = 0) | Equal Means")))
    ),
    IF(AH9&gt;0,
        IF(N(AL9)&gt;0, "Group 10: Only Passed | With variation (with var SD &gt; 0)", "Group 9: Only Passed | Without variation (no var SD = 0)"),
        IF(AI9&gt;0,
            IF(N(AO9)&gt;0,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9" s="37" t="str">
        <f aca="false">IF(OR(F9="Observed Flaky Test", I9="Observed Flaky Test", S9="Observed Flaky Test", AJ9="Observed Flaky Test"), "Observed Flaky Test", "Non-observed Flaky Test")</f>
        <v>Non-observed Flaky Test</v>
      </c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</row>
    <row r="10" customFormat="false" ht="15.75" hidden="false" customHeight="true" outlineLevel="0" collapsed="false">
      <c r="A10" s="13"/>
      <c r="B10" s="14" t="s">
        <v>42</v>
      </c>
      <c r="C10" s="14" t="s">
        <v>43</v>
      </c>
      <c r="D10" s="15" t="n">
        <v>100</v>
      </c>
      <c r="E10" s="15" t="n">
        <v>0</v>
      </c>
      <c r="F10" s="16" t="str">
        <f aca="false">IF(AND(D10&gt;0, E10&gt;0), "Observed Flaky Test", "Non-observed Flaky Test")</f>
        <v>Non-observed Flaky Test</v>
      </c>
      <c r="G10" s="17" t="n">
        <v>100</v>
      </c>
      <c r="H10" s="17" t="n">
        <v>0</v>
      </c>
      <c r="I10" s="16" t="str">
        <f aca="false">IF(AND(G10&gt;0, H10&gt;0), "Observed Flaky Test", "Non-observed Flaky Test")</f>
        <v>Non-observed Flaky Test</v>
      </c>
      <c r="J10" s="46" t="n">
        <v>8.6004</v>
      </c>
      <c r="K10" s="46" t="n">
        <v>0.0028</v>
      </c>
      <c r="L10" s="19" t="n">
        <f aca="false">IFERROR(K10/J10*100,"N/A")</f>
        <v>0.0325566252732431</v>
      </c>
      <c r="M10" s="18" t="n">
        <v>0</v>
      </c>
      <c r="N10" s="18" t="n">
        <v>0</v>
      </c>
      <c r="O10" s="20" t="str">
        <f aca="false">IFERROR(N10/M10*100,"N/A")</f>
        <v>N/A</v>
      </c>
      <c r="P10" s="48" t="str">
        <f aca="false">IF(AND(G10&gt;0, H10=0), IF(ROUND(K10,8)=0, "Group 9: Only Passed | Without variation (SD Passed = 0)", "Group 10: Only Passed | With variation (SD Passed &gt; 0)"), IF(AND(G10=0, H10&gt;0), IF(ROUND(N10,8)=0, "Group 11: Only Failed | Without variation (SD Failed = 0)", "Group 12: Only Failed | With variation (SD Failed &gt; 0)"), IF(AND(G10&gt;0, H10&gt;0), IF(ROUND(J10,5)&lt;&gt;ROUND(M10,5), IF(AND(ROUND(K10,8)=0, ROUND(N10,8)=0), "Group 1: Flaky | Passed (no variation) AND Failed (no variation) | Different Means", IF(AND(ROUND(K10,8)&gt;0, ROUND(N10,8)&gt;0), "Group 2: Flaky | Passed (with variation) AND Failed (with variation) | Different Means", IF(AND(ROUND(K10,8)=0, ROUND(N10,8)&gt;0), "Group 3: Flaky | Passed (no variation) AND Failed (with variation) | Different Means", "Group 4: Flaky | Passed (with variation) AND Failed (no variation) | Different Means"))), IF(AND(ROUND(K10,8)=0, ROUND(N10,8)=0), "Group 5: Flaky | Passed (no variation) AND Failed (no variation) | Equal Means", IF(AND(ROUND(K10,8)&gt;0, ROUND(N10,8)&gt;0), "Group 6: Flaky | Passed (with variation) AND Failed (with variation) | Equal Means", IF(AND(ROUND(K10,8)=0, ROUND(N10,8)&gt;0),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" s="22" t="n">
        <v>100</v>
      </c>
      <c r="R10" s="22" t="n">
        <v>0</v>
      </c>
      <c r="S10" s="23" t="str">
        <f aca="false">IF(AND(Q10&gt;0, R10&gt;0), "Observed Flaky Test", "Non-observed Flaky Test")</f>
        <v>Non-observed Flaky Test</v>
      </c>
      <c r="T10" s="55" t="n">
        <v>4275014.1</v>
      </c>
      <c r="U10" s="24" t="n">
        <v>185.844374</v>
      </c>
      <c r="V10" s="25" t="n">
        <f aca="false">IFERROR(U10/T10*100,"N/A")</f>
        <v>0.00434722248050597</v>
      </c>
      <c r="W10" s="22" t="n">
        <v>0</v>
      </c>
      <c r="X10" s="22" t="n">
        <v>0</v>
      </c>
      <c r="Y10" s="27" t="str">
        <f aca="false">IFERROR(X10/W10*100,"N/A")</f>
        <v>N/A</v>
      </c>
      <c r="Z10" s="50" t="str">
        <f aca="false">IF(AND(Q10&gt;0, R10=0), IF(IFERROR(ROUND(V10,8),0)=0, "Group 9: Only Passed | Without variation (no var CV = 0)", "Group 10: Only Passed | With variation (with var CV &gt; 0)"), IF(AND(Q10=0, R10&gt;0), IF(IFERROR(ROUND(Y10,8),0)=0, "Group 11: Only Failed | Without variation (no var CV = 0)", "Group 12: Only Failed | With variation (with var CV &gt; 0)"), IF(AND(Q10&gt;0, R10&gt;0), IF(ROUND(T10,5)&lt;&gt;ROUND(W10,5), IF(AND(IFERROR(ROUND(V10,8),0)=0, IFERROR(ROUND(Y10,8),0)=0), "Group 1: Flaky | Passed (no variation: CV = 0) AND Failed (no variation: CV = 0) | Different Means", IF(AND(IFERROR(ROUND(V10,8),0)&gt;0, IFERROR(ROUND(Y10,8),0)&gt;0), "Group 2: Flaky | Passed (with variation: CV &gt; 0) AND Failed (with variation: CV &gt; 0) | Different Means", IF(AND(IFERROR(ROUND(V10,8),0)=0, IFERROR(ROUND(Y10,8),0)&gt;0), "Group 3: Flaky | Passed (no variation: CV = 0) AND Failed (with variation: CV &gt; 0) | Different Means", "Group 4: Flaky | Passed (with variation: CV &gt; 0) AND Failed (no variation: CV = 0) | Different Means"))), IF(AND(IFERROR(ROUND(V10,8),0)=0, IFERROR(ROUND(Y10,8),0)=0), "Group 5: Flaky | Passed (no var CV = 0) AND Failed (no var CV = 0) | Equal Means", IF(AND(IFERROR(ROUND(V10,8),0)&gt;0, IFERROR(ROUND(Y10,8),0)&gt;0), "Group 6: Flaky | Passed (with var CV &gt; 0) AND Failed (with var CV &gt; 0) | Equal Means", IF(AND(IFERROR(ROUND(V10,8),0)=0, IFERROR(ROUND(Y10,8),0)&gt;0),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" s="29" t="n">
        <v>2.36211</v>
      </c>
      <c r="AB10" s="29" t="n">
        <v>0.095123</v>
      </c>
      <c r="AC10" s="29" t="n">
        <f aca="false">IFERROR(AB10/AA10*100,"N/A")</f>
        <v>4.02703515077621</v>
      </c>
      <c r="AD10" s="29" t="n">
        <v>0</v>
      </c>
      <c r="AE10" s="29" t="n">
        <v>0</v>
      </c>
      <c r="AF10" s="29" t="str">
        <f aca="false">IFERROR(AE10/AD10*100,"N/A")</f>
        <v>N/A</v>
      </c>
      <c r="AG10" s="51" t="str">
        <f aca="false">IF(AND(Q10&gt;0, R10=0), IF(IFERROR(ROUND(AC10,8),0)=0, "Group 9: Only Passed | Without variation (no var CV = 0)", "Group 10: Only Passed | With variation (with var CV &gt; 0)"), IF(AND(Q10=0, R10&gt;0), IF(IFERROR(ROUND(AF10,8),0)=0, "Group 11: Only Failed | Without variation (no var CV = 0)", "Group 12: Only Failed | With variation (with var CV &gt; 0)"), IF(AND(Q10&gt;0, R10&gt;0), IF(ROUND(AA10,5)&lt;&gt;ROUND(AD10,5), IF(AND(IFERROR(ROUND(AC10,8),0)=0, IFERROR(ROUND(AF10,8),0)=0), "Group 1: Flaky | Passed (no variation: CV = 0) AND Failed (no variation: CV = 0) | Different Means", IF(AND(IFERROR(ROUND(AC10,8),0)&gt;0, IFERROR(ROUND(AF10,8),0)&gt;0), "Group 2: Flaky | Passed (with variation: CV &gt; 0) AND Failed (with variation: CV &gt; 0) | Different Means", IF(AND(IFERROR(ROUND(AC10,8),0)=0, IFERROR(ROUND(AF10,8),0)&gt;0), "Group 3: Flaky | Passed (no variation: CV = 0) AND Failed (with variation: CV &gt; 0) | Different Means", "Group 4: Flaky | Passed (with variation: CV &gt; 0) AND Failed (no variation: CV = 0) | Different Means"))), IF(AND(IFERROR(ROUND(AC10,8),0)=0, IFERROR(ROUND(AF10,8),0)=0), "Group 5: Flaky | Passed (no var CV = 0) AND Failed (no var CV = 0) | Equal Means", IF(AND(IFERROR(ROUND(AC10,8),0)&gt;0, IFERROR(ROUND(AF10,8),0)&gt;0), "Group 6: Flaky | Passed (with var CV &gt; 0) AND Failed (with var CV &gt; 0) | Equal Means", IF(AND(IFERROR(ROUND(AC10,8),0)=0, IFERROR(ROUND(AF10,8),0)&gt;0),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" s="22" t="n">
        <v>100</v>
      </c>
      <c r="AI10" s="17" t="n">
        <v>0</v>
      </c>
      <c r="AJ10" s="31" t="str">
        <f aca="false">IF(AND(AH10&gt;0, AI10&gt;0), "Observed Flaky Test", "Non-observed Flaky Test")</f>
        <v>Non-observed Flaky Test</v>
      </c>
      <c r="AK10" s="32" t="n">
        <v>2792986.56</v>
      </c>
      <c r="AL10" s="40" t="n">
        <v>78.1737665574442</v>
      </c>
      <c r="AM10" s="33" t="n">
        <f aca="false">IFERROR(AL10/AK10*100,"N/A")</f>
        <v>0.00279893099655461</v>
      </c>
      <c r="AN10" s="32" t="n">
        <v>0</v>
      </c>
      <c r="AO10" s="32" t="n">
        <v>0</v>
      </c>
      <c r="AP10" s="35" t="str">
        <f aca="false">IFERROR(AO10/AN10*100,"N/A")</f>
        <v>N/A</v>
      </c>
      <c r="AQ10" s="52" t="str">
        <f aca="false">IF(AND(AH10&gt;0, AI10&gt;0),
    IF(ROUND(N(AK10),5)&lt;&gt;ROUND(N(AN10),5),
        IF(AND(ROUND(N(AL10),8)=0, ROUND(N(AO10),8)=0), "Group 1: Flaky | Passed (no variation: SD = 0) AND Failed (no variation: SD = 0) | Different Means",
        IF(AND(ROUND(N(AL10),8)&gt;0, ROUND(N(AO10),8)&gt;0), "Group 2: Flaky | Passed (with variation: SD &gt; 0) AND Failed (with variation: SD &gt; 0) | Different Means",
        IF(AND(ROUND(N(AL10),8)=0, ROUND(N(AO10),8)&gt;0), "Group 3: Flaky | Passed (no variation: SD = 0) AND Failed (with variation: SD &gt; 0) | Different Means",
        "Group 4: Flaky | Passed (with variation: SD &gt; 0) AND Failed (no variation: SD = 0) | Different Means"))),
        IF(AND(ROUND(N(AL10),8)=0, ROUND(N(AO10),8)=0), "Group 5: Flaky | Passed (no var SD = 0) AND Failed (no var SD = 0) | Equal Means",
        IF(AND(ROUND(N(AL10),8)&gt;0, ROUND(N(AO10),8)&gt;0), "Group 6: Flaky | Passed (with var SD &gt; 0 ) AND Failed (with var SD &gt; 0) | Equal Means",
        IF(AND(ROUND(N(AL10),8)=0, ROUND(N(AO10),8)&gt;0), "Group 7: Flaky | Passed (no var SD = 0) AND Failed (with var SD &gt; 0) | Equal Means",
        "Group 8: Flaky | Passed (with var SD &gt; 0 ) AND Failed (no var SD = 0) | Equal Means")))
    ),
    IF(AH10&gt;0,
        IF(N(AL10)&gt;0, "Group 10: Only Passed | With variation (with var SD &gt; 0)", "Group 9: Only Passed | Without variation (no var SD = 0)"),
        IF(AI10&gt;0,
            IF(N(AO10)&gt;0,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" s="37" t="str">
        <f aca="false">IF(OR(F10="Observed Flaky Test", I10="Observed Flaky Test", S10="Observed Flaky Test", AJ10="Observed Flaky Test"), "Observed Flaky Test", "Non-observed Flaky Test")</f>
        <v>Non-observed Flaky Test</v>
      </c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customFormat="false" ht="15.75" hidden="false" customHeight="true" outlineLevel="0" collapsed="false">
      <c r="A11" s="13"/>
      <c r="B11" s="14" t="s">
        <v>44</v>
      </c>
      <c r="C11" s="14" t="s">
        <v>45</v>
      </c>
      <c r="D11" s="15" t="n">
        <v>100</v>
      </c>
      <c r="E11" s="15" t="n">
        <v>0</v>
      </c>
      <c r="F11" s="16" t="str">
        <f aca="false">IF(AND(D11&gt;0, E11&gt;0), "Observed Flaky Test", "Non-observed Flaky Test")</f>
        <v>Non-observed Flaky Test</v>
      </c>
      <c r="G11" s="17" t="n">
        <v>100</v>
      </c>
      <c r="H11" s="17" t="n">
        <v>0</v>
      </c>
      <c r="I11" s="16" t="str">
        <f aca="false">IF(AND(G11&gt;0, H11&gt;0), "Observed Flaky Test", "Non-observed Flaky Test")</f>
        <v>Non-observed Flaky Test</v>
      </c>
      <c r="J11" s="18" t="n">
        <v>8.61</v>
      </c>
      <c r="K11" s="18" t="n">
        <v>0</v>
      </c>
      <c r="L11" s="19" t="n">
        <f aca="false">IFERROR(K11/J11*100,"N/A")</f>
        <v>0</v>
      </c>
      <c r="M11" s="18" t="n">
        <v>0</v>
      </c>
      <c r="N11" s="18" t="n">
        <v>0</v>
      </c>
      <c r="O11" s="20" t="str">
        <f aca="false">IFERROR(N11/M11*100,"N/A")</f>
        <v>N/A</v>
      </c>
      <c r="P11" s="56" t="str">
        <f aca="false">IF(AND(G11&gt;0, H11=0), IF(ROUND(K11,8)=0, "Group 9: Only Passed | Without variation (SD Passed = 0)", "Group 10: Only Passed | With variation (SD Passed &gt; 0)"), IF(AND(G11=0, H11&gt;0), IF(ROUND(N11,8)=0, "Group 11: Only Failed | Without variation (SD Failed = 0)", "Group 12: Only Failed | With variation (SD Failed &gt; 0)"), IF(AND(G11&gt;0, H11&gt;0), IF(ROUND(J11,5)&lt;&gt;ROUND(M11,5), IF(AND(ROUND(K11,8)=0, ROUND(N11,8)=0), "Group 1: Flaky | Passed (no variation) AND Failed (no variation) | Different Means", IF(AND(ROUND(K11,8)&gt;0, ROUND(N11,8)&gt;0), "Group 2: Flaky | Passed (with variation) AND Failed (with variation) | Different Means", IF(AND(ROUND(K11,8)=0, ROUND(N11,8)&gt;0), "Group 3: Flaky | Passed (no variation) AND Failed (with variation) | Different Means", "Group 4: Flaky | Passed (with variation) AND Failed (no variation) | Different Means"))), IF(AND(ROUND(K11,8)=0, ROUND(N11,8)=0), "Group 5: Flaky | Passed (no variation) AND Failed (no variation) | Equal Means", IF(AND(ROUND(K11,8)&gt;0, ROUND(N11,8)&gt;0), "Group 6: Flaky | Passed (with variation) AND Failed (with variation) | Equal Means", IF(AND(ROUND(K11,8)=0, ROUND(N11,8)&gt;0),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" s="22" t="n">
        <v>100</v>
      </c>
      <c r="R11" s="22" t="n">
        <v>0</v>
      </c>
      <c r="S11" s="23" t="str">
        <f aca="false">IF(AND(Q11&gt;0, R11&gt;0), "Observed Flaky Test", "Non-observed Flaky Test")</f>
        <v>Non-observed Flaky Test</v>
      </c>
      <c r="T11" s="22" t="n">
        <v>4284974.55</v>
      </c>
      <c r="U11" s="24" t="n">
        <v>132.013879</v>
      </c>
      <c r="V11" s="25" t="n">
        <f aca="false">IFERROR(U11/T11*100,"N/A")</f>
        <v>0.00308085561441666</v>
      </c>
      <c r="W11" s="22" t="n">
        <v>0</v>
      </c>
      <c r="X11" s="22" t="n">
        <v>0</v>
      </c>
      <c r="Y11" s="27" t="str">
        <f aca="false">IFERROR(X11/W11*100,"N/A")</f>
        <v>N/A</v>
      </c>
      <c r="Z11" s="50" t="str">
        <f aca="false">IF(AND(Q11&gt;0, R11=0), IF(IFERROR(ROUND(V11,8),0)=0, "Group 9: Only Passed | Without variation (no var CV = 0)", "Group 10: Only Passed | With variation (with var CV &gt; 0)"), IF(AND(Q11=0, R11&gt;0), IF(IFERROR(ROUND(Y11,8),0)=0, "Group 11: Only Failed | Without variation (no var CV = 0)", "Group 12: Only Failed | With variation (with var CV &gt; 0)"), IF(AND(Q11&gt;0, R11&gt;0), IF(ROUND(T11,5)&lt;&gt;ROUND(W11,5), IF(AND(IFERROR(ROUND(V11,8),0)=0, IFERROR(ROUND(Y11,8),0)=0), "Group 1: Flaky | Passed (no variation: CV = 0) AND Failed (no variation: CV = 0) | Different Means", IF(AND(IFERROR(ROUND(V11,8),0)&gt;0, IFERROR(ROUND(Y11,8),0)&gt;0), "Group 2: Flaky | Passed (with variation: CV &gt; 0) AND Failed (with variation: CV &gt; 0) | Different Means", IF(AND(IFERROR(ROUND(V11,8),0)=0, IFERROR(ROUND(Y11,8),0)&gt;0), "Group 3: Flaky | Passed (no variation: CV = 0) AND Failed (with variation: CV &gt; 0) | Different Means", "Group 4: Flaky | Passed (with variation: CV &gt; 0) AND Failed (no variation: CV = 0) | Different Means"))), IF(AND(IFERROR(ROUND(V11,8),0)=0, IFERROR(ROUND(Y11,8),0)=0), "Group 5: Flaky | Passed (no var CV = 0) AND Failed (no var CV = 0) | Equal Means", IF(AND(IFERROR(ROUND(V11,8),0)&gt;0, IFERROR(ROUND(Y11,8),0)&gt;0), "Group 6: Flaky | Passed (with var CV &gt; 0) AND Failed (with var CV &gt; 0) | Equal Means", IF(AND(IFERROR(ROUND(V11,8),0)=0, IFERROR(ROUND(Y11,8),0)&gt;0),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" s="29" t="n">
        <v>2.40729</v>
      </c>
      <c r="AB11" s="29" t="n">
        <v>0.07118</v>
      </c>
      <c r="AC11" s="29" t="n">
        <f aca="false">IFERROR(AB11/AA11*100,"N/A")</f>
        <v>2.95685189570014</v>
      </c>
      <c r="AD11" s="29" t="n">
        <v>0</v>
      </c>
      <c r="AE11" s="29" t="n">
        <v>0</v>
      </c>
      <c r="AF11" s="29" t="str">
        <f aca="false">IFERROR(AE11/AD11*100,"N/A")</f>
        <v>N/A</v>
      </c>
      <c r="AG11" s="51" t="str">
        <f aca="false">IF(AND(Q11&gt;0, R11=0), IF(IFERROR(ROUND(AC11,8),0)=0, "Group 9: Only Passed | Without variation (no var CV = 0)", "Group 10: Only Passed | With variation (with var CV &gt; 0)"), IF(AND(Q11=0, R11&gt;0), IF(IFERROR(ROUND(AF11,8),0)=0, "Group 11: Only Failed | Without variation (no var CV = 0)", "Group 12: Only Failed | With variation (with var CV &gt; 0)"), IF(AND(Q11&gt;0, R11&gt;0), IF(ROUND(AA11,5)&lt;&gt;ROUND(AD11,5), IF(AND(IFERROR(ROUND(AC11,8),0)=0, IFERROR(ROUND(AF11,8),0)=0), "Group 1: Flaky | Passed (no variation: CV = 0) AND Failed (no variation: CV = 0) | Different Means", IF(AND(IFERROR(ROUND(AC11,8),0)&gt;0, IFERROR(ROUND(AF11,8),0)&gt;0), "Group 2: Flaky | Passed (with variation: CV &gt; 0) AND Failed (with variation: CV &gt; 0) | Different Means", IF(AND(IFERROR(ROUND(AC11,8),0)=0, IFERROR(ROUND(AF11,8),0)&gt;0), "Group 3: Flaky | Passed (no variation: CV = 0) AND Failed (with variation: CV &gt; 0) | Different Means", "Group 4: Flaky | Passed (with variation: CV &gt; 0) AND Failed (no variation: CV = 0) | Different Means"))), IF(AND(IFERROR(ROUND(AC11,8),0)=0, IFERROR(ROUND(AF11,8),0)=0), "Group 5: Flaky | Passed (no var CV = 0) AND Failed (no var CV = 0) | Equal Means", IF(AND(IFERROR(ROUND(AC11,8),0)&gt;0, IFERROR(ROUND(AF11,8),0)&gt;0), "Group 6: Flaky | Passed (with var CV &gt; 0) AND Failed (with var CV &gt; 0) | Equal Means", IF(AND(IFERROR(ROUND(AC11,8),0)=0, IFERROR(ROUND(AF11,8),0)&gt;0),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" s="22" t="n">
        <v>100</v>
      </c>
      <c r="AI11" s="17" t="n">
        <v>0</v>
      </c>
      <c r="AJ11" s="31" t="str">
        <f aca="false">IF(AND(AH11&gt;0, AI11&gt;0), "Observed Flaky Test", "Non-observed Flaky Test")</f>
        <v>Non-observed Flaky Test</v>
      </c>
      <c r="AK11" s="32" t="n">
        <v>2799728.16</v>
      </c>
      <c r="AL11" s="57" t="n">
        <v>79.76502359994</v>
      </c>
      <c r="AM11" s="33" t="n">
        <f aca="false">IFERROR(AL11/AK11*100,"N/A")</f>
        <v>0.0028490274427193</v>
      </c>
      <c r="AN11" s="32" t="n">
        <v>0</v>
      </c>
      <c r="AO11" s="32" t="n">
        <v>0</v>
      </c>
      <c r="AP11" s="35" t="str">
        <f aca="false">IFERROR(AO11/AN11*100,"N/A")</f>
        <v>N/A</v>
      </c>
      <c r="AQ11" s="52" t="str">
        <f aca="false">IF(AND(AH11&gt;0, AI11&gt;0),
    IF(ROUND(N(AK11),5)&lt;&gt;ROUND(N(AN11),5),
        IF(AND(ROUND(N(AL11),8)=0, ROUND(N(AO11),8)=0), "Group 1: Flaky | Passed (no variation: SD = 0) AND Failed (no variation: SD = 0) | Different Means",
        IF(AND(ROUND(N(AL11),8)&gt;0, ROUND(N(AO11),8)&gt;0), "Group 2: Flaky | Passed (with variation: SD &gt; 0) AND Failed (with variation: SD &gt; 0) | Different Means",
        IF(AND(ROUND(N(AL11),8)=0, ROUND(N(AO11),8)&gt;0), "Group 3: Flaky | Passed (no variation: SD = 0) AND Failed (with variation: SD &gt; 0) | Different Means",
        "Group 4: Flaky | Passed (with variation: SD &gt; 0) AND Failed (no variation: SD = 0) | Different Means"))),
        IF(AND(ROUND(N(AL11),8)=0, ROUND(N(AO11),8)=0), "Group 5: Flaky | Passed (no var SD = 0) AND Failed (no var SD = 0) | Equal Means",
        IF(AND(ROUND(N(AL11),8)&gt;0, ROUND(N(AO11),8)&gt;0), "Group 6: Flaky | Passed (with var SD &gt; 0 ) AND Failed (with var SD &gt; 0) | Equal Means",
        IF(AND(ROUND(N(AL11),8)=0, ROUND(N(AO11),8)&gt;0), "Group 7: Flaky | Passed (no var SD = 0) AND Failed (with var SD &gt; 0) | Equal Means",
        "Group 8: Flaky | Passed (with var SD &gt; 0 ) AND Failed (no var SD = 0) | Equal Means")))
    ),
    IF(AH11&gt;0,
        IF(N(AL11)&gt;0, "Group 10: Only Passed | With variation (with var SD &gt; 0)", "Group 9: Only Passed | Without variation (no var SD = 0)"),
        IF(AI11&gt;0,
            IF(N(AO11)&gt;0,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1" s="37" t="str">
        <f aca="false">IF(OR(F11="Observed Flaky Test", I11="Observed Flaky Test", S11="Observed Flaky Test", AJ11="Observed Flaky Test"), "Observed Flaky Test", "Non-observed Flaky Test")</f>
        <v>Non-observed Flaky Test</v>
      </c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  <row r="12" customFormat="false" ht="15.75" hidden="false" customHeight="true" outlineLevel="0" collapsed="false">
      <c r="A12" s="13"/>
      <c r="B12" s="14" t="s">
        <v>46</v>
      </c>
      <c r="C12" s="14" t="s">
        <v>47</v>
      </c>
      <c r="D12" s="15" t="n">
        <v>100</v>
      </c>
      <c r="E12" s="15" t="n">
        <v>0</v>
      </c>
      <c r="F12" s="16" t="str">
        <f aca="false">IF(AND(D12&gt;0, E12&gt;0), "Observed Flaky Test", "Non-observed Flaky Test")</f>
        <v>Non-observed Flaky Test</v>
      </c>
      <c r="G12" s="17" t="n">
        <v>100</v>
      </c>
      <c r="H12" s="17" t="n">
        <v>0</v>
      </c>
      <c r="I12" s="16" t="str">
        <f aca="false">IF(AND(G12&gt;0, H12&gt;0), "Observed Flaky Test", "Non-observed Flaky Test")</f>
        <v>Non-observed Flaky Test</v>
      </c>
      <c r="J12" s="18" t="n">
        <v>8.53</v>
      </c>
      <c r="K12" s="18" t="n">
        <v>0</v>
      </c>
      <c r="L12" s="19" t="n">
        <f aca="false">IFERROR(K12/J12*100,"N/A")</f>
        <v>0</v>
      </c>
      <c r="M12" s="18" t="n">
        <v>0</v>
      </c>
      <c r="N12" s="18" t="n">
        <v>0</v>
      </c>
      <c r="O12" s="20" t="str">
        <f aca="false">IFERROR(N12/M12*100,"N/A")</f>
        <v>N/A</v>
      </c>
      <c r="P12" s="56" t="str">
        <f aca="false">IF(AND(G12&gt;0, H12=0), IF(ROUND(K12,8)=0, "Group 9: Only Passed | Without variation (SD Passed = 0)", "Group 10: Only Passed | With variation (SD Passed &gt; 0)"), IF(AND(G12=0, H12&gt;0), IF(ROUND(N12,8)=0, "Group 11: Only Failed | Without variation (SD Failed = 0)", "Group 12: Only Failed | With variation (SD Failed &gt; 0)"), IF(AND(G12&gt;0, H12&gt;0), IF(ROUND(J12,5)&lt;&gt;ROUND(M12,5), IF(AND(ROUND(K12,8)=0, ROUND(N12,8)=0), "Group 1: Flaky | Passed (no variation) AND Failed (no variation) | Different Means", IF(AND(ROUND(K12,8)&gt;0, ROUND(N12,8)&gt;0), "Group 2: Flaky | Passed (with variation) AND Failed (with variation) | Different Means", IF(AND(ROUND(K12,8)=0, ROUND(N12,8)&gt;0), "Group 3: Flaky | Passed (no variation) AND Failed (with variation) | Different Means", "Group 4: Flaky | Passed (with variation) AND Failed (no variation) | Different Means"))), IF(AND(ROUND(K12,8)=0, ROUND(N12,8)=0), "Group 5: Flaky | Passed (no variation) AND Failed (no variation) | Equal Means", IF(AND(ROUND(K12,8)&gt;0, ROUND(N12,8)&gt;0), "Group 6: Flaky | Passed (with variation) AND Failed (with variation) | Equal Means", IF(AND(ROUND(K12,8)=0, ROUND(N12,8)&gt;0),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" s="22" t="n">
        <v>100</v>
      </c>
      <c r="R12" s="22" t="n">
        <v>0</v>
      </c>
      <c r="S12" s="23" t="str">
        <f aca="false">IF(AND(Q12&gt;0, R12&gt;0), "Observed Flaky Test", "Non-observed Flaky Test")</f>
        <v>Non-observed Flaky Test</v>
      </c>
      <c r="T12" s="22" t="n">
        <v>4270125.01</v>
      </c>
      <c r="U12" s="24" t="n">
        <v>121.830856</v>
      </c>
      <c r="V12" s="25" t="n">
        <f aca="false">IFERROR(U12/T12*100,"N/A")</f>
        <v>0.00285309811105507</v>
      </c>
      <c r="W12" s="22" t="n">
        <v>0</v>
      </c>
      <c r="X12" s="22" t="n">
        <v>0</v>
      </c>
      <c r="Y12" s="27" t="str">
        <f aca="false">IFERROR(X12/W12*100,"N/A")</f>
        <v>N/A</v>
      </c>
      <c r="Z12" s="50" t="str">
        <f aca="false">IF(AND(Q12&gt;0, R12=0), IF(IFERROR(ROUND(V12,8),0)=0, "Group 9: Only Passed | Without variation (no var CV = 0)", "Group 10: Only Passed | With variation (with var CV &gt; 0)"), IF(AND(Q12=0, R12&gt;0), IF(IFERROR(ROUND(Y12,8),0)=0, "Group 11: Only Failed | Without variation (no var CV = 0)", "Group 12: Only Failed | With variation (with var CV &gt; 0)"), IF(AND(Q12&gt;0, R12&gt;0), IF(ROUND(T12,5)&lt;&gt;ROUND(W12,5), IF(AND(IFERROR(ROUND(V12,8),0)=0, IFERROR(ROUND(Y12,8),0)=0), "Group 1: Flaky | Passed (no variation: CV = 0) AND Failed (no variation: CV = 0) | Different Means", IF(AND(IFERROR(ROUND(V12,8),0)&gt;0, IFERROR(ROUND(Y12,8),0)&gt;0), "Group 2: Flaky | Passed (with variation: CV &gt; 0) AND Failed (with variation: CV &gt; 0) | Different Means", IF(AND(IFERROR(ROUND(V12,8),0)=0, IFERROR(ROUND(Y12,8),0)&gt;0), "Group 3: Flaky | Passed (no variation: CV = 0) AND Failed (with variation: CV &gt; 0) | Different Means", "Group 4: Flaky | Passed (with variation: CV &gt; 0) AND Failed (no variation: CV = 0) | Different Means"))), IF(AND(IFERROR(ROUND(V12,8),0)=0, IFERROR(ROUND(Y12,8),0)=0), "Group 5: Flaky | Passed (no var CV = 0) AND Failed (no var CV = 0) | Equal Means", IF(AND(IFERROR(ROUND(V12,8),0)&gt;0, IFERROR(ROUND(Y12,8),0)&gt;0), "Group 6: Flaky | Passed (with var CV &gt; 0) AND Failed (with var CV &gt; 0) | Equal Means", IF(AND(IFERROR(ROUND(V12,8),0)=0, IFERROR(ROUND(Y12,8),0)&gt;0),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" s="29" t="n">
        <v>2.326053</v>
      </c>
      <c r="AB12" s="29" t="n">
        <v>0.054691</v>
      </c>
      <c r="AC12" s="29" t="n">
        <f aca="false">IFERROR(AB12/AA12*100,"N/A")</f>
        <v>2.35123619281246</v>
      </c>
      <c r="AD12" s="29" t="n">
        <v>0</v>
      </c>
      <c r="AE12" s="29" t="n">
        <v>0</v>
      </c>
      <c r="AF12" s="29" t="str">
        <f aca="false">IFERROR(AE12/AD12*100,"N/A")</f>
        <v>N/A</v>
      </c>
      <c r="AG12" s="51" t="str">
        <f aca="false">IF(AND(Q12&gt;0, R12=0), IF(IFERROR(ROUND(AC12,8),0)=0, "Group 9: Only Passed | Without variation (no var CV = 0)", "Group 10: Only Passed | With variation (with var CV &gt; 0)"), IF(AND(Q12=0, R12&gt;0), IF(IFERROR(ROUND(AF12,8),0)=0, "Group 11: Only Failed | Without variation (no var CV = 0)", "Group 12: Only Failed | With variation (with var CV &gt; 0)"), IF(AND(Q12&gt;0, R12&gt;0), IF(ROUND(AA12,5)&lt;&gt;ROUND(AD12,5), IF(AND(IFERROR(ROUND(AC12,8),0)=0, IFERROR(ROUND(AF12,8),0)=0), "Group 1: Flaky | Passed (no variation: CV = 0) AND Failed (no variation: CV = 0) | Different Means", IF(AND(IFERROR(ROUND(AC12,8),0)&gt;0, IFERROR(ROUND(AF12,8),0)&gt;0), "Group 2: Flaky | Passed (with variation: CV &gt; 0) AND Failed (with variation: CV &gt; 0) | Different Means", IF(AND(IFERROR(ROUND(AC12,8),0)=0, IFERROR(ROUND(AF12,8),0)&gt;0), "Group 3: Flaky | Passed (no variation: CV = 0) AND Failed (with variation: CV &gt; 0) | Different Means", "Group 4: Flaky | Passed (with variation: CV &gt; 0) AND Failed (no variation: CV = 0) | Different Means"))), IF(AND(IFERROR(ROUND(AC12,8),0)=0, IFERROR(ROUND(AF12,8),0)=0), "Group 5: Flaky | Passed (no var CV = 0) AND Failed (no var CV = 0) | Equal Means", IF(AND(IFERROR(ROUND(AC12,8),0)&gt;0, IFERROR(ROUND(AF12,8),0)&gt;0), "Group 6: Flaky | Passed (with var CV &gt; 0) AND Failed (with var CV &gt; 0) | Equal Means", IF(AND(IFERROR(ROUND(AC12,8),0)=0, IFERROR(ROUND(AF12,8),0)&gt;0),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" s="22" t="n">
        <v>100</v>
      </c>
      <c r="AI12" s="17" t="n">
        <v>0</v>
      </c>
      <c r="AJ12" s="31" t="str">
        <f aca="false">IF(AND(AH12&gt;0, AI12&gt;0), "Observed Flaky Test", "Non-observed Flaky Test")</f>
        <v>Non-observed Flaky Test</v>
      </c>
      <c r="AK12" s="32" t="n">
        <v>2789970.27</v>
      </c>
      <c r="AL12" s="40" t="n">
        <v>76.5833348171596</v>
      </c>
      <c r="AM12" s="33" t="n">
        <f aca="false">IFERROR(AL12/AK12*100,"N/A")</f>
        <v>0.00274495164484888</v>
      </c>
      <c r="AN12" s="32" t="n">
        <v>0</v>
      </c>
      <c r="AO12" s="32" t="n">
        <v>0</v>
      </c>
      <c r="AP12" s="35" t="str">
        <f aca="false">IFERROR(AO12/AN12*100,"N/A")</f>
        <v>N/A</v>
      </c>
      <c r="AQ12" s="52" t="str">
        <f aca="false">IF(AND(AH12&gt;0, AI12&gt;0),
    IF(ROUND(N(AK12),5)&lt;&gt;ROUND(N(AN12),5),
        IF(AND(ROUND(N(AL12),8)=0, ROUND(N(AO12),8)=0), "Group 1: Flaky | Passed (no variation: SD = 0) AND Failed (no variation: SD = 0) | Different Means",
        IF(AND(ROUND(N(AL12),8)&gt;0, ROUND(N(AO12),8)&gt;0), "Group 2: Flaky | Passed (with variation: SD &gt; 0) AND Failed (with variation: SD &gt; 0) | Different Means",
        IF(AND(ROUND(N(AL12),8)=0, ROUND(N(AO12),8)&gt;0), "Group 3: Flaky | Passed (no variation: SD = 0) AND Failed (with variation: SD &gt; 0) | Different Means",
        "Group 4: Flaky | Passed (with variation: SD &gt; 0) AND Failed (no variation: SD = 0) | Different Means"))),
        IF(AND(ROUND(N(AL12),8)=0, ROUND(N(AO12),8)=0), "Group 5: Flaky | Passed (no var SD = 0) AND Failed (no var SD = 0) | Equal Means",
        IF(AND(ROUND(N(AL12),8)&gt;0, ROUND(N(AO12),8)&gt;0), "Group 6: Flaky | Passed (with var SD &gt; 0 ) AND Failed (with var SD &gt; 0) | Equal Means",
        IF(AND(ROUND(N(AL12),8)=0, ROUND(N(AO12),8)&gt;0), "Group 7: Flaky | Passed (no var SD = 0) AND Failed (with var SD &gt; 0) | Equal Means",
        "Group 8: Flaky | Passed (with var SD &gt; 0 ) AND Failed (no var SD = 0) | Equal Means")))
    ),
    IF(AH12&gt;0,
        IF(N(AL12)&gt;0, "Group 10: Only Passed | With variation (with var SD &gt; 0)", "Group 9: Only Passed | Without variation (no var SD = 0)"),
        IF(AI12&gt;0,
            IF(N(AO12)&gt;0,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" s="37" t="str">
        <f aca="false">IF(OR(F12="Observed Flaky Test", I12="Observed Flaky Test", S12="Observed Flaky Test", AJ12="Observed Flaky Test"), "Observed Flaky Test", "Non-observed Flaky Test")</f>
        <v>Non-observed Flaky Test</v>
      </c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</row>
    <row r="13" customFormat="false" ht="15.75" hidden="false" customHeight="true" outlineLevel="0" collapsed="false">
      <c r="A13" s="13"/>
      <c r="B13" s="14" t="s">
        <v>48</v>
      </c>
      <c r="C13" s="14" t="s">
        <v>49</v>
      </c>
      <c r="D13" s="15" t="n">
        <v>0</v>
      </c>
      <c r="E13" s="15" t="n">
        <v>100</v>
      </c>
      <c r="F13" s="16" t="str">
        <f aca="false">IF(AND(D13&gt;0, E13&gt;0), "Observed Flaky Test", "Non-observed Flaky Test")</f>
        <v>Non-observed Flaky Test</v>
      </c>
      <c r="G13" s="17" t="n">
        <v>0</v>
      </c>
      <c r="H13" s="17" t="n">
        <v>100</v>
      </c>
      <c r="I13" s="16" t="str">
        <f aca="false">IF(AND(G13&gt;0, H13&gt;0), "Observed Flaky Test", "Non-observed Flaky Test")</f>
        <v>Non-observed Flaky Test</v>
      </c>
      <c r="J13" s="18" t="n">
        <v>0</v>
      </c>
      <c r="K13" s="18" t="n">
        <v>0</v>
      </c>
      <c r="L13" s="19" t="str">
        <f aca="false">IFERROR(K13/J13*100,"N/A")</f>
        <v>N/A</v>
      </c>
      <c r="M13" s="18" t="n">
        <v>8.6</v>
      </c>
      <c r="N13" s="18" t="n">
        <v>0</v>
      </c>
      <c r="O13" s="20" t="n">
        <f aca="false">IFERROR(N13/M13*100,"N/A")</f>
        <v>0</v>
      </c>
      <c r="P13" s="21" t="str">
        <f aca="false">IF(AND(G13&gt;0, H13=0), IF(ROUND(K13,8)=0, "Group 9: Only Passed | Without variation (SD Passed = 0)", "Group 10: Only Passed | With variation (SD Passed &gt; 0)"), IF(AND(G13=0, H13&gt;0), IF(ROUND(N13,8)=0, "Group 11: Only Failed | Without variation (SD Failed = 0)", "Group 12: Only Failed | With variation (SD Failed &gt; 0)"), IF(AND(G13&gt;0, H13&gt;0), IF(ROUND(J13,5)&lt;&gt;ROUND(M13,5), IF(AND(ROUND(K13,8)=0, ROUND(N13,8)=0), "Group 1: Flaky | Passed (no variation) AND Failed (no variation) | Different Means", IF(AND(ROUND(K13,8)&gt;0, ROUND(N13,8)&gt;0), "Group 2: Flaky | Passed (with variation) AND Failed (with variation) | Different Means", IF(AND(ROUND(K13,8)=0, ROUND(N13,8)&gt;0), "Group 3: Flaky | Passed (no variation) AND Failed (with variation) | Different Means", "Group 4: Flaky | Passed (with variation) AND Failed (no variation) | Different Means"))), IF(AND(ROUND(K13,8)=0, ROUND(N13,8)=0), "Group 5: Flaky | Passed (no variation) AND Failed (no variation) | Equal Means", IF(AND(ROUND(K13,8)&gt;0, ROUND(N13,8)&gt;0), "Group 6: Flaky | Passed (with variation) AND Failed (with variation) | Equal Means", IF(AND(ROUND(K13,8)=0, ROUND(N13,8)&gt;0),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13" s="49" t="n">
        <v>0</v>
      </c>
      <c r="R13" s="22" t="n">
        <v>100</v>
      </c>
      <c r="S13" s="23" t="str">
        <f aca="false">IF(AND(Q13&gt;0, R13&gt;0), "Observed Flaky Test", "Non-observed Flaky Test")</f>
        <v>Non-observed Flaky Test</v>
      </c>
      <c r="T13" s="24" t="n">
        <v>0</v>
      </c>
      <c r="U13" s="24" t="n">
        <v>0</v>
      </c>
      <c r="V13" s="25" t="str">
        <f aca="false">IFERROR(U13/T13*100,"N/A")</f>
        <v>N/A</v>
      </c>
      <c r="W13" s="58" t="n">
        <v>5211164</v>
      </c>
      <c r="X13" s="24" t="n">
        <v>159.745315</v>
      </c>
      <c r="Y13" s="27" t="n">
        <f aca="false">IFERROR(X13/W13*100,"N/A")</f>
        <v>0.00306544401596265</v>
      </c>
      <c r="Z13" s="28" t="str">
        <f aca="false">IF(AND(Q13&gt;0, R13=0), IF(IFERROR(ROUND(V13,8),0)=0, "Group 9: Only Passed | Without variation (no var CV = 0)", "Group 10: Only Passed | With variation (with var CV &gt; 0)"), IF(AND(Q13=0, R13&gt;0), IF(IFERROR(ROUND(Y13,8),0)=0, "Group 11: Only Failed | Without variation (no var CV = 0)", "Group 12: Only Failed | With variation (with var CV &gt; 0)"), IF(AND(Q13&gt;0, R13&gt;0), IF(ROUND(T13,5)&lt;&gt;ROUND(W13,5), IF(AND(IFERROR(ROUND(V13,8),0)=0, IFERROR(ROUND(Y13,8),0)=0), "Group 1: Flaky | Passed (no variation: CV = 0) AND Failed (no variation: CV = 0) | Different Means", IF(AND(IFERROR(ROUND(V13,8),0)&gt;0, IFERROR(ROUND(Y13,8),0)&gt;0), "Group 2: Flaky | Passed (with variation: CV &gt; 0) AND Failed (with variation: CV &gt; 0) | Different Means", IF(AND(IFERROR(ROUND(V13,8),0)=0, IFERROR(ROUND(Y13,8),0)&gt;0), "Group 3: Flaky | Passed (no variation: CV = 0) AND Failed (with variation: CV &gt; 0) | Different Means", "Group 4: Flaky | Passed (with variation: CV &gt; 0) AND Failed (no variation: CV = 0) | Different Means"))), IF(AND(IFERROR(ROUND(V13,8),0)=0, IFERROR(ROUND(Y13,8),0)=0), "Group 5: Flaky | Passed (no var CV = 0) AND Failed (no var CV = 0) | Equal Means", IF(AND(IFERROR(ROUND(V13,8),0)&gt;0, IFERROR(ROUND(Y13,8),0)&gt;0), "Group 6: Flaky | Passed (with var CV &gt; 0) AND Failed (with var CV &gt; 0) | Equal Means", IF(AND(IFERROR(ROUND(V13,8),0)=0, IFERROR(ROUND(Y13,8),0)&gt;0),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13" s="29" t="n">
        <v>0</v>
      </c>
      <c r="AB13" s="29" t="n">
        <v>0</v>
      </c>
      <c r="AC13" s="29" t="str">
        <f aca="false">IFERROR(AB13/AA13*100,"N/A")</f>
        <v>N/A</v>
      </c>
      <c r="AD13" s="29" t="n">
        <v>2.725966</v>
      </c>
      <c r="AE13" s="29" t="n">
        <v>0.301499</v>
      </c>
      <c r="AF13" s="29" t="n">
        <f aca="false">IFERROR(AE13/AD13*100,"N/A")</f>
        <v>11.0602626738558</v>
      </c>
      <c r="AG13" s="30" t="str">
        <f aca="false">IF(AND(Q13&gt;0, R13=0), IF(IFERROR(ROUND(AC13,8),0)=0, "Group 9: Only Passed | Without variation (no var CV = 0)", "Group 10: Only Passed | With variation (with var CV &gt; 0)"), IF(AND(Q13=0, R13&gt;0), IF(IFERROR(ROUND(AF13,8),0)=0, "Group 11: Only Failed | Without variation (no var CV = 0)", "Group 12: Only Failed | With variation (with var CV &gt; 0)"), IF(AND(Q13&gt;0, R13&gt;0), IF(ROUND(AA13,5)&lt;&gt;ROUND(AD13,5), IF(AND(IFERROR(ROUND(AC13,8),0)=0, IFERROR(ROUND(AF13,8),0)=0), "Group 1: Flaky | Passed (no variation: CV = 0) AND Failed (no variation: CV = 0) | Different Means", IF(AND(IFERROR(ROUND(AC13,8),0)&gt;0, IFERROR(ROUND(AF13,8),0)&gt;0), "Group 2: Flaky | Passed (with variation: CV &gt; 0) AND Failed (with variation: CV &gt; 0) | Different Means", IF(AND(IFERROR(ROUND(AC13,8),0)=0, IFERROR(ROUND(AF13,8),0)&gt;0), "Group 3: Flaky | Passed (no variation: CV = 0) AND Failed (with variation: CV &gt; 0) | Different Means", "Group 4: Flaky | Passed (with variation: CV &gt; 0) AND Failed (no variation: CV = 0) | Different Means"))), IF(AND(IFERROR(ROUND(AC13,8),0)=0, IFERROR(ROUND(AF13,8),0)=0), "Group 5: Flaky | Passed (no var CV = 0) AND Failed (no var CV = 0) | Equal Means", IF(AND(IFERROR(ROUND(AC13,8),0)&gt;0, IFERROR(ROUND(AF13,8),0)&gt;0), "Group 6: Flaky | Passed (with var CV &gt; 0) AND Failed (with var CV &gt; 0) | Equal Means", IF(AND(IFERROR(ROUND(AC13,8),0)=0, IFERROR(ROUND(AF13,8),0)&gt;0),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13" s="22" t="n">
        <v>0</v>
      </c>
      <c r="AI13" s="17" t="n">
        <v>100</v>
      </c>
      <c r="AJ13" s="31" t="str">
        <f aca="false">IF(AND(AH13&gt;0, AI13&gt;0), "Observed Flaky Test", "Non-observed Flaky Test")</f>
        <v>Non-observed Flaky Test</v>
      </c>
      <c r="AK13" s="32" t="n">
        <v>0</v>
      </c>
      <c r="AL13" s="32" t="n">
        <v>0</v>
      </c>
      <c r="AM13" s="33" t="str">
        <f aca="false">IFERROR(AL13/AK13*100,"N/A")</f>
        <v>N/A</v>
      </c>
      <c r="AN13" s="32" t="n">
        <v>2797774.89</v>
      </c>
      <c r="AO13" s="34" t="n">
        <v>81.028102744316</v>
      </c>
      <c r="AP13" s="35" t="n">
        <f aca="false">IFERROR(AO13/AN13*100,"N/A")</f>
        <v>0.00289616234079204</v>
      </c>
      <c r="AQ13" s="36" t="str">
        <f aca="false">IF(AND(AH13&gt;0, AI13&gt;0),
    IF(ROUND(N(AK13),5)&lt;&gt;ROUND(N(AN13),5),
        IF(AND(ROUND(N(AL13),8)=0, ROUND(N(AO13),8)=0), "Group 1: Flaky | Passed (no variation: SD = 0) AND Failed (no variation: SD = 0) | Different Means",
        IF(AND(ROUND(N(AL13),8)&gt;0, ROUND(N(AO13),8)&gt;0), "Group 2: Flaky | Passed (with variation: SD &gt; 0) AND Failed (with variation: SD &gt; 0) | Different Means",
        IF(AND(ROUND(N(AL13),8)=0, ROUND(N(AO13),8)&gt;0), "Group 3: Flaky | Passed (no variation: SD = 0) AND Failed (with variation: SD &gt; 0) | Different Means",
        "Group 4: Flaky | Passed (with variation: SD &gt; 0) AND Failed (no variation: SD = 0) | Different Means"))),
        IF(AND(ROUND(N(AL13),8)=0, ROUND(N(AO13),8)=0), "Group 5: Flaky | Passed (no var SD = 0) AND Failed (no var SD = 0) | Equal Means",
        IF(AND(ROUND(N(AL13),8)&gt;0, ROUND(N(AO13),8)&gt;0), "Group 6: Flaky | Passed (with var SD &gt; 0 ) AND Failed (with var SD &gt; 0) | Equal Means",
        IF(AND(ROUND(N(AL13),8)=0, ROUND(N(AO13),8)&gt;0), "Group 7: Flaky | Passed (no var SD = 0) AND Failed (with var SD &gt; 0) | Equal Means",
        "Group 8: Flaky | Passed (with var SD &gt; 0 ) AND Failed (no var SD = 0) | Equal Means")))
    ),
    IF(AH13&gt;0,
        IF(N(AL13)&gt;0, "Group 10: Only Passed | With variation (with var SD &gt; 0)", "Group 9: Only Passed | Without variation (no var SD = 0)"),
        IF(AI13&gt;0,
            IF(N(AO13)&gt;0,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13" s="37" t="str">
        <f aca="false">IF(OR(F13="Observed Flaky Test", I13="Observed Flaky Test", S13="Observed Flaky Test", AJ13="Observed Flaky Test"), "Observed Flaky Test", "Non-observed Flaky Test")</f>
        <v>Non-observed Flaky Test</v>
      </c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</row>
    <row r="14" customFormat="false" ht="15.75" hidden="false" customHeight="true" outlineLevel="0" collapsed="false">
      <c r="A14" s="13"/>
      <c r="B14" s="14" t="s">
        <v>50</v>
      </c>
      <c r="C14" s="14" t="s">
        <v>51</v>
      </c>
      <c r="D14" s="15" t="n">
        <v>100</v>
      </c>
      <c r="E14" s="15" t="n">
        <v>0</v>
      </c>
      <c r="F14" s="16" t="str">
        <f aca="false">IF(AND(D14&gt;0, E14&gt;0), "Observed Flaky Test", "Non-observed Flaky Test")</f>
        <v>Non-observed Flaky Test</v>
      </c>
      <c r="G14" s="17" t="n">
        <v>100</v>
      </c>
      <c r="H14" s="17" t="n">
        <v>0</v>
      </c>
      <c r="I14" s="16" t="str">
        <f aca="false">IF(AND(G14&gt;0, H14&gt;0), "Observed Flaky Test", "Non-observed Flaky Test")</f>
        <v>Non-observed Flaky Test</v>
      </c>
      <c r="J14" s="46" t="n">
        <v>8.6403</v>
      </c>
      <c r="K14" s="53" t="n">
        <v>0.001706</v>
      </c>
      <c r="L14" s="19" t="n">
        <f aca="false">IFERROR(K14/J14*100,"N/A")</f>
        <v>0.0197446847910374</v>
      </c>
      <c r="M14" s="18" t="n">
        <v>0</v>
      </c>
      <c r="N14" s="18" t="n">
        <v>0</v>
      </c>
      <c r="O14" s="20" t="str">
        <f aca="false">IFERROR(N14/M14*100,"N/A")</f>
        <v>N/A</v>
      </c>
      <c r="P14" s="48" t="str">
        <f aca="false">IF(AND(G14&gt;0, H14=0), IF(ROUND(K14,8)=0, "Group 9: Only Passed | Without variation (SD Passed = 0)", "Group 10: Only Passed | With variation (SD Passed &gt; 0)"), IF(AND(G14=0, H14&gt;0), IF(ROUND(N14,8)=0, "Group 11: Only Failed | Without variation (SD Failed = 0)", "Group 12: Only Failed | With variation (SD Failed &gt; 0)"), IF(AND(G14&gt;0, H14&gt;0), IF(ROUND(J14,5)&lt;&gt;ROUND(M14,5), IF(AND(ROUND(K14,8)=0, ROUND(N14,8)=0), "Group 1: Flaky | Passed (no variation) AND Failed (no variation) | Different Means", IF(AND(ROUND(K14,8)&gt;0, ROUND(N14,8)&gt;0), "Group 2: Flaky | Passed (with variation) AND Failed (with variation) | Different Means", IF(AND(ROUND(K14,8)=0, ROUND(N14,8)&gt;0), "Group 3: Flaky | Passed (no variation) AND Failed (with variation) | Different Means", "Group 4: Flaky | Passed (with variation) AND Failed (no variation) | Different Means"))), IF(AND(ROUND(K14,8)=0, ROUND(N14,8)=0), "Group 5: Flaky | Passed (no variation) AND Failed (no variation) | Equal Means", IF(AND(ROUND(K14,8)&gt;0, ROUND(N14,8)&gt;0), "Group 6: Flaky | Passed (with variation) AND Failed (with variation) | Equal Means", IF(AND(ROUND(K14,8)=0, ROUND(N14,8)&gt;0),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4" s="22" t="n">
        <v>100</v>
      </c>
      <c r="R14" s="22" t="n">
        <v>0</v>
      </c>
      <c r="S14" s="23" t="str">
        <f aca="false">IF(AND(Q14&gt;0, R14&gt;0), "Observed Flaky Test", "Non-observed Flaky Test")</f>
        <v>Non-observed Flaky Test</v>
      </c>
      <c r="T14" s="22" t="n">
        <v>4338265.54</v>
      </c>
      <c r="U14" s="24" t="n">
        <v>134.273309</v>
      </c>
      <c r="V14" s="25" t="n">
        <f aca="false">IFERROR(U14/T14*100,"N/A")</f>
        <v>0.00309509198461835</v>
      </c>
      <c r="W14" s="22" t="n">
        <v>0</v>
      </c>
      <c r="X14" s="22" t="n">
        <v>0</v>
      </c>
      <c r="Y14" s="27" t="str">
        <f aca="false">IFERROR(X14/W14*100,"N/A")</f>
        <v>N/A</v>
      </c>
      <c r="Z14" s="50" t="str">
        <f aca="false">IF(AND(Q14&gt;0, R14=0), IF(IFERROR(ROUND(V14,8),0)=0, "Group 9: Only Passed | Without variation (no var CV = 0)", "Group 10: Only Passed | With variation (with var CV &gt; 0)"), IF(AND(Q14=0, R14&gt;0), IF(IFERROR(ROUND(Y14,8),0)=0, "Group 11: Only Failed | Without variation (no var CV = 0)", "Group 12: Only Failed | With variation (with var CV &gt; 0)"), IF(AND(Q14&gt;0, R14&gt;0), IF(ROUND(T14,5)&lt;&gt;ROUND(W14,5), IF(AND(IFERROR(ROUND(V14,8),0)=0, IFERROR(ROUND(Y14,8),0)=0), "Group 1: Flaky | Passed (no variation: CV = 0) AND Failed (no variation: CV = 0) | Different Means", IF(AND(IFERROR(ROUND(V14,8),0)&gt;0, IFERROR(ROUND(Y14,8),0)&gt;0), "Group 2: Flaky | Passed (with variation: CV &gt; 0) AND Failed (with variation: CV &gt; 0) | Different Means", IF(AND(IFERROR(ROUND(V14,8),0)=0, IFERROR(ROUND(Y14,8),0)&gt;0), "Group 3: Flaky | Passed (no variation: CV = 0) AND Failed (with variation: CV &gt; 0) | Different Means", "Group 4: Flaky | Passed (with variation: CV &gt; 0) AND Failed (no variation: CV = 0) | Different Means"))), IF(AND(IFERROR(ROUND(V14,8),0)=0, IFERROR(ROUND(Y14,8),0)=0), "Group 5: Flaky | Passed (no var CV = 0) AND Failed (no var CV = 0) | Equal Means", IF(AND(IFERROR(ROUND(V14,8),0)&gt;0, IFERROR(ROUND(Y14,8),0)&gt;0), "Group 6: Flaky | Passed (with var CV &gt; 0) AND Failed (with var CV &gt; 0) | Equal Means", IF(AND(IFERROR(ROUND(V14,8),0)=0, IFERROR(ROUND(Y14,8),0)&gt;0),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" s="29" t="n">
        <v>2.459683</v>
      </c>
      <c r="AB14" s="29" t="n">
        <v>0.376516</v>
      </c>
      <c r="AC14" s="29" t="n">
        <f aca="false">IFERROR(AB14/AA14*100,"N/A")</f>
        <v>15.3075010072436</v>
      </c>
      <c r="AD14" s="29" t="n">
        <v>0</v>
      </c>
      <c r="AE14" s="29" t="n">
        <v>0</v>
      </c>
      <c r="AF14" s="29" t="str">
        <f aca="false">IFERROR(AE14/AD14*100,"N/A")</f>
        <v>N/A</v>
      </c>
      <c r="AG14" s="51" t="str">
        <f aca="false">IF(AND(Q14&gt;0, R14=0), IF(IFERROR(ROUND(AC14,8),0)=0, "Group 9: Only Passed | Without variation (no var CV = 0)", "Group 10: Only Passed | With variation (with var CV &gt; 0)"), IF(AND(Q14=0, R14&gt;0), IF(IFERROR(ROUND(AF14,8),0)=0, "Group 11: Only Failed | Without variation (no var CV = 0)", "Group 12: Only Failed | With variation (with var CV &gt; 0)"), IF(AND(Q14&gt;0, R14&gt;0), IF(ROUND(AA14,5)&lt;&gt;ROUND(AD14,5), IF(AND(IFERROR(ROUND(AC14,8),0)=0, IFERROR(ROUND(AF14,8),0)=0), "Group 1: Flaky | Passed (no variation: CV = 0) AND Failed (no variation: CV = 0) | Different Means", IF(AND(IFERROR(ROUND(AC14,8),0)&gt;0, IFERROR(ROUND(AF14,8),0)&gt;0), "Group 2: Flaky | Passed (with variation: CV &gt; 0) AND Failed (with variation: CV &gt; 0) | Different Means", IF(AND(IFERROR(ROUND(AC14,8),0)=0, IFERROR(ROUND(AF14,8),0)&gt;0), "Group 3: Flaky | Passed (no variation: CV = 0) AND Failed (with variation: CV &gt; 0) | Different Means", "Group 4: Flaky | Passed (with variation: CV &gt; 0) AND Failed (no variation: CV = 0) | Different Means"))), IF(AND(IFERROR(ROUND(AC14,8),0)=0, IFERROR(ROUND(AF14,8),0)=0), "Group 5: Flaky | Passed (no var CV = 0) AND Failed (no var CV = 0) | Equal Means", IF(AND(IFERROR(ROUND(AC14,8),0)&gt;0, IFERROR(ROUND(AF14,8),0)&gt;0), "Group 6: Flaky | Passed (with var CV &gt; 0) AND Failed (with var CV &gt; 0) | Equal Means", IF(AND(IFERROR(ROUND(AC14,8),0)=0, IFERROR(ROUND(AF14,8),0)&gt;0),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" s="22" t="n">
        <v>100</v>
      </c>
      <c r="AI14" s="17" t="n">
        <v>0</v>
      </c>
      <c r="AJ14" s="31" t="str">
        <f aca="false">IF(AND(AH14&gt;0, AI14&gt;0), "Observed Flaky Test", "Non-observed Flaky Test")</f>
        <v>Non-observed Flaky Test</v>
      </c>
      <c r="AK14" s="32" t="n">
        <v>4224931.5</v>
      </c>
      <c r="AL14" s="34" t="n">
        <v>128.497808808893</v>
      </c>
      <c r="AM14" s="33" t="n">
        <f aca="false">IFERROR(AL14/AK14*100,"N/A")</f>
        <v>0.00304141756638878</v>
      </c>
      <c r="AN14" s="32" t="n">
        <v>0</v>
      </c>
      <c r="AO14" s="32" t="n">
        <v>0</v>
      </c>
      <c r="AP14" s="35" t="str">
        <f aca="false">IFERROR(AO14/AN14*100,"N/A")</f>
        <v>N/A</v>
      </c>
      <c r="AQ14" s="52" t="str">
        <f aca="false">IF(AND(AH14&gt;0, AI14&gt;0),
    IF(ROUND(N(AK14),5)&lt;&gt;ROUND(N(AN14),5),
        IF(AND(ROUND(N(AL14),8)=0, ROUND(N(AO14),8)=0), "Group 1: Flaky | Passed (no variation: SD = 0) AND Failed (no variation: SD = 0) | Different Means",
        IF(AND(ROUND(N(AL14),8)&gt;0, ROUND(N(AO14),8)&gt;0), "Group 2: Flaky | Passed (with variation: SD &gt; 0) AND Failed (with variation: SD &gt; 0) | Different Means",
        IF(AND(ROUND(N(AL14),8)=0, ROUND(N(AO14),8)&gt;0), "Group 3: Flaky | Passed (no variation: SD = 0) AND Failed (with variation: SD &gt; 0) | Different Means",
        "Group 4: Flaky | Passed (with variation: SD &gt; 0) AND Failed (no variation: SD = 0) | Different Means"))),
        IF(AND(ROUND(N(AL14),8)=0, ROUND(N(AO14),8)=0), "Group 5: Flaky | Passed (no var SD = 0) AND Failed (no var SD = 0) | Equal Means",
        IF(AND(ROUND(N(AL14),8)&gt;0, ROUND(N(AO14),8)&gt;0), "Group 6: Flaky | Passed (with var SD &gt; 0 ) AND Failed (with var SD &gt; 0) | Equal Means",
        IF(AND(ROUND(N(AL14),8)=0, ROUND(N(AO14),8)&gt;0), "Group 7: Flaky | Passed (no var SD = 0) AND Failed (with var SD &gt; 0) | Equal Means",
        "Group 8: Flaky | Passed (with var SD &gt; 0 ) AND Failed (no var SD = 0) | Equal Means")))
    ),
    IF(AH14&gt;0,
        IF(N(AL14)&gt;0, "Group 10: Only Passed | With variation (with var SD &gt; 0)", "Group 9: Only Passed | Without variation (no var SD = 0)"),
        IF(AI14&gt;0,
            IF(N(AO14)&gt;0,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4" s="37" t="str">
        <f aca="false">IF(OR(F14="Observed Flaky Test", I14="Observed Flaky Test", S14="Observed Flaky Test", AJ14="Observed Flaky Test"), "Observed Flaky Test", "Non-observed Flaky Test")</f>
        <v>Non-observed Flaky Test</v>
      </c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</row>
    <row r="15" customFormat="false" ht="15.75" hidden="false" customHeight="true" outlineLevel="0" collapsed="false">
      <c r="A15" s="13"/>
      <c r="B15" s="14" t="s">
        <v>52</v>
      </c>
      <c r="C15" s="14" t="s">
        <v>53</v>
      </c>
      <c r="D15" s="15" t="n">
        <v>100</v>
      </c>
      <c r="E15" s="15" t="n">
        <v>0</v>
      </c>
      <c r="F15" s="16" t="str">
        <f aca="false">IF(AND(D15&gt;0, E15&gt;0), "Observed Flaky Test", "Non-observed Flaky Test")</f>
        <v>Non-observed Flaky Test</v>
      </c>
      <c r="G15" s="17" t="n">
        <v>100</v>
      </c>
      <c r="H15" s="17" t="n">
        <v>0</v>
      </c>
      <c r="I15" s="16" t="str">
        <f aca="false">IF(AND(G15&gt;0, H15&gt;0), "Observed Flaky Test", "Non-observed Flaky Test")</f>
        <v>Non-observed Flaky Test</v>
      </c>
      <c r="J15" s="18" t="n">
        <v>8.62</v>
      </c>
      <c r="K15" s="18" t="n">
        <v>0</v>
      </c>
      <c r="L15" s="19" t="n">
        <f aca="false">IFERROR(K15/J15*100,"N/A")</f>
        <v>0</v>
      </c>
      <c r="M15" s="18" t="n">
        <v>0</v>
      </c>
      <c r="N15" s="18" t="n">
        <v>0</v>
      </c>
      <c r="O15" s="20" t="str">
        <f aca="false">IFERROR(N15/M15*100,"N/A")</f>
        <v>N/A</v>
      </c>
      <c r="P15" s="56" t="str">
        <f aca="false">IF(AND(G15&gt;0, H15=0), IF(ROUND(K15,8)=0, "Group 9: Only Passed | Without variation (SD Passed = 0)", "Group 10: Only Passed | With variation (SD Passed &gt; 0)"), IF(AND(G15=0, H15&gt;0), IF(ROUND(N15,8)=0, "Group 11: Only Failed | Without variation (SD Failed = 0)", "Group 12: Only Failed | With variation (SD Failed &gt; 0)"), IF(AND(G15&gt;0, H15&gt;0), IF(ROUND(J15,5)&lt;&gt;ROUND(M15,5), IF(AND(ROUND(K15,8)=0, ROUND(N15,8)=0), "Group 1: Flaky | Passed (no variation) AND Failed (no variation) | Different Means", IF(AND(ROUND(K15,8)&gt;0, ROUND(N15,8)&gt;0), "Group 2: Flaky | Passed (with variation) AND Failed (with variation) | Different Means", IF(AND(ROUND(K15,8)=0, ROUND(N15,8)&gt;0), "Group 3: Flaky | Passed (no variation) AND Failed (with variation) | Different Means", "Group 4: Flaky | Passed (with variation) AND Failed (no variation) | Different Means"))), IF(AND(ROUND(K15,8)=0, ROUND(N15,8)=0), "Group 5: Flaky | Passed (no variation) AND Failed (no variation) | Equal Means", IF(AND(ROUND(K15,8)&gt;0, ROUND(N15,8)&gt;0), "Group 6: Flaky | Passed (with variation) AND Failed (with variation) | Equal Means", IF(AND(ROUND(K15,8)=0, ROUND(N15,8)&gt;0),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5" s="22" t="n">
        <v>100</v>
      </c>
      <c r="R15" s="22" t="n">
        <v>0</v>
      </c>
      <c r="S15" s="23" t="str">
        <f aca="false">IF(AND(Q15&gt;0, R15&gt;0), "Observed Flaky Test", "Non-observed Flaky Test")</f>
        <v>Non-observed Flaky Test</v>
      </c>
      <c r="T15" s="22" t="n">
        <v>4286648.23</v>
      </c>
      <c r="U15" s="24" t="n">
        <v>134.436261</v>
      </c>
      <c r="V15" s="25" t="n">
        <f aca="false">IFERROR(U15/T15*100,"N/A")</f>
        <v>0.00313616265638853</v>
      </c>
      <c r="W15" s="22" t="n">
        <v>0</v>
      </c>
      <c r="X15" s="22" t="n">
        <v>0</v>
      </c>
      <c r="Y15" s="27" t="str">
        <f aca="false">IFERROR(X15/W15*100,"N/A")</f>
        <v>N/A</v>
      </c>
      <c r="Z15" s="50" t="str">
        <f aca="false">IF(AND(Q15&gt;0, R15=0), IF(IFERROR(ROUND(V15,8),0)=0, "Group 9: Only Passed | Without variation (no var CV = 0)", "Group 10: Only Passed | With variation (with var CV &gt; 0)"), IF(AND(Q15=0, R15&gt;0), IF(IFERROR(ROUND(Y15,8),0)=0, "Group 11: Only Failed | Without variation (no var CV = 0)", "Group 12: Only Failed | With variation (with var CV &gt; 0)"), IF(AND(Q15&gt;0, R15&gt;0), IF(ROUND(T15,5)&lt;&gt;ROUND(W15,5), IF(AND(IFERROR(ROUND(V15,8),0)=0, IFERROR(ROUND(Y15,8),0)=0), "Group 1: Flaky | Passed (no variation: CV = 0) AND Failed (no variation: CV = 0) | Different Means", IF(AND(IFERROR(ROUND(V15,8),0)&gt;0, IFERROR(ROUND(Y15,8),0)&gt;0), "Group 2: Flaky | Passed (with variation: CV &gt; 0) AND Failed (with variation: CV &gt; 0) | Different Means", IF(AND(IFERROR(ROUND(V15,8),0)=0, IFERROR(ROUND(Y15,8),0)&gt;0), "Group 3: Flaky | Passed (no variation: CV = 0) AND Failed (with variation: CV &gt; 0) | Different Means", "Group 4: Flaky | Passed (with variation: CV &gt; 0) AND Failed (no variation: CV = 0) | Different Means"))), IF(AND(IFERROR(ROUND(V15,8),0)=0, IFERROR(ROUND(Y15,8),0)=0), "Group 5: Flaky | Passed (no var CV = 0) AND Failed (no var CV = 0) | Equal Means", IF(AND(IFERROR(ROUND(V15,8),0)&gt;0, IFERROR(ROUND(Y15,8),0)&gt;0), "Group 6: Flaky | Passed (with var CV &gt; 0) AND Failed (with var CV &gt; 0) | Equal Means", IF(AND(IFERROR(ROUND(V15,8),0)=0, IFERROR(ROUND(Y15,8),0)&gt;0),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5" s="29" t="n">
        <v>2.491199</v>
      </c>
      <c r="AB15" s="29" t="n">
        <v>0.550082</v>
      </c>
      <c r="AC15" s="29" t="n">
        <f aca="false">IFERROR(AB15/AA15*100,"N/A")</f>
        <v>22.0810140016916</v>
      </c>
      <c r="AD15" s="29" t="n">
        <v>0</v>
      </c>
      <c r="AE15" s="29" t="n">
        <v>0</v>
      </c>
      <c r="AF15" s="29" t="str">
        <f aca="false">IFERROR(AE15/AD15*100,"N/A")</f>
        <v>N/A</v>
      </c>
      <c r="AG15" s="51" t="str">
        <f aca="false">IF(AND(Q15&gt;0, R15=0), IF(IFERROR(ROUND(AC15,8),0)=0, "Group 9: Only Passed | Without variation (no var CV = 0)", "Group 10: Only Passed | With variation (with var CV &gt; 0)"), IF(AND(Q15=0, R15&gt;0), IF(IFERROR(ROUND(AF15,8),0)=0, "Group 11: Only Failed | Without variation (no var CV = 0)", "Group 12: Only Failed | With variation (with var CV &gt; 0)"), IF(AND(Q15&gt;0, R15&gt;0), IF(ROUND(AA15,5)&lt;&gt;ROUND(AD15,5), IF(AND(IFERROR(ROUND(AC15,8),0)=0, IFERROR(ROUND(AF15,8),0)=0), "Group 1: Flaky | Passed (no variation: CV = 0) AND Failed (no variation: CV = 0) | Different Means", IF(AND(IFERROR(ROUND(AC15,8),0)&gt;0, IFERROR(ROUND(AF15,8),0)&gt;0), "Group 2: Flaky | Passed (with variation: CV &gt; 0) AND Failed (with variation: CV &gt; 0) | Different Means", IF(AND(IFERROR(ROUND(AC15,8),0)=0, IFERROR(ROUND(AF15,8),0)&gt;0), "Group 3: Flaky | Passed (no variation: CV = 0) AND Failed (with variation: CV &gt; 0) | Different Means", "Group 4: Flaky | Passed (with variation: CV &gt; 0) AND Failed (no variation: CV = 0) | Different Means"))), IF(AND(IFERROR(ROUND(AC15,8),0)=0, IFERROR(ROUND(AF15,8),0)=0), "Group 5: Flaky | Passed (no var CV = 0) AND Failed (no var CV = 0) | Equal Means", IF(AND(IFERROR(ROUND(AC15,8),0)&gt;0, IFERROR(ROUND(AF15,8),0)&gt;0), "Group 6: Flaky | Passed (with var CV &gt; 0) AND Failed (with var CV &gt; 0) | Equal Means", IF(AND(IFERROR(ROUND(AC15,8),0)=0, IFERROR(ROUND(AF15,8),0)&gt;0),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5" s="22" t="n">
        <v>100</v>
      </c>
      <c r="AI15" s="17" t="n">
        <v>0</v>
      </c>
      <c r="AJ15" s="31" t="str">
        <f aca="false">IF(AND(AH15&gt;0, AI15&gt;0), "Observed Flaky Test", "Non-observed Flaky Test")</f>
        <v>Non-observed Flaky Test</v>
      </c>
      <c r="AK15" s="32" t="n">
        <v>2811610.22</v>
      </c>
      <c r="AL15" s="34" t="n">
        <v>67.250110585317</v>
      </c>
      <c r="AM15" s="33" t="n">
        <f aca="false">IFERROR(AL15/AK15*100,"N/A")</f>
        <v>0.00239187175046323</v>
      </c>
      <c r="AN15" s="32" t="n">
        <v>0</v>
      </c>
      <c r="AO15" s="32" t="n">
        <v>0</v>
      </c>
      <c r="AP15" s="35" t="str">
        <f aca="false">IFERROR(AO15/AN15*100,"N/A")</f>
        <v>N/A</v>
      </c>
      <c r="AQ15" s="52" t="str">
        <f aca="false">IF(AND(AH15&gt;0, AI15&gt;0),
    IF(ROUND(N(AK15),5)&lt;&gt;ROUND(N(AN15),5),
        IF(AND(ROUND(N(AL15),8)=0, ROUND(N(AO15),8)=0), "Group 1: Flaky | Passed (no variation: SD = 0) AND Failed (no variation: SD = 0) | Different Means",
        IF(AND(ROUND(N(AL15),8)&gt;0, ROUND(N(AO15),8)&gt;0), "Group 2: Flaky | Passed (with variation: SD &gt; 0) AND Failed (with variation: SD &gt; 0) | Different Means",
        IF(AND(ROUND(N(AL15),8)=0, ROUND(N(AO15),8)&gt;0), "Group 3: Flaky | Passed (no variation: SD = 0) AND Failed (with variation: SD &gt; 0) | Different Means",
        "Group 4: Flaky | Passed (with variation: SD &gt; 0) AND Failed (no variation: SD = 0) | Different Means"))),
        IF(AND(ROUND(N(AL15),8)=0, ROUND(N(AO15),8)=0), "Group 5: Flaky | Passed (no var SD = 0) AND Failed (no var SD = 0) | Equal Means",
        IF(AND(ROUND(N(AL15),8)&gt;0, ROUND(N(AO15),8)&gt;0), "Group 6: Flaky | Passed (with var SD &gt; 0 ) AND Failed (with var SD &gt; 0) | Equal Means",
        IF(AND(ROUND(N(AL15),8)=0, ROUND(N(AO15),8)&gt;0), "Group 7: Flaky | Passed (no var SD = 0) AND Failed (with var SD &gt; 0) | Equal Means",
        "Group 8: Flaky | Passed (with var SD &gt; 0 ) AND Failed (no var SD = 0) | Equal Means")))
    ),
    IF(AH15&gt;0,
        IF(N(AL15)&gt;0, "Group 10: Only Passed | With variation (with var SD &gt; 0)", "Group 9: Only Passed | Without variation (no var SD = 0)"),
        IF(AI15&gt;0,
            IF(N(AO15)&gt;0,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5" s="37" t="str">
        <f aca="false">IF(OR(F15="Observed Flaky Test", I15="Observed Flaky Test", S15="Observed Flaky Test", AJ15="Observed Flaky Test"), "Observed Flaky Test", "Non-observed Flaky Test")</f>
        <v>Non-observed Flaky Test</v>
      </c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</row>
    <row r="16" customFormat="false" ht="15.75" hidden="false" customHeight="true" outlineLevel="0" collapsed="false">
      <c r="A16" s="13"/>
      <c r="B16" s="14" t="s">
        <v>54</v>
      </c>
      <c r="C16" s="14" t="s">
        <v>55</v>
      </c>
      <c r="D16" s="15" t="n">
        <v>100</v>
      </c>
      <c r="E16" s="15" t="n">
        <v>0</v>
      </c>
      <c r="F16" s="16" t="str">
        <f aca="false">IF(AND(D16&gt;0, E16&gt;0), "Observed Flaky Test", "Non-observed Flaky Test")</f>
        <v>Non-observed Flaky Test</v>
      </c>
      <c r="G16" s="17" t="n">
        <v>100</v>
      </c>
      <c r="H16" s="17" t="n">
        <v>0</v>
      </c>
      <c r="I16" s="16" t="str">
        <f aca="false">IF(AND(G16&gt;0, H16&gt;0), "Observed Flaky Test", "Non-observed Flaky Test")</f>
        <v>Non-observed Flaky Test</v>
      </c>
      <c r="J16" s="46" t="n">
        <v>8.5302</v>
      </c>
      <c r="K16" s="53" t="n">
        <v>0.00199</v>
      </c>
      <c r="L16" s="19" t="n">
        <f aca="false">IFERROR(K16/J16*100,"N/A")</f>
        <v>0.0233288785726009</v>
      </c>
      <c r="M16" s="18" t="n">
        <v>0</v>
      </c>
      <c r="N16" s="18" t="n">
        <v>0</v>
      </c>
      <c r="O16" s="20" t="str">
        <f aca="false">IFERROR(N16/M16*100,"N/A")</f>
        <v>N/A</v>
      </c>
      <c r="P16" s="48" t="str">
        <f aca="false">IF(AND(G16&gt;0, H16=0), IF(ROUND(K16,8)=0, "Group 9: Only Passed | Without variation (SD Passed = 0)", "Group 10: Only Passed | With variation (SD Passed &gt; 0)"), IF(AND(G16=0, H16&gt;0), IF(ROUND(N16,8)=0, "Group 11: Only Failed | Without variation (SD Failed = 0)", "Group 12: Only Failed | With variation (SD Failed &gt; 0)"), IF(AND(G16&gt;0, H16&gt;0), IF(ROUND(J16,5)&lt;&gt;ROUND(M16,5), IF(AND(ROUND(K16,8)=0, ROUND(N16,8)=0), "Group 1: Flaky | Passed (no variation) AND Failed (no variation) | Different Means", IF(AND(ROUND(K16,8)&gt;0, ROUND(N16,8)&gt;0), "Group 2: Flaky | Passed (with variation) AND Failed (with variation) | Different Means", IF(AND(ROUND(K16,8)=0, ROUND(N16,8)&gt;0), "Group 3: Flaky | Passed (no variation) AND Failed (with variation) | Different Means", "Group 4: Flaky | Passed (with variation) AND Failed (no variation) | Different Means"))), IF(AND(ROUND(K16,8)=0, ROUND(N16,8)=0), "Group 5: Flaky | Passed (no variation) AND Failed (no variation) | Equal Means", IF(AND(ROUND(K16,8)&gt;0, ROUND(N16,8)&gt;0), "Group 6: Flaky | Passed (with variation) AND Failed (with variation) | Equal Means", IF(AND(ROUND(K16,8)=0, ROUND(N16,8)&gt;0),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6" s="22" t="n">
        <v>100</v>
      </c>
      <c r="R16" s="22" t="n">
        <v>0</v>
      </c>
      <c r="S16" s="23" t="str">
        <f aca="false">IF(AND(Q16&gt;0, R16&gt;0), "Observed Flaky Test", "Non-observed Flaky Test")</f>
        <v>Non-observed Flaky Test</v>
      </c>
      <c r="T16" s="22" t="n">
        <v>4270262.36</v>
      </c>
      <c r="U16" s="24" t="n">
        <v>142.886797</v>
      </c>
      <c r="V16" s="25" t="n">
        <f aca="false">IFERROR(U16/T16*100,"N/A")</f>
        <v>0.00334608941919906</v>
      </c>
      <c r="W16" s="22" t="n">
        <v>0</v>
      </c>
      <c r="X16" s="22" t="n">
        <v>0</v>
      </c>
      <c r="Y16" s="27" t="str">
        <f aca="false">IFERROR(X16/W16*100,"N/A")</f>
        <v>N/A</v>
      </c>
      <c r="Z16" s="50" t="str">
        <f aca="false">IF(AND(Q16&gt;0, R16=0), IF(IFERROR(ROUND(V16,8),0)=0, "Group 9: Only Passed | Without variation (no var CV = 0)", "Group 10: Only Passed | With variation (with var CV &gt; 0)"), IF(AND(Q16=0, R16&gt;0), IF(IFERROR(ROUND(Y16,8),0)=0, "Group 11: Only Failed | Without variation (no var CV = 0)", "Group 12: Only Failed | With variation (with var CV &gt; 0)"), IF(AND(Q16&gt;0, R16&gt;0), IF(ROUND(T16,5)&lt;&gt;ROUND(W16,5), IF(AND(IFERROR(ROUND(V16,8),0)=0, IFERROR(ROUND(Y16,8),0)=0), "Group 1: Flaky | Passed (no variation: CV = 0) AND Failed (no variation: CV = 0) | Different Means", IF(AND(IFERROR(ROUND(V16,8),0)&gt;0, IFERROR(ROUND(Y16,8),0)&gt;0), "Group 2: Flaky | Passed (with variation: CV &gt; 0) AND Failed (with variation: CV &gt; 0) | Different Means", IF(AND(IFERROR(ROUND(V16,8),0)=0, IFERROR(ROUND(Y16,8),0)&gt;0), "Group 3: Flaky | Passed (no variation: CV = 0) AND Failed (with variation: CV &gt; 0) | Different Means", "Group 4: Flaky | Passed (with variation: CV &gt; 0) AND Failed (no variation: CV = 0) | Different Means"))), IF(AND(IFERROR(ROUND(V16,8),0)=0, IFERROR(ROUND(Y16,8),0)=0), "Group 5: Flaky | Passed (no var CV = 0) AND Failed (no var CV = 0) | Equal Means", IF(AND(IFERROR(ROUND(V16,8),0)&gt;0, IFERROR(ROUND(Y16,8),0)&gt;0), "Group 6: Flaky | Passed (with var CV &gt; 0) AND Failed (with var CV &gt; 0) | Equal Means", IF(AND(IFERROR(ROUND(V16,8),0)=0, IFERROR(ROUND(Y16,8),0)&gt;0),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" s="29" t="n">
        <v>2.427469</v>
      </c>
      <c r="AB16" s="29" t="n">
        <v>0.357565</v>
      </c>
      <c r="AC16" s="29" t="n">
        <f aca="false">IFERROR(AB16/AA16*100,"N/A")</f>
        <v>14.7299512372764</v>
      </c>
      <c r="AD16" s="29" t="n">
        <v>0</v>
      </c>
      <c r="AE16" s="29" t="n">
        <v>0</v>
      </c>
      <c r="AF16" s="29" t="str">
        <f aca="false">IFERROR(AE16/AD16*100,"N/A")</f>
        <v>N/A</v>
      </c>
      <c r="AG16" s="51" t="str">
        <f aca="false">IF(AND(Q16&gt;0, R16=0), IF(IFERROR(ROUND(AC16,8),0)=0, "Group 9: Only Passed | Without variation (no var CV = 0)", "Group 10: Only Passed | With variation (with var CV &gt; 0)"), IF(AND(Q16=0, R16&gt;0), IF(IFERROR(ROUND(AF16,8),0)=0, "Group 11: Only Failed | Without variation (no var CV = 0)", "Group 12: Only Failed | With variation (with var CV &gt; 0)"), IF(AND(Q16&gt;0, R16&gt;0), IF(ROUND(AA16,5)&lt;&gt;ROUND(AD16,5), IF(AND(IFERROR(ROUND(AC16,8),0)=0, IFERROR(ROUND(AF16,8),0)=0), "Group 1: Flaky | Passed (no variation: CV = 0) AND Failed (no variation: CV = 0) | Different Means", IF(AND(IFERROR(ROUND(AC16,8),0)&gt;0, IFERROR(ROUND(AF16,8),0)&gt;0), "Group 2: Flaky | Passed (with variation: CV &gt; 0) AND Failed (with variation: CV &gt; 0) | Different Means", IF(AND(IFERROR(ROUND(AC16,8),0)=0, IFERROR(ROUND(AF16,8),0)&gt;0), "Group 3: Flaky | Passed (no variation: CV = 0) AND Failed (with variation: CV &gt; 0) | Different Means", "Group 4: Flaky | Passed (with variation: CV &gt; 0) AND Failed (no variation: CV = 0) | Different Means"))), IF(AND(IFERROR(ROUND(AC16,8),0)=0, IFERROR(ROUND(AF16,8),0)=0), "Group 5: Flaky | Passed (no var CV = 0) AND Failed (no var CV = 0) | Equal Means", IF(AND(IFERROR(ROUND(AC16,8),0)&gt;0, IFERROR(ROUND(AF16,8),0)&gt;0), "Group 6: Flaky | Passed (with var CV &gt; 0) AND Failed (with var CV &gt; 0) | Equal Means", IF(AND(IFERROR(ROUND(AC16,8),0)=0, IFERROR(ROUND(AF16,8),0)&gt;0),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" s="22" t="n">
        <v>100</v>
      </c>
      <c r="AI16" s="17" t="n">
        <v>0</v>
      </c>
      <c r="AJ16" s="31" t="str">
        <f aca="false">IF(AND(AH16&gt;0, AI16&gt;0), "Observed Flaky Test", "Non-observed Flaky Test")</f>
        <v>Non-observed Flaky Test</v>
      </c>
      <c r="AK16" s="32" t="n">
        <v>2789979.27</v>
      </c>
      <c r="AL16" s="40" t="n">
        <v>82.4455565690462</v>
      </c>
      <c r="AM16" s="33" t="n">
        <f aca="false">IFERROR(AL16/AK16*100,"N/A")</f>
        <v>0.00295505982627054</v>
      </c>
      <c r="AN16" s="32" t="n">
        <v>0</v>
      </c>
      <c r="AO16" s="32" t="n">
        <v>0</v>
      </c>
      <c r="AP16" s="35" t="str">
        <f aca="false">IFERROR(AO16/AN16*100,"N/A")</f>
        <v>N/A</v>
      </c>
      <c r="AQ16" s="52" t="str">
        <f aca="false">IF(AND(AH16&gt;0, AI16&gt;0),
    IF(ROUND(N(AK16),5)&lt;&gt;ROUND(N(AN16),5),
        IF(AND(ROUND(N(AL16),8)=0, ROUND(N(AO16),8)=0), "Group 1: Flaky | Passed (no variation: SD = 0) AND Failed (no variation: SD = 0) | Different Means",
        IF(AND(ROUND(N(AL16),8)&gt;0, ROUND(N(AO16),8)&gt;0), "Group 2: Flaky | Passed (with variation: SD &gt; 0) AND Failed (with variation: SD &gt; 0) | Different Means",
        IF(AND(ROUND(N(AL16),8)=0, ROUND(N(AO16),8)&gt;0), "Group 3: Flaky | Passed (no variation: SD = 0) AND Failed (with variation: SD &gt; 0) | Different Means",
        "Group 4: Flaky | Passed (with variation: SD &gt; 0) AND Failed (no variation: SD = 0) | Different Means"))),
        IF(AND(ROUND(N(AL16),8)=0, ROUND(N(AO16),8)=0), "Group 5: Flaky | Passed (no var SD = 0) AND Failed (no var SD = 0) | Equal Means",
        IF(AND(ROUND(N(AL16),8)&gt;0, ROUND(N(AO16),8)&gt;0), "Group 6: Flaky | Passed (with var SD &gt; 0 ) AND Failed (with var SD &gt; 0) | Equal Means",
        IF(AND(ROUND(N(AL16),8)=0, ROUND(N(AO16),8)&gt;0), "Group 7: Flaky | Passed (no var SD = 0) AND Failed (with var SD &gt; 0) | Equal Means",
        "Group 8: Flaky | Passed (with var SD &gt; 0 ) AND Failed (no var SD = 0) | Equal Means")))
    ),
    IF(AH16&gt;0,
        IF(N(AL16)&gt;0, "Group 10: Only Passed | With variation (with var SD &gt; 0)", "Group 9: Only Passed | Without variation (no var SD = 0)"),
        IF(AI16&gt;0,
            IF(N(AO16)&gt;0,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6" s="37" t="str">
        <f aca="false">IF(OR(F16="Observed Flaky Test", I16="Observed Flaky Test", S16="Observed Flaky Test", AJ16="Observed Flaky Test"), "Observed Flaky Test", "Non-observed Flaky Test")</f>
        <v>Non-observed Flaky Test</v>
      </c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 customFormat="false" ht="15.75" hidden="false" customHeight="true" outlineLevel="0" collapsed="false">
      <c r="A17" s="13"/>
      <c r="B17" s="14" t="s">
        <v>56</v>
      </c>
      <c r="C17" s="14" t="s">
        <v>57</v>
      </c>
      <c r="D17" s="15" t="n">
        <v>100</v>
      </c>
      <c r="E17" s="15" t="n">
        <v>0</v>
      </c>
      <c r="F17" s="16" t="str">
        <f aca="false">IF(AND(D17&gt;0, E17&gt;0), "Observed Flaky Test", "Non-observed Flaky Test")</f>
        <v>Non-observed Flaky Test</v>
      </c>
      <c r="G17" s="17" t="n">
        <v>100</v>
      </c>
      <c r="H17" s="17" t="n">
        <v>0</v>
      </c>
      <c r="I17" s="16" t="str">
        <f aca="false">IF(AND(G17&gt;0, H17&gt;0), "Observed Flaky Test", "Non-observed Flaky Test")</f>
        <v>Non-observed Flaky Test</v>
      </c>
      <c r="J17" s="18" t="n">
        <v>8.62</v>
      </c>
      <c r="K17" s="18" t="n">
        <v>0</v>
      </c>
      <c r="L17" s="19" t="n">
        <f aca="false">IFERROR(K17/J17*100,"N/A")</f>
        <v>0</v>
      </c>
      <c r="M17" s="18" t="n">
        <v>0</v>
      </c>
      <c r="N17" s="18" t="n">
        <v>0</v>
      </c>
      <c r="O17" s="20" t="str">
        <f aca="false">IFERROR(N17/M17*100,"N/A")</f>
        <v>N/A</v>
      </c>
      <c r="P17" s="56" t="str">
        <f aca="false">IF(AND(G17&gt;0, H17=0), IF(ROUND(K17,8)=0, "Group 9: Only Passed | Without variation (SD Passed = 0)", "Group 10: Only Passed | With variation (SD Passed &gt; 0)"), IF(AND(G17=0, H17&gt;0), IF(ROUND(N17,8)=0, "Group 11: Only Failed | Without variation (SD Failed = 0)", "Group 12: Only Failed | With variation (SD Failed &gt; 0)"), IF(AND(G17&gt;0, H17&gt;0), IF(ROUND(J17,5)&lt;&gt;ROUND(M17,5), IF(AND(ROUND(K17,8)=0, ROUND(N17,8)=0), "Group 1: Flaky | Passed (no variation) AND Failed (no variation) | Different Means", IF(AND(ROUND(K17,8)&gt;0, ROUND(N17,8)&gt;0), "Group 2: Flaky | Passed (with variation) AND Failed (with variation) | Different Means", IF(AND(ROUND(K17,8)=0, ROUND(N17,8)&gt;0), "Group 3: Flaky | Passed (no variation) AND Failed (with variation) | Different Means", "Group 4: Flaky | Passed (with variation) AND Failed (no variation) | Different Means"))), IF(AND(ROUND(K17,8)=0, ROUND(N17,8)=0), "Group 5: Flaky | Passed (no variation) AND Failed (no variation) | Equal Means", IF(AND(ROUND(K17,8)&gt;0, ROUND(N17,8)&gt;0), "Group 6: Flaky | Passed (with variation) AND Failed (with variation) | Equal Means", IF(AND(ROUND(K17,8)=0, ROUND(N17,8)&gt;0),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7" s="22" t="n">
        <v>100</v>
      </c>
      <c r="R17" s="22" t="n">
        <v>0</v>
      </c>
      <c r="S17" s="23" t="str">
        <f aca="false">IF(AND(Q17&gt;0, R17&gt;0), "Observed Flaky Test", "Non-observed Flaky Test")</f>
        <v>Non-observed Flaky Test</v>
      </c>
      <c r="T17" s="22" t="n">
        <v>4275096.62</v>
      </c>
      <c r="U17" s="24" t="n">
        <v>147.315355</v>
      </c>
      <c r="V17" s="25" t="n">
        <f aca="false">IFERROR(U17/T17*100,"N/A")</f>
        <v>0.00344589533510941</v>
      </c>
      <c r="W17" s="22" t="n">
        <v>0</v>
      </c>
      <c r="X17" s="22" t="n">
        <v>0</v>
      </c>
      <c r="Y17" s="27" t="str">
        <f aca="false">IFERROR(X17/W17*100,"N/A")</f>
        <v>N/A</v>
      </c>
      <c r="Z17" s="50" t="str">
        <f aca="false">IF(AND(Q17&gt;0, R17=0), IF(IFERROR(ROUND(V17,8),0)=0, "Group 9: Only Passed | Without variation (no var CV = 0)", "Group 10: Only Passed | With variation (with var CV &gt; 0)"), IF(AND(Q17=0, R17&gt;0), IF(IFERROR(ROUND(Y17,8),0)=0, "Group 11: Only Failed | Without variation (no var CV = 0)", "Group 12: Only Failed | With variation (with var CV &gt; 0)"), IF(AND(Q17&gt;0, R17&gt;0), IF(ROUND(T17,5)&lt;&gt;ROUND(W17,5), IF(AND(IFERROR(ROUND(V17,8),0)=0, IFERROR(ROUND(Y17,8),0)=0), "Group 1: Flaky | Passed (no variation: CV = 0) AND Failed (no variation: CV = 0) | Different Means", IF(AND(IFERROR(ROUND(V17,8),0)&gt;0, IFERROR(ROUND(Y17,8),0)&gt;0), "Group 2: Flaky | Passed (with variation: CV &gt; 0) AND Failed (with variation: CV &gt; 0) | Different Means", IF(AND(IFERROR(ROUND(V17,8),0)=0, IFERROR(ROUND(Y17,8),0)&gt;0), "Group 3: Flaky | Passed (no variation: CV = 0) AND Failed (with variation: CV &gt; 0) | Different Means", "Group 4: Flaky | Passed (with variation: CV &gt; 0) AND Failed (no variation: CV = 0) | Different Means"))), IF(AND(IFERROR(ROUND(V17,8),0)=0, IFERROR(ROUND(Y17,8),0)=0), "Group 5: Flaky | Passed (no var CV = 0) AND Failed (no var CV = 0) | Equal Means", IF(AND(IFERROR(ROUND(V17,8),0)&gt;0, IFERROR(ROUND(Y17,8),0)&gt;0), "Group 6: Flaky | Passed (with var CV &gt; 0) AND Failed (with var CV &gt; 0) | Equal Means", IF(AND(IFERROR(ROUND(V17,8),0)=0, IFERROR(ROUND(Y17,8),0)&gt;0),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7" s="29" t="n">
        <v>2.356116</v>
      </c>
      <c r="AB17" s="29" t="n">
        <v>0.055411</v>
      </c>
      <c r="AC17" s="29" t="n">
        <f aca="false">IFERROR(AB17/AA17*100,"N/A")</f>
        <v>2.35179422405348</v>
      </c>
      <c r="AD17" s="29" t="n">
        <v>0</v>
      </c>
      <c r="AE17" s="29" t="n">
        <v>0</v>
      </c>
      <c r="AF17" s="29" t="str">
        <f aca="false">IFERROR(AE17/AD17*100,"N/A")</f>
        <v>N/A</v>
      </c>
      <c r="AG17" s="51" t="str">
        <f aca="false">IF(AND(Q17&gt;0, R17=0), IF(IFERROR(ROUND(AC17,8),0)=0, "Group 9: Only Passed | Without variation (no var CV = 0)", "Group 10: Only Passed | With variation (with var CV &gt; 0)"), IF(AND(Q17=0, R17&gt;0), IF(IFERROR(ROUND(AF17,8),0)=0, "Group 11: Only Failed | Without variation (no var CV = 0)", "Group 12: Only Failed | With variation (with var CV &gt; 0)"), IF(AND(Q17&gt;0, R17&gt;0), IF(ROUND(AA17,5)&lt;&gt;ROUND(AD17,5), IF(AND(IFERROR(ROUND(AC17,8),0)=0, IFERROR(ROUND(AF17,8),0)=0), "Group 1: Flaky | Passed (no variation: CV = 0) AND Failed (no variation: CV = 0) | Different Means", IF(AND(IFERROR(ROUND(AC17,8),0)&gt;0, IFERROR(ROUND(AF17,8),0)&gt;0), "Group 2: Flaky | Passed (with variation: CV &gt; 0) AND Failed (with variation: CV &gt; 0) | Different Means", IF(AND(IFERROR(ROUND(AC17,8),0)=0, IFERROR(ROUND(AF17,8),0)&gt;0), "Group 3: Flaky | Passed (no variation: CV = 0) AND Failed (with variation: CV &gt; 0) | Different Means", "Group 4: Flaky | Passed (with variation: CV &gt; 0) AND Failed (no variation: CV = 0) | Different Means"))), IF(AND(IFERROR(ROUND(AC17,8),0)=0, IFERROR(ROUND(AF17,8),0)=0), "Group 5: Flaky | Passed (no var CV = 0) AND Failed (no var CV = 0) | Equal Means", IF(AND(IFERROR(ROUND(AC17,8),0)&gt;0, IFERROR(ROUND(AF17,8),0)&gt;0), "Group 6: Flaky | Passed (with var CV &gt; 0) AND Failed (with var CV &gt; 0) | Equal Means", IF(AND(IFERROR(ROUND(AC17,8),0)=0, IFERROR(ROUND(AF17,8),0)&gt;0),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7" s="22" t="n">
        <v>100</v>
      </c>
      <c r="AI17" s="17" t="n">
        <v>0</v>
      </c>
      <c r="AJ17" s="31" t="str">
        <f aca="false">IF(AND(AH17&gt;0, AI17&gt;0), "Observed Flaky Test", "Non-observed Flaky Test")</f>
        <v>Non-observed Flaky Test</v>
      </c>
      <c r="AK17" s="32" t="n">
        <v>2795330.75</v>
      </c>
      <c r="AL17" s="40" t="n">
        <v>81.4339138395811</v>
      </c>
      <c r="AM17" s="33" t="n">
        <f aca="false">IFERROR(AL17/AK17*100,"N/A")</f>
        <v>0.00291321210699596</v>
      </c>
      <c r="AN17" s="32" t="n">
        <v>0</v>
      </c>
      <c r="AO17" s="32" t="n">
        <v>0</v>
      </c>
      <c r="AP17" s="35" t="str">
        <f aca="false">IFERROR(AO17/AN17*100,"N/A")</f>
        <v>N/A</v>
      </c>
      <c r="AQ17" s="52" t="str">
        <f aca="false">IF(AND(AH17&gt;0, AI17&gt;0),
    IF(ROUND(N(AK17),5)&lt;&gt;ROUND(N(AN17),5),
        IF(AND(ROUND(N(AL17),8)=0, ROUND(N(AO17),8)=0), "Group 1: Flaky | Passed (no variation: SD = 0) AND Failed (no variation: SD = 0) | Different Means",
        IF(AND(ROUND(N(AL17),8)&gt;0, ROUND(N(AO17),8)&gt;0), "Group 2: Flaky | Passed (with variation: SD &gt; 0) AND Failed (with variation: SD &gt; 0) | Different Means",
        IF(AND(ROUND(N(AL17),8)=0, ROUND(N(AO17),8)&gt;0), "Group 3: Flaky | Passed (no variation: SD = 0) AND Failed (with variation: SD &gt; 0) | Different Means",
        "Group 4: Flaky | Passed (with variation: SD &gt; 0) AND Failed (no variation: SD = 0) | Different Means"))),
        IF(AND(ROUND(N(AL17),8)=0, ROUND(N(AO17),8)=0), "Group 5: Flaky | Passed (no var SD = 0) AND Failed (no var SD = 0) | Equal Means",
        IF(AND(ROUND(N(AL17),8)&gt;0, ROUND(N(AO17),8)&gt;0), "Group 6: Flaky | Passed (with var SD &gt; 0 ) AND Failed (with var SD &gt; 0) | Equal Means",
        IF(AND(ROUND(N(AL17),8)=0, ROUND(N(AO17),8)&gt;0), "Group 7: Flaky | Passed (no var SD = 0) AND Failed (with var SD &gt; 0) | Equal Means",
        "Group 8: Flaky | Passed (with var SD &gt; 0 ) AND Failed (no var SD = 0) | Equal Means")))
    ),
    IF(AH17&gt;0,
        IF(N(AL17)&gt;0, "Group 10: Only Passed | With variation (with var SD &gt; 0)", "Group 9: Only Passed | Without variation (no var SD = 0)"),
        IF(AI17&gt;0,
            IF(N(AO17)&gt;0,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7" s="37" t="str">
        <f aca="false">IF(OR(F17="Observed Flaky Test", I17="Observed Flaky Test", S17="Observed Flaky Test", AJ17="Observed Flaky Test"), "Observed Flaky Test", "Non-observed Flaky Test")</f>
        <v>Non-observed Flaky Test</v>
      </c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</row>
    <row r="18" customFormat="false" ht="15.75" hidden="false" customHeight="true" outlineLevel="0" collapsed="false">
      <c r="A18" s="13"/>
      <c r="B18" s="14" t="s">
        <v>58</v>
      </c>
      <c r="C18" s="14" t="s">
        <v>59</v>
      </c>
      <c r="D18" s="15" t="n">
        <v>100</v>
      </c>
      <c r="E18" s="15" t="n">
        <v>0</v>
      </c>
      <c r="F18" s="16" t="str">
        <f aca="false">IF(AND(D18&gt;0, E18&gt;0), "Observed Flaky Test", "Non-observed Flaky Test")</f>
        <v>Non-observed Flaky Test</v>
      </c>
      <c r="G18" s="17" t="n">
        <v>100</v>
      </c>
      <c r="H18" s="17" t="n">
        <v>0</v>
      </c>
      <c r="I18" s="16" t="str">
        <f aca="false">IF(AND(G18&gt;0, H18&gt;0), "Observed Flaky Test", "Non-observed Flaky Test")</f>
        <v>Non-observed Flaky Test</v>
      </c>
      <c r="J18" s="46" t="n">
        <v>8.9324</v>
      </c>
      <c r="K18" s="53" t="n">
        <v>0.006499</v>
      </c>
      <c r="L18" s="19" t="n">
        <f aca="false">IFERROR(K18/J18*100,"N/A")</f>
        <v>0.0727576015404595</v>
      </c>
      <c r="M18" s="18" t="n">
        <v>0</v>
      </c>
      <c r="N18" s="18" t="n">
        <v>0</v>
      </c>
      <c r="O18" s="20" t="str">
        <f aca="false">IFERROR(N18/M18*100,"N/A")</f>
        <v>N/A</v>
      </c>
      <c r="P18" s="48" t="str">
        <f aca="false">IF(AND(G18&gt;0, H18=0), IF(ROUND(K18,8)=0, "Group 9: Only Passed | Without variation (SD Passed = 0)", "Group 10: Only Passed | With variation (SD Passed &gt; 0)"), IF(AND(G18=0, H18&gt;0), IF(ROUND(N18,8)=0, "Group 11: Only Failed | Without variation (SD Failed = 0)", "Group 12: Only Failed | With variation (SD Failed &gt; 0)"), IF(AND(G18&gt;0, H18&gt;0), IF(ROUND(J18,5)&lt;&gt;ROUND(M18,5), IF(AND(ROUND(K18,8)=0, ROUND(N18,8)=0), "Group 1: Flaky | Passed (no variation) AND Failed (no variation) | Different Means", IF(AND(ROUND(K18,8)&gt;0, ROUND(N18,8)&gt;0), "Group 2: Flaky | Passed (with variation) AND Failed (with variation) | Different Means", IF(AND(ROUND(K18,8)=0, ROUND(N18,8)&gt;0), "Group 3: Flaky | Passed (no variation) AND Failed (with variation) | Different Means", "Group 4: Flaky | Passed (with variation) AND Failed (no variation) | Different Means"))), IF(AND(ROUND(K18,8)=0, ROUND(N18,8)=0), "Group 5: Flaky | Passed (no variation) AND Failed (no variation) | Equal Means", IF(AND(ROUND(K18,8)&gt;0, ROUND(N18,8)&gt;0), "Group 6: Flaky | Passed (with variation) AND Failed (with variation) | Equal Means", IF(AND(ROUND(K18,8)=0, ROUND(N18,8)&gt;0),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8" s="22" t="n">
        <v>100</v>
      </c>
      <c r="R18" s="22" t="n">
        <v>0</v>
      </c>
      <c r="S18" s="23" t="str">
        <f aca="false">IF(AND(Q18&gt;0, R18&gt;0), "Observed Flaky Test", "Non-observed Flaky Test")</f>
        <v>Non-observed Flaky Test</v>
      </c>
      <c r="T18" s="22" t="n">
        <v>4422281.84</v>
      </c>
      <c r="U18" s="24" t="n">
        <v>140.092518</v>
      </c>
      <c r="V18" s="25" t="n">
        <f aca="false">IFERROR(U18/T18*100,"N/A")</f>
        <v>0.00316787855384631</v>
      </c>
      <c r="W18" s="22" t="n">
        <v>0</v>
      </c>
      <c r="X18" s="22" t="n">
        <v>0</v>
      </c>
      <c r="Y18" s="27" t="str">
        <f aca="false">IFERROR(X18/W18*100,"N/A")</f>
        <v>N/A</v>
      </c>
      <c r="Z18" s="50" t="str">
        <f aca="false">IF(AND(Q18&gt;0, R18=0), IF(IFERROR(ROUND(V18,8),0)=0, "Group 9: Only Passed | Without variation (no var CV = 0)", "Group 10: Only Passed | With variation (with var CV &gt; 0)"), IF(AND(Q18=0, R18&gt;0), IF(IFERROR(ROUND(Y18,8),0)=0, "Group 11: Only Failed | Without variation (no var CV = 0)", "Group 12: Only Failed | With variation (with var CV &gt; 0)"), IF(AND(Q18&gt;0, R18&gt;0), IF(ROUND(T18,5)&lt;&gt;ROUND(W18,5), IF(AND(IFERROR(ROUND(V18,8),0)=0, IFERROR(ROUND(Y18,8),0)=0), "Group 1: Flaky | Passed (no variation: CV = 0) AND Failed (no variation: CV = 0) | Different Means", IF(AND(IFERROR(ROUND(V18,8),0)&gt;0, IFERROR(ROUND(Y18,8),0)&gt;0), "Group 2: Flaky | Passed (with variation: CV &gt; 0) AND Failed (with variation: CV &gt; 0) | Different Means", IF(AND(IFERROR(ROUND(V18,8),0)=0, IFERROR(ROUND(Y18,8),0)&gt;0), "Group 3: Flaky | Passed (no variation: CV = 0) AND Failed (with variation: CV &gt; 0) | Different Means", "Group 4: Flaky | Passed (with variation: CV &gt; 0) AND Failed (no variation: CV = 0) | Different Means"))), IF(AND(IFERROR(ROUND(V18,8),0)=0, IFERROR(ROUND(Y18,8),0)=0), "Group 5: Flaky | Passed (no var CV = 0) AND Failed (no var CV = 0) | Equal Means", IF(AND(IFERROR(ROUND(V18,8),0)&gt;0, IFERROR(ROUND(Y18,8),0)&gt;0), "Group 6: Flaky | Passed (with var CV &gt; 0) AND Failed (with var CV &gt; 0) | Equal Means", IF(AND(IFERROR(ROUND(V18,8),0)=0, IFERROR(ROUND(Y18,8),0)&gt;0),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8" s="29" t="n">
        <v>2.471697</v>
      </c>
      <c r="AB18" s="29" t="n">
        <v>0.049822</v>
      </c>
      <c r="AC18" s="29" t="n">
        <f aca="false">IFERROR(AB18/AA18*100,"N/A")</f>
        <v>2.01570014447564</v>
      </c>
      <c r="AD18" s="29" t="n">
        <v>0</v>
      </c>
      <c r="AE18" s="29" t="n">
        <v>0</v>
      </c>
      <c r="AF18" s="29" t="str">
        <f aca="false">IFERROR(AE18/AD18*100,"N/A")</f>
        <v>N/A</v>
      </c>
      <c r="AG18" s="51" t="str">
        <f aca="false">IF(AND(Q18&gt;0, R18=0), IF(IFERROR(ROUND(AC18,8),0)=0, "Group 9: Only Passed | Without variation (no var CV = 0)", "Group 10: Only Passed | With variation (with var CV &gt; 0)"), IF(AND(Q18=0, R18&gt;0), IF(IFERROR(ROUND(AF18,8),0)=0, "Group 11: Only Failed | Without variation (no var CV = 0)", "Group 12: Only Failed | With variation (with var CV &gt; 0)"), IF(AND(Q18&gt;0, R18&gt;0), IF(ROUND(AA18,5)&lt;&gt;ROUND(AD18,5), IF(AND(IFERROR(ROUND(AC18,8),0)=0, IFERROR(ROUND(AF18,8),0)=0), "Group 1: Flaky | Passed (no variation: CV = 0) AND Failed (no variation: CV = 0) | Different Means", IF(AND(IFERROR(ROUND(AC18,8),0)&gt;0, IFERROR(ROUND(AF18,8),0)&gt;0), "Group 2: Flaky | Passed (with variation: CV &gt; 0) AND Failed (with variation: CV &gt; 0) | Different Means", IF(AND(IFERROR(ROUND(AC18,8),0)=0, IFERROR(ROUND(AF18,8),0)&gt;0), "Group 3: Flaky | Passed (no variation: CV = 0) AND Failed (with variation: CV &gt; 0) | Different Means", "Group 4: Flaky | Passed (with variation: CV &gt; 0) AND Failed (no variation: CV = 0) | Different Means"))), IF(AND(IFERROR(ROUND(AC18,8),0)=0, IFERROR(ROUND(AF18,8),0)=0), "Group 5: Flaky | Passed (no var CV = 0) AND Failed (no var CV = 0) | Equal Means", IF(AND(IFERROR(ROUND(AC18,8),0)&gt;0, IFERROR(ROUND(AF18,8),0)&gt;0), "Group 6: Flaky | Passed (with var CV &gt; 0) AND Failed (with var CV &gt; 0) | Equal Means", IF(AND(IFERROR(ROUND(AC18,8),0)=0, IFERROR(ROUND(AF18,8),0)&gt;0),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8" s="22" t="n">
        <v>100</v>
      </c>
      <c r="AI18" s="17" t="n">
        <v>0</v>
      </c>
      <c r="AJ18" s="31" t="str">
        <f aca="false">IF(AND(AH18&gt;0, AI18&gt;0), "Observed Flaky Test", "Non-observed Flaky Test")</f>
        <v>Non-observed Flaky Test</v>
      </c>
      <c r="AK18" s="32" t="n">
        <v>5616908.12</v>
      </c>
      <c r="AL18" s="34" t="n">
        <v>270.368744831605</v>
      </c>
      <c r="AM18" s="33" t="n">
        <f aca="false">IFERROR(AL18/AK18*100,"N/A")</f>
        <v>0.00481347992624108</v>
      </c>
      <c r="AN18" s="32" t="n">
        <v>0</v>
      </c>
      <c r="AO18" s="32" t="n">
        <v>0</v>
      </c>
      <c r="AP18" s="35" t="str">
        <f aca="false">IFERROR(AO18/AN18*100,"N/A")</f>
        <v>N/A</v>
      </c>
      <c r="AQ18" s="52" t="str">
        <f aca="false">IF(AND(AH18&gt;0, AI18&gt;0),
    IF(ROUND(N(AK18),5)&lt;&gt;ROUND(N(AN18),5),
        IF(AND(ROUND(N(AL18),8)=0, ROUND(N(AO18),8)=0), "Group 1: Flaky | Passed (no variation: SD = 0) AND Failed (no variation: SD = 0) | Different Means",
        IF(AND(ROUND(N(AL18),8)&gt;0, ROUND(N(AO18),8)&gt;0), "Group 2: Flaky | Passed (with variation: SD &gt; 0) AND Failed (with variation: SD &gt; 0) | Different Means",
        IF(AND(ROUND(N(AL18),8)=0, ROUND(N(AO18),8)&gt;0), "Group 3: Flaky | Passed (no variation: SD = 0) AND Failed (with variation: SD &gt; 0) | Different Means",
        "Group 4: Flaky | Passed (with variation: SD &gt; 0) AND Failed (no variation: SD = 0) | Different Means"))),
        IF(AND(ROUND(N(AL18),8)=0, ROUND(N(AO18),8)=0), "Group 5: Flaky | Passed (no var SD = 0) AND Failed (no var SD = 0) | Equal Means",
        IF(AND(ROUND(N(AL18),8)&gt;0, ROUND(N(AO18),8)&gt;0), "Group 6: Flaky | Passed (with var SD &gt; 0 ) AND Failed (with var SD &gt; 0) | Equal Means",
        IF(AND(ROUND(N(AL18),8)=0, ROUND(N(AO18),8)&gt;0), "Group 7: Flaky | Passed (no var SD = 0) AND Failed (with var SD &gt; 0) | Equal Means",
        "Group 8: Flaky | Passed (with var SD &gt; 0 ) AND Failed (no var SD = 0) | Equal Means")))
    ),
    IF(AH18&gt;0,
        IF(N(AL18)&gt;0, "Group 10: Only Passed | With variation (with var SD &gt; 0)", "Group 9: Only Passed | Without variation (no var SD = 0)"),
        IF(AI18&gt;0,
            IF(N(AO18)&gt;0,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8" s="37" t="str">
        <f aca="false">IF(OR(F18="Observed Flaky Test", I18="Observed Flaky Test", S18="Observed Flaky Test", AJ18="Observed Flaky Test"), "Observed Flaky Test", "Non-observed Flaky Test")</f>
        <v>Non-observed Flaky Test</v>
      </c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customFormat="false" ht="15.75" hidden="false" customHeight="true" outlineLevel="0" collapsed="false">
      <c r="A19" s="13"/>
      <c r="B19" s="14" t="s">
        <v>60</v>
      </c>
      <c r="C19" s="14" t="s">
        <v>61</v>
      </c>
      <c r="D19" s="15" t="n">
        <v>100</v>
      </c>
      <c r="E19" s="15" t="n">
        <v>0</v>
      </c>
      <c r="F19" s="16" t="str">
        <f aca="false">IF(AND(D19&gt;0, E19&gt;0), "Observed Flaky Test", "Non-observed Flaky Test")</f>
        <v>Non-observed Flaky Test</v>
      </c>
      <c r="G19" s="17" t="n">
        <v>100</v>
      </c>
      <c r="H19" s="17" t="n">
        <v>0</v>
      </c>
      <c r="I19" s="16" t="str">
        <f aca="false">IF(AND(G19&gt;0, H19&gt;0), "Observed Flaky Test", "Non-observed Flaky Test")</f>
        <v>Non-observed Flaky Test</v>
      </c>
      <c r="J19" s="46" t="n">
        <v>8.7832</v>
      </c>
      <c r="K19" s="47" t="n">
        <v>0.00773</v>
      </c>
      <c r="L19" s="19" t="n">
        <f aca="false">IFERROR(K19/J19*100,"N/A")</f>
        <v>0.088008926131706</v>
      </c>
      <c r="M19" s="18" t="n">
        <v>0</v>
      </c>
      <c r="N19" s="18" t="n">
        <v>0</v>
      </c>
      <c r="O19" s="20" t="str">
        <f aca="false">IFERROR(N19/M19*100,"N/A")</f>
        <v>N/A</v>
      </c>
      <c r="P19" s="48" t="str">
        <f aca="false">IF(AND(G19&gt;0, H19=0), IF(ROUND(K19,8)=0, "Group 9: Only Passed | Without variation (SD Passed = 0)", "Group 10: Only Passed | With variation (SD Passed &gt; 0)"), IF(AND(G19=0, H19&gt;0), IF(ROUND(N19,8)=0, "Group 11: Only Failed | Without variation (SD Failed = 0)", "Group 12: Only Failed | With variation (SD Failed &gt; 0)"), IF(AND(G19&gt;0, H19&gt;0), IF(ROUND(J19,5)&lt;&gt;ROUND(M19,5), IF(AND(ROUND(K19,8)=0, ROUND(N19,8)=0), "Group 1: Flaky | Passed (no variation) AND Failed (no variation) | Different Means", IF(AND(ROUND(K19,8)&gt;0, ROUND(N19,8)&gt;0), "Group 2: Flaky | Passed (with variation) AND Failed (with variation) | Different Means", IF(AND(ROUND(K19,8)=0, ROUND(N19,8)&gt;0), "Group 3: Flaky | Passed (no variation) AND Failed (with variation) | Different Means", "Group 4: Flaky | Passed (with variation) AND Failed (no variation) | Different Means"))), IF(AND(ROUND(K19,8)=0, ROUND(N19,8)=0), "Group 5: Flaky | Passed (no variation) AND Failed (no variation) | Equal Means", IF(AND(ROUND(K19,8)&gt;0, ROUND(N19,8)&gt;0), "Group 6: Flaky | Passed (with variation) AND Failed (with variation) | Equal Means", IF(AND(ROUND(K19,8)=0, ROUND(N19,8)&gt;0),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9" s="22" t="n">
        <v>100</v>
      </c>
      <c r="R19" s="22" t="n">
        <v>0</v>
      </c>
      <c r="S19" s="23" t="str">
        <f aca="false">IF(AND(Q19&gt;0, R19&gt;0), "Observed Flaky Test", "Non-observed Flaky Test")</f>
        <v>Non-observed Flaky Test</v>
      </c>
      <c r="T19" s="22" t="n">
        <v>4422998.67</v>
      </c>
      <c r="U19" s="26" t="n">
        <v>142.830128</v>
      </c>
      <c r="V19" s="25" t="n">
        <f aca="false">IFERROR(U19/T19*100,"N/A")</f>
        <v>0.00322926002598142</v>
      </c>
      <c r="W19" s="22" t="n">
        <v>0</v>
      </c>
      <c r="X19" s="22" t="n">
        <v>0</v>
      </c>
      <c r="Y19" s="27" t="str">
        <f aca="false">IFERROR(X19/W19*100,"N/A")</f>
        <v>N/A</v>
      </c>
      <c r="Z19" s="50" t="str">
        <f aca="false">IF(AND(Q19&gt;0, R19=0), IF(IFERROR(ROUND(V19,8),0)=0, "Group 9: Only Passed | Without variation (no var CV = 0)", "Group 10: Only Passed | With variation (with var CV &gt; 0)"), IF(AND(Q19=0, R19&gt;0), IF(IFERROR(ROUND(Y19,8),0)=0, "Group 11: Only Failed | Without variation (no var CV = 0)", "Group 12: Only Failed | With variation (with var CV &gt; 0)"), IF(AND(Q19&gt;0, R19&gt;0), IF(ROUND(T19,5)&lt;&gt;ROUND(W19,5), IF(AND(IFERROR(ROUND(V19,8),0)=0, IFERROR(ROUND(Y19,8),0)=0), "Group 1: Flaky | Passed (no variation: CV = 0) AND Failed (no variation: CV = 0) | Different Means", IF(AND(IFERROR(ROUND(V19,8),0)&gt;0, IFERROR(ROUND(Y19,8),0)&gt;0), "Group 2: Flaky | Passed (with variation: CV &gt; 0) AND Failed (with variation: CV &gt; 0) | Different Means", IF(AND(IFERROR(ROUND(V19,8),0)=0, IFERROR(ROUND(Y19,8),0)&gt;0), "Group 3: Flaky | Passed (no variation: CV = 0) AND Failed (with variation: CV &gt; 0) | Different Means", "Group 4: Flaky | Passed (with variation: CV &gt; 0) AND Failed (no variation: CV = 0) | Different Means"))), IF(AND(IFERROR(ROUND(V19,8),0)=0, IFERROR(ROUND(Y19,8),0)=0), "Group 5: Flaky | Passed (no var CV = 0) AND Failed (no var CV = 0) | Equal Means", IF(AND(IFERROR(ROUND(V19,8),0)&gt;0, IFERROR(ROUND(Y19,8),0)&gt;0), "Group 6: Flaky | Passed (with var CV &gt; 0) AND Failed (with var CV &gt; 0) | Equal Means", IF(AND(IFERROR(ROUND(V19,8),0)=0, IFERROR(ROUND(Y19,8),0)&gt;0),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9" s="29" t="n">
        <v>2.480755</v>
      </c>
      <c r="AB19" s="29" t="n">
        <v>0.058411</v>
      </c>
      <c r="AC19" s="29" t="n">
        <f aca="false">IFERROR(AB19/AA19*100,"N/A")</f>
        <v>2.35456544479402</v>
      </c>
      <c r="AD19" s="29" t="n">
        <v>0</v>
      </c>
      <c r="AE19" s="29" t="n">
        <v>0</v>
      </c>
      <c r="AF19" s="29" t="str">
        <f aca="false">IFERROR(AE19/AD19*100,"N/A")</f>
        <v>N/A</v>
      </c>
      <c r="AG19" s="51" t="str">
        <f aca="false">IF(AND(Q19&gt;0, R19=0), IF(IFERROR(ROUND(AC19,8),0)=0, "Group 9: Only Passed | Without variation (no var CV = 0)", "Group 10: Only Passed | With variation (with var CV &gt; 0)"), IF(AND(Q19=0, R19&gt;0), IF(IFERROR(ROUND(AF19,8),0)=0, "Group 11: Only Failed | Without variation (no var CV = 0)", "Group 12: Only Failed | With variation (with var CV &gt; 0)"), IF(AND(Q19&gt;0, R19&gt;0), IF(ROUND(AA19,5)&lt;&gt;ROUND(AD19,5), IF(AND(IFERROR(ROUND(AC19,8),0)=0, IFERROR(ROUND(AF19,8),0)=0), "Group 1: Flaky | Passed (no variation: CV = 0) AND Failed (no variation: CV = 0) | Different Means", IF(AND(IFERROR(ROUND(AC19,8),0)&gt;0, IFERROR(ROUND(AF19,8),0)&gt;0), "Group 2: Flaky | Passed (with variation: CV &gt; 0) AND Failed (with variation: CV &gt; 0) | Different Means", IF(AND(IFERROR(ROUND(AC19,8),0)=0, IFERROR(ROUND(AF19,8),0)&gt;0), "Group 3: Flaky | Passed (no variation: CV = 0) AND Failed (with variation: CV &gt; 0) | Different Means", "Group 4: Flaky | Passed (with variation: CV &gt; 0) AND Failed (no variation: CV = 0) | Different Means"))), IF(AND(IFERROR(ROUND(AC19,8),0)=0, IFERROR(ROUND(AF19,8),0)=0), "Group 5: Flaky | Passed (no var CV = 0) AND Failed (no var CV = 0) | Equal Means", IF(AND(IFERROR(ROUND(AC19,8),0)&gt;0, IFERROR(ROUND(AF19,8),0)&gt;0), "Group 6: Flaky | Passed (with var CV &gt; 0) AND Failed (with var CV &gt; 0) | Equal Means", IF(AND(IFERROR(ROUND(AC19,8),0)=0, IFERROR(ROUND(AF19,8),0)&gt;0),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9" s="22" t="n">
        <v>100</v>
      </c>
      <c r="AI19" s="17" t="n">
        <v>0</v>
      </c>
      <c r="AJ19" s="31" t="str">
        <f aca="false">IF(AND(AH19&gt;0, AI19&gt;0), "Observed Flaky Test", "Non-observed Flaky Test")</f>
        <v>Non-observed Flaky Test</v>
      </c>
      <c r="AK19" s="32" t="n">
        <v>5639411.46</v>
      </c>
      <c r="AL19" s="34" t="n">
        <v>447.398053846748</v>
      </c>
      <c r="AM19" s="33" t="n">
        <f aca="false">IFERROR(AL19/AK19*100,"N/A")</f>
        <v>0.00793341746776441</v>
      </c>
      <c r="AN19" s="32" t="n">
        <v>0</v>
      </c>
      <c r="AO19" s="32" t="n">
        <v>0</v>
      </c>
      <c r="AP19" s="35" t="str">
        <f aca="false">IFERROR(AO19/AN19*100,"N/A")</f>
        <v>N/A</v>
      </c>
      <c r="AQ19" s="52" t="str">
        <f aca="false">IF(AND(AH19&gt;0, AI19&gt;0),
    IF(ROUND(N(AK19),5)&lt;&gt;ROUND(N(AN19),5),
        IF(AND(ROUND(N(AL19),8)=0, ROUND(N(AO19),8)=0), "Group 1: Flaky | Passed (no variation: SD = 0) AND Failed (no variation: SD = 0) | Different Means",
        IF(AND(ROUND(N(AL19),8)&gt;0, ROUND(N(AO19),8)&gt;0), "Group 2: Flaky | Passed (with variation: SD &gt; 0) AND Failed (with variation: SD &gt; 0) | Different Means",
        IF(AND(ROUND(N(AL19),8)=0, ROUND(N(AO19),8)&gt;0), "Group 3: Flaky | Passed (no variation: SD = 0) AND Failed (with variation: SD &gt; 0) | Different Means",
        "Group 4: Flaky | Passed (with variation: SD &gt; 0) AND Failed (no variation: SD = 0) | Different Means"))),
        IF(AND(ROUND(N(AL19),8)=0, ROUND(N(AO19),8)=0), "Group 5: Flaky | Passed (no var SD = 0) AND Failed (no var SD = 0) | Equal Means",
        IF(AND(ROUND(N(AL19),8)&gt;0, ROUND(N(AO19),8)&gt;0), "Group 6: Flaky | Passed (with var SD &gt; 0 ) AND Failed (with var SD &gt; 0) | Equal Means",
        IF(AND(ROUND(N(AL19),8)=0, ROUND(N(AO19),8)&gt;0), "Group 7: Flaky | Passed (no var SD = 0) AND Failed (with var SD &gt; 0) | Equal Means",
        "Group 8: Flaky | Passed (with var SD &gt; 0 ) AND Failed (no var SD = 0) | Equal Means")))
    ),
    IF(AH19&gt;0,
        IF(N(AL19)&gt;0, "Group 10: Only Passed | With variation (with var SD &gt; 0)", "Group 9: Only Passed | Without variation (no var SD = 0)"),
        IF(AI19&gt;0,
            IF(N(AO19)&gt;0,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9" s="37" t="str">
        <f aca="false">IF(OR(F19="Observed Flaky Test", I19="Observed Flaky Test", S19="Observed Flaky Test", AJ19="Observed Flaky Test"), "Observed Flaky Test", "Non-observed Flaky Test")</f>
        <v>Non-observed Flaky Test</v>
      </c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</row>
    <row r="20" customFormat="false" ht="15.75" hidden="false" customHeight="true" outlineLevel="0" collapsed="false">
      <c r="A20" s="13"/>
      <c r="B20" s="14" t="s">
        <v>62</v>
      </c>
      <c r="C20" s="14" t="s">
        <v>63</v>
      </c>
      <c r="D20" s="15" t="n">
        <v>100</v>
      </c>
      <c r="E20" s="15" t="n">
        <v>0</v>
      </c>
      <c r="F20" s="16" t="str">
        <f aca="false">IF(AND(D20&gt;0, E20&gt;0), "Observed Flaky Test", "Non-observed Flaky Test")</f>
        <v>Non-observed Flaky Test</v>
      </c>
      <c r="G20" s="17" t="n">
        <v>100</v>
      </c>
      <c r="H20" s="17" t="n">
        <v>0</v>
      </c>
      <c r="I20" s="16" t="str">
        <f aca="false">IF(AND(G20&gt;0, H20&gt;0), "Observed Flaky Test", "Non-observed Flaky Test")</f>
        <v>Non-observed Flaky Test</v>
      </c>
      <c r="J20" s="46" t="n">
        <v>8.6106</v>
      </c>
      <c r="K20" s="53" t="n">
        <v>0.003412</v>
      </c>
      <c r="L20" s="19" t="n">
        <f aca="false">IFERROR(K20/J20*100,"N/A")</f>
        <v>0.0396255777762293</v>
      </c>
      <c r="M20" s="18" t="n">
        <v>0</v>
      </c>
      <c r="N20" s="18" t="n">
        <v>0</v>
      </c>
      <c r="O20" s="20" t="str">
        <f aca="false">IFERROR(N20/M20*100,"N/A")</f>
        <v>N/A</v>
      </c>
      <c r="P20" s="48" t="str">
        <f aca="false">IF(AND(G20&gt;0, H20=0), IF(ROUND(K20,8)=0, "Group 9: Only Passed | Without variation (SD Passed = 0)", "Group 10: Only Passed | With variation (SD Passed &gt; 0)"), IF(AND(G20=0, H20&gt;0), IF(ROUND(N20,8)=0, "Group 11: Only Failed | Without variation (SD Failed = 0)", "Group 12: Only Failed | With variation (SD Failed &gt; 0)"), IF(AND(G20&gt;0, H20&gt;0), IF(ROUND(J20,5)&lt;&gt;ROUND(M20,5), IF(AND(ROUND(K20,8)=0, ROUND(N20,8)=0), "Group 1: Flaky | Passed (no variation) AND Failed (no variation) | Different Means", IF(AND(ROUND(K20,8)&gt;0, ROUND(N20,8)&gt;0), "Group 2: Flaky | Passed (with variation) AND Failed (with variation) | Different Means", IF(AND(ROUND(K20,8)=0, ROUND(N20,8)&gt;0), "Group 3: Flaky | Passed (no variation) AND Failed (with variation) | Different Means", "Group 4: Flaky | Passed (with variation) AND Failed (no variation) | Different Means"))), IF(AND(ROUND(K20,8)=0, ROUND(N20,8)=0), "Group 5: Flaky | Passed (no variation) AND Failed (no variation) | Equal Means", IF(AND(ROUND(K20,8)&gt;0, ROUND(N20,8)&gt;0), "Group 6: Flaky | Passed (with variation) AND Failed (with variation) | Equal Means", IF(AND(ROUND(K20,8)=0, ROUND(N20,8)&gt;0),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0" s="22" t="n">
        <v>100</v>
      </c>
      <c r="R20" s="22" t="n">
        <v>0</v>
      </c>
      <c r="S20" s="23" t="str">
        <f aca="false">IF(AND(Q20&gt;0, R20&gt;0), "Observed Flaky Test", "Non-observed Flaky Test")</f>
        <v>Non-observed Flaky Test</v>
      </c>
      <c r="T20" s="22" t="n">
        <v>4338597.63</v>
      </c>
      <c r="U20" s="24" t="n">
        <v>108.705668</v>
      </c>
      <c r="V20" s="25" t="n">
        <f aca="false">IFERROR(U20/T20*100,"N/A")</f>
        <v>0.00250554850369934</v>
      </c>
      <c r="W20" s="22" t="n">
        <v>0</v>
      </c>
      <c r="X20" s="22" t="n">
        <v>0</v>
      </c>
      <c r="Y20" s="27" t="str">
        <f aca="false">IFERROR(X20/W20*100,"N/A")</f>
        <v>N/A</v>
      </c>
      <c r="Z20" s="50" t="str">
        <f aca="false">IF(AND(Q20&gt;0, R20=0), IF(IFERROR(ROUND(V20,8),0)=0, "Group 9: Only Passed | Without variation (no var CV = 0)", "Group 10: Only Passed | With variation (with var CV &gt; 0)"), IF(AND(Q20=0, R20&gt;0), IF(IFERROR(ROUND(Y20,8),0)=0, "Group 11: Only Failed | Without variation (no var CV = 0)", "Group 12: Only Failed | With variation (with var CV &gt; 0)"), IF(AND(Q20&gt;0, R20&gt;0), IF(ROUND(T20,5)&lt;&gt;ROUND(W20,5), IF(AND(IFERROR(ROUND(V20,8),0)=0, IFERROR(ROUND(Y20,8),0)=0), "Group 1: Flaky | Passed (no variation: CV = 0) AND Failed (no variation: CV = 0) | Different Means", IF(AND(IFERROR(ROUND(V20,8),0)&gt;0, IFERROR(ROUND(Y20,8),0)&gt;0), "Group 2: Flaky | Passed (with variation: CV &gt; 0) AND Failed (with variation: CV &gt; 0) | Different Means", IF(AND(IFERROR(ROUND(V20,8),0)=0, IFERROR(ROUND(Y20,8),0)&gt;0), "Group 3: Flaky | Passed (no variation: CV = 0) AND Failed (with variation: CV &gt; 0) | Different Means", "Group 4: Flaky | Passed (with variation: CV &gt; 0) AND Failed (no variation: CV = 0) | Different Means"))), IF(AND(IFERROR(ROUND(V20,8),0)=0, IFERROR(ROUND(Y20,8),0)=0), "Group 5: Flaky | Passed (no var CV = 0) AND Failed (no var CV = 0) | Equal Means", IF(AND(IFERROR(ROUND(V20,8),0)&gt;0, IFERROR(ROUND(Y20,8),0)&gt;0), "Group 6: Flaky | Passed (with var CV &gt; 0) AND Failed (with var CV &gt; 0) | Equal Means", IF(AND(IFERROR(ROUND(V20,8),0)=0, IFERROR(ROUND(Y20,8),0)&gt;0),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0" s="29" t="n">
        <v>2.430544</v>
      </c>
      <c r="AB20" s="29" t="n">
        <v>0.050218</v>
      </c>
      <c r="AC20" s="29" t="n">
        <f aca="false">IFERROR(AB20/AA20*100,"N/A")</f>
        <v>2.06612182293347</v>
      </c>
      <c r="AD20" s="29" t="n">
        <v>0</v>
      </c>
      <c r="AE20" s="29" t="n">
        <v>0</v>
      </c>
      <c r="AF20" s="29" t="str">
        <f aca="false">IFERROR(AE20/AD20*100,"N/A")</f>
        <v>N/A</v>
      </c>
      <c r="AG20" s="51" t="str">
        <f aca="false">IF(AND(Q20&gt;0, R20=0), IF(IFERROR(ROUND(AC20,8),0)=0, "Group 9: Only Passed | Without variation (no var CV = 0)", "Group 10: Only Passed | With variation (with var CV &gt; 0)"), IF(AND(Q20=0, R20&gt;0), IF(IFERROR(ROUND(AF20,8),0)=0, "Group 11: Only Failed | Without variation (no var CV = 0)", "Group 12: Only Failed | With variation (with var CV &gt; 0)"), IF(AND(Q20&gt;0, R20&gt;0), IF(ROUND(AA20,5)&lt;&gt;ROUND(AD20,5), IF(AND(IFERROR(ROUND(AC20,8),0)=0, IFERROR(ROUND(AF20,8),0)=0), "Group 1: Flaky | Passed (no variation: CV = 0) AND Failed (no variation: CV = 0) | Different Means", IF(AND(IFERROR(ROUND(AC20,8),0)&gt;0, IFERROR(ROUND(AF20,8),0)&gt;0), "Group 2: Flaky | Passed (with variation: CV &gt; 0) AND Failed (with variation: CV &gt; 0) | Different Means", IF(AND(IFERROR(ROUND(AC20,8),0)=0, IFERROR(ROUND(AF20,8),0)&gt;0), "Group 3: Flaky | Passed (no variation: CV = 0) AND Failed (with variation: CV &gt; 0) | Different Means", "Group 4: Flaky | Passed (with variation: CV &gt; 0) AND Failed (no variation: CV = 0) | Different Means"))), IF(AND(IFERROR(ROUND(AC20,8),0)=0, IFERROR(ROUND(AF20,8),0)=0), "Group 5: Flaky | Passed (no var CV = 0) AND Failed (no var CV = 0) | Equal Means", IF(AND(IFERROR(ROUND(AC20,8),0)&gt;0, IFERROR(ROUND(AF20,8),0)&gt;0), "Group 6: Flaky | Passed (with var CV &gt; 0) AND Failed (with var CV &gt; 0) | Equal Means", IF(AND(IFERROR(ROUND(AC20,8),0)=0, IFERROR(ROUND(AF20,8),0)&gt;0),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0" s="22" t="n">
        <v>100</v>
      </c>
      <c r="AI20" s="17" t="n">
        <v>0</v>
      </c>
      <c r="AJ20" s="31" t="str">
        <f aca="false">IF(AND(AH20&gt;0, AI20&gt;0), "Observed Flaky Test", "Non-observed Flaky Test")</f>
        <v>Non-observed Flaky Test</v>
      </c>
      <c r="AK20" s="32" t="n">
        <v>4169183.9</v>
      </c>
      <c r="AL20" s="34" t="n">
        <v>121.352937144246</v>
      </c>
      <c r="AM20" s="33" t="n">
        <f aca="false">IFERROR(AL20/AK20*100,"N/A")</f>
        <v>0.00291071202554164</v>
      </c>
      <c r="AN20" s="32" t="n">
        <v>0</v>
      </c>
      <c r="AO20" s="32" t="n">
        <v>0</v>
      </c>
      <c r="AP20" s="35" t="str">
        <f aca="false">IFERROR(AO20/AN20*100,"N/A")</f>
        <v>N/A</v>
      </c>
      <c r="AQ20" s="52" t="str">
        <f aca="false">IF(AND(AH20&gt;0, AI20&gt;0),
    IF(ROUND(N(AK20),5)&lt;&gt;ROUND(N(AN20),5),
        IF(AND(ROUND(N(AL20),8)=0, ROUND(N(AO20),8)=0), "Group 1: Flaky | Passed (no variation: SD = 0) AND Failed (no variation: SD = 0) | Different Means",
        IF(AND(ROUND(N(AL20),8)&gt;0, ROUND(N(AO20),8)&gt;0), "Group 2: Flaky | Passed (with variation: SD &gt; 0) AND Failed (with variation: SD &gt; 0) | Different Means",
        IF(AND(ROUND(N(AL20),8)=0, ROUND(N(AO20),8)&gt;0), "Group 3: Flaky | Passed (no variation: SD = 0) AND Failed (with variation: SD &gt; 0) | Different Means",
        "Group 4: Flaky | Passed (with variation: SD &gt; 0) AND Failed (no variation: SD = 0) | Different Means"))),
        IF(AND(ROUND(N(AL20),8)=0, ROUND(N(AO20),8)=0), "Group 5: Flaky | Passed (no var SD = 0) AND Failed (no var SD = 0) | Equal Means",
        IF(AND(ROUND(N(AL20),8)&gt;0, ROUND(N(AO20),8)&gt;0), "Group 6: Flaky | Passed (with var SD &gt; 0 ) AND Failed (with var SD &gt; 0) | Equal Means",
        IF(AND(ROUND(N(AL20),8)=0, ROUND(N(AO20),8)&gt;0), "Group 7: Flaky | Passed (no var SD = 0) AND Failed (with var SD &gt; 0) | Equal Means",
        "Group 8: Flaky | Passed (with var SD &gt; 0 ) AND Failed (no var SD = 0) | Equal Means")))
    ),
    IF(AH20&gt;0,
        IF(N(AL20)&gt;0, "Group 10: Only Passed | With variation (with var SD &gt; 0)", "Group 9: Only Passed | Without variation (no var SD = 0)"),
        IF(AI20&gt;0,
            IF(N(AO20)&gt;0,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0" s="37" t="str">
        <f aca="false">IF(OR(F20="Observed Flaky Test", I20="Observed Flaky Test", S20="Observed Flaky Test", AJ20="Observed Flaky Test"), "Observed Flaky Test", "Non-observed Flaky Test")</f>
        <v>Non-observed Flaky Test</v>
      </c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 customFormat="false" ht="15.75" hidden="false" customHeight="true" outlineLevel="0" collapsed="false">
      <c r="A21" s="13"/>
      <c r="B21" s="14" t="s">
        <v>64</v>
      </c>
      <c r="C21" s="14" t="s">
        <v>65</v>
      </c>
      <c r="D21" s="15" t="n">
        <v>100</v>
      </c>
      <c r="E21" s="15" t="n">
        <v>0</v>
      </c>
      <c r="F21" s="16" t="str">
        <f aca="false">IF(AND(D21&gt;0, E21&gt;0), "Observed Flaky Test", "Non-observed Flaky Test")</f>
        <v>Non-observed Flaky Test</v>
      </c>
      <c r="G21" s="17" t="n">
        <v>100</v>
      </c>
      <c r="H21" s="17" t="n">
        <v>0</v>
      </c>
      <c r="I21" s="16" t="str">
        <f aca="false">IF(AND(G21&gt;0, H21&gt;0), "Observed Flaky Test", "Non-observed Flaky Test")</f>
        <v>Non-observed Flaky Test</v>
      </c>
      <c r="J21" s="46" t="n">
        <v>8.6301</v>
      </c>
      <c r="K21" s="53" t="n">
        <v>0.000995</v>
      </c>
      <c r="L21" s="19" t="n">
        <f aca="false">IFERROR(K21/J21*100,"N/A")</f>
        <v>0.0115294144911415</v>
      </c>
      <c r="M21" s="18" t="n">
        <v>0</v>
      </c>
      <c r="N21" s="18" t="n">
        <v>0</v>
      </c>
      <c r="O21" s="20" t="str">
        <f aca="false">IFERROR(N21/M21*100,"N/A")</f>
        <v>N/A</v>
      </c>
      <c r="P21" s="48" t="str">
        <f aca="false">IF(AND(G21&gt;0, H21=0), IF(ROUND(K21,8)=0, "Group 9: Only Passed | Without variation (SD Passed = 0)", "Group 10: Only Passed | With variation (SD Passed &gt; 0)"), IF(AND(G21=0, H21&gt;0), IF(ROUND(N21,8)=0, "Group 11: Only Failed | Without variation (SD Failed = 0)", "Group 12: Only Failed | With variation (SD Failed &gt; 0)"), IF(AND(G21&gt;0, H21&gt;0), IF(ROUND(J21,5)&lt;&gt;ROUND(M21,5), IF(AND(ROUND(K21,8)=0, ROUND(N21,8)=0), "Group 1: Flaky | Passed (no variation) AND Failed (no variation) | Different Means", IF(AND(ROUND(K21,8)&gt;0, ROUND(N21,8)&gt;0), "Group 2: Flaky | Passed (with variation) AND Failed (with variation) | Different Means", IF(AND(ROUND(K21,8)=0, ROUND(N21,8)&gt;0), "Group 3: Flaky | Passed (no variation) AND Failed (with variation) | Different Means", "Group 4: Flaky | Passed (with variation) AND Failed (no variation) | Different Means"))), IF(AND(ROUND(K21,8)=0, ROUND(N21,8)=0), "Group 5: Flaky | Passed (no variation) AND Failed (no variation) | Equal Means", IF(AND(ROUND(K21,8)&gt;0, ROUND(N21,8)&gt;0), "Group 6: Flaky | Passed (with variation) AND Failed (with variation) | Equal Means", IF(AND(ROUND(K21,8)=0, ROUND(N21,8)&gt;0),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1" s="22" t="n">
        <v>100</v>
      </c>
      <c r="R21" s="22" t="n">
        <v>0</v>
      </c>
      <c r="S21" s="23" t="str">
        <f aca="false">IF(AND(Q21&gt;0, R21&gt;0), "Observed Flaky Test", "Non-observed Flaky Test")</f>
        <v>Non-observed Flaky Test</v>
      </c>
      <c r="T21" s="22" t="n">
        <v>4298329.53</v>
      </c>
      <c r="U21" s="24" t="n">
        <v>123.024877</v>
      </c>
      <c r="V21" s="25" t="n">
        <f aca="false">IFERROR(U21/T21*100,"N/A")</f>
        <v>0.00286215554534275</v>
      </c>
      <c r="W21" s="22" t="n">
        <v>0</v>
      </c>
      <c r="X21" s="22" t="n">
        <v>0</v>
      </c>
      <c r="Y21" s="27" t="str">
        <f aca="false">IFERROR(X21/W21*100,"N/A")</f>
        <v>N/A</v>
      </c>
      <c r="Z21" s="50" t="str">
        <f aca="false">IF(AND(Q21&gt;0, R21=0), IF(IFERROR(ROUND(V21,8),0)=0, "Group 9: Only Passed | Without variation (no var CV = 0)", "Group 10: Only Passed | With variation (with var CV &gt; 0)"), IF(AND(Q21=0, R21&gt;0), IF(IFERROR(ROUND(Y21,8),0)=0, "Group 11: Only Failed | Without variation (no var CV = 0)", "Group 12: Only Failed | With variation (with var CV &gt; 0)"), IF(AND(Q21&gt;0, R21&gt;0), IF(ROUND(T21,5)&lt;&gt;ROUND(W21,5), IF(AND(IFERROR(ROUND(V21,8),0)=0, IFERROR(ROUND(Y21,8),0)=0), "Group 1: Flaky | Passed (no variation: CV = 0) AND Failed (no variation: CV = 0) | Different Means", IF(AND(IFERROR(ROUND(V21,8),0)&gt;0, IFERROR(ROUND(Y21,8),0)&gt;0), "Group 2: Flaky | Passed (with variation: CV &gt; 0) AND Failed (with variation: CV &gt; 0) | Different Means", IF(AND(IFERROR(ROUND(V21,8),0)=0, IFERROR(ROUND(Y21,8),0)&gt;0), "Group 3: Flaky | Passed (no variation: CV = 0) AND Failed (with variation: CV &gt; 0) | Different Means", "Group 4: Flaky | Passed (with variation: CV &gt; 0) AND Failed (no variation: CV = 0) | Different Means"))), IF(AND(IFERROR(ROUND(V21,8),0)=0, IFERROR(ROUND(Y21,8),0)=0), "Group 5: Flaky | Passed (no var CV = 0) AND Failed (no var CV = 0) | Equal Means", IF(AND(IFERROR(ROUND(V21,8),0)&gt;0, IFERROR(ROUND(Y21,8),0)&gt;0), "Group 6: Flaky | Passed (with var CV &gt; 0) AND Failed (with var CV &gt; 0) | Equal Means", IF(AND(IFERROR(ROUND(V21,8),0)=0, IFERROR(ROUND(Y21,8),0)&gt;0),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1" s="29" t="n">
        <v>2.429073</v>
      </c>
      <c r="AB21" s="29" t="n">
        <v>0.055441</v>
      </c>
      <c r="AC21" s="29" t="n">
        <f aca="false">IFERROR(AB21/AA21*100,"N/A")</f>
        <v>2.28239332453162</v>
      </c>
      <c r="AD21" s="29" t="n">
        <v>0</v>
      </c>
      <c r="AE21" s="29" t="n">
        <v>0</v>
      </c>
      <c r="AF21" s="29" t="str">
        <f aca="false">IFERROR(AE21/AD21*100,"N/A")</f>
        <v>N/A</v>
      </c>
      <c r="AG21" s="51" t="str">
        <f aca="false">IF(AND(Q21&gt;0, R21=0), IF(IFERROR(ROUND(AC21,8),0)=0, "Group 9: Only Passed | Without variation (no var CV = 0)", "Group 10: Only Passed | With variation (with var CV &gt; 0)"), IF(AND(Q21=0, R21&gt;0), IF(IFERROR(ROUND(AF21,8),0)=0, "Group 11: Only Failed | Without variation (no var CV = 0)", "Group 12: Only Failed | With variation (with var CV &gt; 0)"), IF(AND(Q21&gt;0, R21&gt;0), IF(ROUND(AA21,5)&lt;&gt;ROUND(AD21,5), IF(AND(IFERROR(ROUND(AC21,8),0)=0, IFERROR(ROUND(AF21,8),0)=0), "Group 1: Flaky | Passed (no variation: CV = 0) AND Failed (no variation: CV = 0) | Different Means", IF(AND(IFERROR(ROUND(AC21,8),0)&gt;0, IFERROR(ROUND(AF21,8),0)&gt;0), "Group 2: Flaky | Passed (with variation: CV &gt; 0) AND Failed (with variation: CV &gt; 0) | Different Means", IF(AND(IFERROR(ROUND(AC21,8),0)=0, IFERROR(ROUND(AF21,8),0)&gt;0), "Group 3: Flaky | Passed (no variation: CV = 0) AND Failed (with variation: CV &gt; 0) | Different Means", "Group 4: Flaky | Passed (with variation: CV &gt; 0) AND Failed (no variation: CV = 0) | Different Means"))), IF(AND(IFERROR(ROUND(AC21,8),0)=0, IFERROR(ROUND(AF21,8),0)=0), "Group 5: Flaky | Passed (no var CV = 0) AND Failed (no var CV = 0) | Equal Means", IF(AND(IFERROR(ROUND(AC21,8),0)&gt;0, IFERROR(ROUND(AF21,8),0)&gt;0), "Group 6: Flaky | Passed (with var CV &gt; 0) AND Failed (with var CV &gt; 0) | Equal Means", IF(AND(IFERROR(ROUND(AC21,8),0)=0, IFERROR(ROUND(AF21,8),0)&gt;0),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1" s="22" t="n">
        <v>99</v>
      </c>
      <c r="AI21" s="17" t="n">
        <v>1</v>
      </c>
      <c r="AJ21" s="39" t="str">
        <f aca="false">IF(AND(AH21&gt;0, AI21&gt;0), "Observed Flaky Test", "Non-observed Flaky Test")</f>
        <v>Observed Flaky Test</v>
      </c>
      <c r="AK21" s="59" t="n">
        <v>2803391.75757575</v>
      </c>
      <c r="AL21" s="40" t="n">
        <v>69.2889676569152</v>
      </c>
      <c r="AM21" s="33" t="n">
        <f aca="false">IFERROR(AL21/AK21*100,"N/A")</f>
        <v>0.00247161202032046</v>
      </c>
      <c r="AN21" s="32" t="n">
        <v>2801500</v>
      </c>
      <c r="AO21" s="32" t="n">
        <v>0</v>
      </c>
      <c r="AP21" s="35" t="n">
        <f aca="false">IFERROR(AO21/AN21*100,"N/A")</f>
        <v>0</v>
      </c>
      <c r="AQ21" s="60" t="str">
        <f aca="false">IF(AND(AH21&gt;0, AI21&gt;0),
    IF(ROUND(N(AK21),5)&lt;&gt;ROUND(N(AN21),5),
        IF(AND(ROUND(N(AL21),8)=0, ROUND(N(AO21),8)=0), "Group 1: Flaky | Passed (no variation: SD = 0) AND Failed (no variation: SD = 0) | Different Means",
        IF(AND(ROUND(N(AL21),8)&gt;0, ROUND(N(AO21),8)&gt;0), "Group 2: Flaky | Passed (with variation: SD &gt; 0) AND Failed (with variation: SD &gt; 0) | Different Means",
        IF(AND(ROUND(N(AL21),8)=0, ROUND(N(AO21),8)&gt;0), "Group 3: Flaky | Passed (no variation: SD = 0) AND Failed (with variation: SD &gt; 0) | Different Means",
        "Group 4: Flaky | Passed (with variation: SD &gt; 0) AND Failed (no variation: SD = 0) | Different Means"))),
        IF(AND(ROUND(N(AL21),8)=0, ROUND(N(AO21),8)=0), "Group 5: Flaky | Passed (no var SD = 0) AND Failed (no var SD = 0) | Equal Means",
        IF(AND(ROUND(N(AL21),8)&gt;0, ROUND(N(AO21),8)&gt;0), "Group 6: Flaky | Passed (with var SD &gt; 0 ) AND Failed (with var SD &gt; 0) | Equal Means",
        IF(AND(ROUND(N(AL21),8)=0, ROUND(N(AO21),8)&gt;0), "Group 7: Flaky | Passed (no var SD = 0) AND Failed (with var SD &gt; 0) | Equal Means",
        "Group 8: Flaky | Passed (with var SD &gt; 0 ) AND Failed (no var SD = 0) | Equal Means")))
    ),
    IF(AH21&gt;0,
        IF(N(AL21)&gt;0, "Group 10: Only Passed | With variation (with var SD &gt; 0)", "Group 9: Only Passed | Without variation (no var SD = 0)"),
        IF(AI21&gt;0,
            IF(N(AO21)&gt;0,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21" s="42" t="str">
        <f aca="false">IF(OR(F21="Observed Flaky Test", I21="Observed Flaky Test", S21="Observed Flaky Test", AJ21="Observed Flaky Test"), "Observed Flaky Test", "Non-observed Flaky Test")</f>
        <v>Observed Flaky Test</v>
      </c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customFormat="false" ht="15.75" hidden="false" customHeight="true" outlineLevel="0" collapsed="false">
      <c r="A22" s="13"/>
      <c r="B22" s="14" t="s">
        <v>66</v>
      </c>
      <c r="C22" s="14" t="s">
        <v>67</v>
      </c>
      <c r="D22" s="15" t="n">
        <v>100</v>
      </c>
      <c r="E22" s="15" t="n">
        <v>0</v>
      </c>
      <c r="F22" s="16" t="str">
        <f aca="false">IF(AND(D22&gt;0, E22&gt;0), "Observed Flaky Test", "Non-observed Flaky Test")</f>
        <v>Non-observed Flaky Test</v>
      </c>
      <c r="G22" s="17" t="n">
        <v>100</v>
      </c>
      <c r="H22" s="17" t="n">
        <v>0</v>
      </c>
      <c r="I22" s="16" t="str">
        <f aca="false">IF(AND(G22&gt;0, H22&gt;0), "Observed Flaky Test", "Non-observed Flaky Test")</f>
        <v>Non-observed Flaky Test</v>
      </c>
      <c r="J22" s="46" t="n">
        <v>8.6287</v>
      </c>
      <c r="K22" s="53" t="n">
        <v>0.003363</v>
      </c>
      <c r="L22" s="19" t="n">
        <f aca="false">IFERROR(K22/J22*100,"N/A")</f>
        <v>0.0389745848157892</v>
      </c>
      <c r="M22" s="18" t="n">
        <v>0</v>
      </c>
      <c r="N22" s="18" t="n">
        <v>0</v>
      </c>
      <c r="O22" s="20" t="str">
        <f aca="false">IFERROR(N22/M22*100,"N/A")</f>
        <v>N/A</v>
      </c>
      <c r="P22" s="48" t="str">
        <f aca="false">IF(AND(G22&gt;0, H22=0), IF(ROUND(K22,8)=0, "Group 9: Only Passed | Without variation (SD Passed = 0)", "Group 10: Only Passed | With variation (SD Passed &gt; 0)"), IF(AND(G22=0, H22&gt;0), IF(ROUND(N22,8)=0, "Group 11: Only Failed | Without variation (SD Failed = 0)", "Group 12: Only Failed | With variation (SD Failed &gt; 0)"), IF(AND(G22&gt;0, H22&gt;0), IF(ROUND(J22,5)&lt;&gt;ROUND(M22,5), IF(AND(ROUND(K22,8)=0, ROUND(N22,8)=0), "Group 1: Flaky | Passed (no variation) AND Failed (no variation) | Different Means", IF(AND(ROUND(K22,8)&gt;0, ROUND(N22,8)&gt;0), "Group 2: Flaky | Passed (with variation) AND Failed (with variation) | Different Means", IF(AND(ROUND(K22,8)=0, ROUND(N22,8)&gt;0), "Group 3: Flaky | Passed (no variation) AND Failed (with variation) | Different Means", "Group 4: Flaky | Passed (with variation) AND Failed (no variation) | Different Means"))), IF(AND(ROUND(K22,8)=0, ROUND(N22,8)=0), "Group 5: Flaky | Passed (no variation) AND Failed (no variation) | Equal Means", IF(AND(ROUND(K22,8)&gt;0, ROUND(N22,8)&gt;0), "Group 6: Flaky | Passed (with variation) AND Failed (with variation) | Equal Means", IF(AND(ROUND(K22,8)=0, ROUND(N22,8)&gt;0),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2" s="22" t="n">
        <v>100</v>
      </c>
      <c r="R22" s="22" t="n">
        <v>0</v>
      </c>
      <c r="S22" s="23" t="str">
        <f aca="false">IF(AND(Q22&gt;0, R22&gt;0), "Observed Flaky Test", "Non-observed Flaky Test")</f>
        <v>Non-observed Flaky Test</v>
      </c>
      <c r="T22" s="22" t="n">
        <v>4296275.04</v>
      </c>
      <c r="U22" s="24" t="n">
        <v>118.144999</v>
      </c>
      <c r="V22" s="25" t="n">
        <f aca="false">IFERROR(U22/T22*100,"N/A")</f>
        <v>0.0027499403064288</v>
      </c>
      <c r="W22" s="22" t="n">
        <v>0</v>
      </c>
      <c r="X22" s="22" t="n">
        <v>0</v>
      </c>
      <c r="Y22" s="27" t="str">
        <f aca="false">IFERROR(X22/W22*100,"N/A")</f>
        <v>N/A</v>
      </c>
      <c r="Z22" s="50" t="str">
        <f aca="false">IF(AND(Q22&gt;0, R22=0), IF(IFERROR(ROUND(V22,8),0)=0, "Group 9: Only Passed | Without variation (no var CV = 0)", "Group 10: Only Passed | With variation (with var CV &gt; 0)"), IF(AND(Q22=0, R22&gt;0), IF(IFERROR(ROUND(Y22,8),0)=0, "Group 11: Only Failed | Without variation (no var CV = 0)", "Group 12: Only Failed | With variation (with var CV &gt; 0)"), IF(AND(Q22&gt;0, R22&gt;0), IF(ROUND(T22,5)&lt;&gt;ROUND(W22,5), IF(AND(IFERROR(ROUND(V22,8),0)=0, IFERROR(ROUND(Y22,8),0)=0), "Group 1: Flaky | Passed (no variation: CV = 0) AND Failed (no variation: CV = 0) | Different Means", IF(AND(IFERROR(ROUND(V22,8),0)&gt;0, IFERROR(ROUND(Y22,8),0)&gt;0), "Group 2: Flaky | Passed (with variation: CV &gt; 0) AND Failed (with variation: CV &gt; 0) | Different Means", IF(AND(IFERROR(ROUND(V22,8),0)=0, IFERROR(ROUND(Y22,8),0)&gt;0), "Group 3: Flaky | Passed (no variation: CV = 0) AND Failed (with variation: CV &gt; 0) | Different Means", "Group 4: Flaky | Passed (with variation: CV &gt; 0) AND Failed (no variation: CV = 0) | Different Means"))), IF(AND(IFERROR(ROUND(V22,8),0)=0, IFERROR(ROUND(Y22,8),0)=0), "Group 5: Flaky | Passed (no var CV = 0) AND Failed (no var CV = 0) | Equal Means", IF(AND(IFERROR(ROUND(V22,8),0)&gt;0, IFERROR(ROUND(Y22,8),0)&gt;0), "Group 6: Flaky | Passed (with var CV &gt; 0) AND Failed (with var CV &gt; 0) | Equal Means", IF(AND(IFERROR(ROUND(V22,8),0)=0, IFERROR(ROUND(Y22,8),0)&gt;0),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2" s="29" t="n">
        <v>2.439848</v>
      </c>
      <c r="AB22" s="29" t="n">
        <v>0.058275</v>
      </c>
      <c r="AC22" s="29" t="n">
        <f aca="false">IFERROR(AB22/AA22*100,"N/A")</f>
        <v>2.38846846196976</v>
      </c>
      <c r="AD22" s="29" t="n">
        <v>0</v>
      </c>
      <c r="AE22" s="29" t="n">
        <v>0</v>
      </c>
      <c r="AF22" s="29" t="str">
        <f aca="false">IFERROR(AE22/AD22*100,"N/A")</f>
        <v>N/A</v>
      </c>
      <c r="AG22" s="51" t="str">
        <f aca="false">IF(AND(Q22&gt;0, R22=0), IF(IFERROR(ROUND(AC22,8),0)=0, "Group 9: Only Passed | Without variation (no var CV = 0)", "Group 10: Only Passed | With variation (with var CV &gt; 0)"), IF(AND(Q22=0, R22&gt;0), IF(IFERROR(ROUND(AF22,8),0)=0, "Group 11: Only Failed | Without variation (no var CV = 0)", "Group 12: Only Failed | With variation (with var CV &gt; 0)"), IF(AND(Q22&gt;0, R22&gt;0), IF(ROUND(AA22,5)&lt;&gt;ROUND(AD22,5), IF(AND(IFERROR(ROUND(AC22,8),0)=0, IFERROR(ROUND(AF22,8),0)=0), "Group 1: Flaky | Passed (no variation: CV = 0) AND Failed (no variation: CV = 0) | Different Means", IF(AND(IFERROR(ROUND(AC22,8),0)&gt;0, IFERROR(ROUND(AF22,8),0)&gt;0), "Group 2: Flaky | Passed (with variation: CV &gt; 0) AND Failed (with variation: CV &gt; 0) | Different Means", IF(AND(IFERROR(ROUND(AC22,8),0)=0, IFERROR(ROUND(AF22,8),0)&gt;0), "Group 3: Flaky | Passed (no variation: CV = 0) AND Failed (with variation: CV &gt; 0) | Different Means", "Group 4: Flaky | Passed (with variation: CV &gt; 0) AND Failed (no variation: CV = 0) | Different Means"))), IF(AND(IFERROR(ROUND(AC22,8),0)=0, IFERROR(ROUND(AF22,8),0)=0), "Group 5: Flaky | Passed (no var CV = 0) AND Failed (no var CV = 0) | Equal Means", IF(AND(IFERROR(ROUND(AC22,8),0)&gt;0, IFERROR(ROUND(AF22,8),0)&gt;0), "Group 6: Flaky | Passed (with var CV &gt; 0) AND Failed (with var CV &gt; 0) | Equal Means", IF(AND(IFERROR(ROUND(AC22,8),0)=0, IFERROR(ROUND(AF22,8),0)&gt;0),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2" s="22" t="n">
        <v>99</v>
      </c>
      <c r="AI22" s="17" t="n">
        <v>1</v>
      </c>
      <c r="AJ22" s="39" t="str">
        <f aca="false">IF(AND(AH22&gt;0, AI22&gt;0), "Observed Flaky Test", "Non-observed Flaky Test")</f>
        <v>Observed Flaky Test</v>
      </c>
      <c r="AK22" s="59" t="n">
        <v>2804684.23232323</v>
      </c>
      <c r="AL22" s="33" t="n">
        <v>22914.5261462396</v>
      </c>
      <c r="AM22" s="33" t="n">
        <f aca="false">IFERROR(AL22/AK22*100,"N/A")</f>
        <v>0.81700912645195</v>
      </c>
      <c r="AN22" s="32" t="n">
        <v>2801490</v>
      </c>
      <c r="AO22" s="32" t="n">
        <v>0</v>
      </c>
      <c r="AP22" s="35" t="n">
        <f aca="false">IFERROR(AO22/AN22*100,"N/A")</f>
        <v>0</v>
      </c>
      <c r="AQ22" s="60" t="str">
        <f aca="false">IF(AND(AH22&gt;0, AI22&gt;0),
    IF(ROUND(N(AK22),5)&lt;&gt;ROUND(N(AN22),5),
        IF(AND(ROUND(N(AL22),8)=0, ROUND(N(AO22),8)=0), "Group 1: Flaky | Passed (no variation: SD = 0) AND Failed (no variation: SD = 0) | Different Means",
        IF(AND(ROUND(N(AL22),8)&gt;0, ROUND(N(AO22),8)&gt;0), "Group 2: Flaky | Passed (with variation: SD &gt; 0) AND Failed (with variation: SD &gt; 0) | Different Means",
        IF(AND(ROUND(N(AL22),8)=0, ROUND(N(AO22),8)&gt;0), "Group 3: Flaky | Passed (no variation: SD = 0) AND Failed (with variation: SD &gt; 0) | Different Means",
        "Group 4: Flaky | Passed (with variation: SD &gt; 0) AND Failed (no variation: SD = 0) | Different Means"))),
        IF(AND(ROUND(N(AL22),8)=0, ROUND(N(AO22),8)=0), "Group 5: Flaky | Passed (no var SD = 0) AND Failed (no var SD = 0) | Equal Means",
        IF(AND(ROUND(N(AL22),8)&gt;0, ROUND(N(AO22),8)&gt;0), "Group 6: Flaky | Passed (with var SD &gt; 0 ) AND Failed (with var SD &gt; 0) | Equal Means",
        IF(AND(ROUND(N(AL22),8)=0, ROUND(N(AO22),8)&gt;0), "Group 7: Flaky | Passed (no var SD = 0) AND Failed (with var SD &gt; 0) | Equal Means",
        "Group 8: Flaky | Passed (with var SD &gt; 0 ) AND Failed (no var SD = 0) | Equal Means")))
    ),
    IF(AH22&gt;0,
        IF(N(AL22)&gt;0, "Group 10: Only Passed | With variation (with var SD &gt; 0)", "Group 9: Only Passed | Without variation (no var SD = 0)"),
        IF(AI22&gt;0,
            IF(N(AO22)&gt;0,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22" s="42" t="str">
        <f aca="false">IF(OR(F22="Observed Flaky Test", I22="Observed Flaky Test", S22="Observed Flaky Test", AJ22="Observed Flaky Test"), "Observed Flaky Test", "Non-observed Flaky Test")</f>
        <v>Observed Flaky Test</v>
      </c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 customFormat="false" ht="15.75" hidden="false" customHeight="true" outlineLevel="0" collapsed="false">
      <c r="A23" s="13"/>
      <c r="B23" s="14" t="s">
        <v>68</v>
      </c>
      <c r="C23" s="14" t="s">
        <v>69</v>
      </c>
      <c r="D23" s="15" t="n">
        <v>100</v>
      </c>
      <c r="E23" s="15" t="n">
        <v>0</v>
      </c>
      <c r="F23" s="16" t="str">
        <f aca="false">IF(AND(D23&gt;0, E23&gt;0), "Observed Flaky Test", "Non-observed Flaky Test")</f>
        <v>Non-observed Flaky Test</v>
      </c>
      <c r="G23" s="17" t="n">
        <v>100</v>
      </c>
      <c r="H23" s="17" t="n">
        <v>0</v>
      </c>
      <c r="I23" s="16" t="str">
        <f aca="false">IF(AND(G23&gt;0, H23&gt;0), "Observed Flaky Test", "Non-observed Flaky Test")</f>
        <v>Non-observed Flaky Test</v>
      </c>
      <c r="J23" s="46" t="n">
        <v>8.7174</v>
      </c>
      <c r="K23" s="53" t="n">
        <v>0.006726</v>
      </c>
      <c r="L23" s="19" t="n">
        <f aca="false">IFERROR(K23/J23*100,"N/A")</f>
        <v>0.0771560327620621</v>
      </c>
      <c r="M23" s="18" t="n">
        <v>0</v>
      </c>
      <c r="N23" s="18" t="n">
        <v>0</v>
      </c>
      <c r="O23" s="20" t="str">
        <f aca="false">IFERROR(N23/M23*100,"N/A")</f>
        <v>N/A</v>
      </c>
      <c r="P23" s="48" t="str">
        <f aca="false">IF(AND(G23&gt;0, H23=0), IF(ROUND(K23,8)=0, "Group 9: Only Passed | Without variation (SD Passed = 0)", "Group 10: Only Passed | With variation (SD Passed &gt; 0)"), IF(AND(G23=0, H23&gt;0), IF(ROUND(N23,8)=0, "Group 11: Only Failed | Without variation (SD Failed = 0)", "Group 12: Only Failed | With variation (SD Failed &gt; 0)"), IF(AND(G23&gt;0, H23&gt;0), IF(ROUND(J23,5)&lt;&gt;ROUND(M23,5), IF(AND(ROUND(K23,8)=0, ROUND(N23,8)=0), "Group 1: Flaky | Passed (no variation) AND Failed (no variation) | Different Means", IF(AND(ROUND(K23,8)&gt;0, ROUND(N23,8)&gt;0), "Group 2: Flaky | Passed (with variation) AND Failed (with variation) | Different Means", IF(AND(ROUND(K23,8)=0, ROUND(N23,8)&gt;0), "Group 3: Flaky | Passed (no variation) AND Failed (with variation) | Different Means", "Group 4: Flaky | Passed (with variation) AND Failed (no variation) | Different Means"))), IF(AND(ROUND(K23,8)=0, ROUND(N23,8)=0), "Group 5: Flaky | Passed (no variation) AND Failed (no variation) | Equal Means", IF(AND(ROUND(K23,8)&gt;0, ROUND(N23,8)&gt;0), "Group 6: Flaky | Passed (with variation) AND Failed (with variation) | Equal Means", IF(AND(ROUND(K23,8)=0, ROUND(N23,8)&gt;0),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3" s="22" t="n">
        <v>100</v>
      </c>
      <c r="R23" s="22" t="n">
        <v>0</v>
      </c>
      <c r="S23" s="23" t="str">
        <f aca="false">IF(AND(Q23&gt;0, R23&gt;0), "Observed Flaky Test", "Non-observed Flaky Test")</f>
        <v>Non-observed Flaky Test</v>
      </c>
      <c r="T23" s="22" t="n">
        <v>4438578.39</v>
      </c>
      <c r="U23" s="24" t="n">
        <v>125.662921</v>
      </c>
      <c r="V23" s="25" t="n">
        <f aca="false">IFERROR(U23/T23*100,"N/A")</f>
        <v>0.0028311524537477</v>
      </c>
      <c r="W23" s="22" t="n">
        <v>0</v>
      </c>
      <c r="X23" s="22" t="n">
        <v>0</v>
      </c>
      <c r="Y23" s="27" t="str">
        <f aca="false">IFERROR(X23/W23*100,"N/A")</f>
        <v>N/A</v>
      </c>
      <c r="Z23" s="50" t="str">
        <f aca="false">IF(AND(Q23&gt;0, R23=0), IF(IFERROR(ROUND(V23,8),0)=0, "Group 9: Only Passed | Without variation (no var CV = 0)", "Group 10: Only Passed | With variation (with var CV &gt; 0)"), IF(AND(Q23=0, R23&gt;0), IF(IFERROR(ROUND(Y23,8),0)=0, "Group 11: Only Failed | Without variation (no var CV = 0)", "Group 12: Only Failed | With variation (with var CV &gt; 0)"), IF(AND(Q23&gt;0, R23&gt;0), IF(ROUND(T23,5)&lt;&gt;ROUND(W23,5), IF(AND(IFERROR(ROUND(V23,8),0)=0, IFERROR(ROUND(Y23,8),0)=0), "Group 1: Flaky | Passed (no variation: CV = 0) AND Failed (no variation: CV = 0) | Different Means", IF(AND(IFERROR(ROUND(V23,8),0)&gt;0, IFERROR(ROUND(Y23,8),0)&gt;0), "Group 2: Flaky | Passed (with variation: CV &gt; 0) AND Failed (with variation: CV &gt; 0) | Different Means", IF(AND(IFERROR(ROUND(V23,8),0)=0, IFERROR(ROUND(Y23,8),0)&gt;0), "Group 3: Flaky | Passed (no variation: CV = 0) AND Failed (with variation: CV &gt; 0) | Different Means", "Group 4: Flaky | Passed (with variation: CV &gt; 0) AND Failed (no variation: CV = 0) | Different Means"))), IF(AND(IFERROR(ROUND(V23,8),0)=0, IFERROR(ROUND(Y23,8),0)=0), "Group 5: Flaky | Passed (no var CV = 0) AND Failed (no var CV = 0) | Equal Means", IF(AND(IFERROR(ROUND(V23,8),0)&gt;0, IFERROR(ROUND(Y23,8),0)&gt;0), "Group 6: Flaky | Passed (with var CV &gt; 0) AND Failed (with var CV &gt; 0) | Equal Means", IF(AND(IFERROR(ROUND(V23,8),0)=0, IFERROR(ROUND(Y23,8),0)&gt;0),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" s="29" t="n">
        <v>2.470661</v>
      </c>
      <c r="AB23" s="29" t="n">
        <v>0.048322</v>
      </c>
      <c r="AC23" s="29" t="n">
        <f aca="false">IFERROR(AB23/AA23*100,"N/A")</f>
        <v>1.95583287225564</v>
      </c>
      <c r="AD23" s="29" t="n">
        <v>0</v>
      </c>
      <c r="AE23" s="29" t="n">
        <v>0</v>
      </c>
      <c r="AF23" s="29" t="str">
        <f aca="false">IFERROR(AE23/AD23*100,"N/A")</f>
        <v>N/A</v>
      </c>
      <c r="AG23" s="51" t="str">
        <f aca="false">IF(AND(Q23&gt;0, R23=0), IF(IFERROR(ROUND(AC23,8),0)=0, "Group 9: Only Passed | Without variation (no var CV = 0)", "Group 10: Only Passed | With variation (with var CV &gt; 0)"), IF(AND(Q23=0, R23&gt;0), IF(IFERROR(ROUND(AF23,8),0)=0, "Group 11: Only Failed | Without variation (no var CV = 0)", "Group 12: Only Failed | With variation (with var CV &gt; 0)"), IF(AND(Q23&gt;0, R23&gt;0), IF(ROUND(AA23,5)&lt;&gt;ROUND(AD23,5), IF(AND(IFERROR(ROUND(AC23,8),0)=0, IFERROR(ROUND(AF23,8),0)=0), "Group 1: Flaky | Passed (no variation: CV = 0) AND Failed (no variation: CV = 0) | Different Means", IF(AND(IFERROR(ROUND(AC23,8),0)&gt;0, IFERROR(ROUND(AF23,8),0)&gt;0), "Group 2: Flaky | Passed (with variation: CV &gt; 0) AND Failed (with variation: CV &gt; 0) | Different Means", IF(AND(IFERROR(ROUND(AC23,8),0)=0, IFERROR(ROUND(AF23,8),0)&gt;0), "Group 3: Flaky | Passed (no variation: CV = 0) AND Failed (with variation: CV &gt; 0) | Different Means", "Group 4: Flaky | Passed (with variation: CV &gt; 0) AND Failed (no variation: CV = 0) | Different Means"))), IF(AND(IFERROR(ROUND(AC23,8),0)=0, IFERROR(ROUND(AF23,8),0)=0), "Group 5: Flaky | Passed (no var CV = 0) AND Failed (no var CV = 0) | Equal Means", IF(AND(IFERROR(ROUND(AC23,8),0)&gt;0, IFERROR(ROUND(AF23,8),0)&gt;0), "Group 6: Flaky | Passed (with var CV &gt; 0) AND Failed (with var CV &gt; 0) | Equal Means", IF(AND(IFERROR(ROUND(AC23,8),0)=0, IFERROR(ROUND(AF23,8),0)&gt;0),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" s="22" t="n">
        <v>100</v>
      </c>
      <c r="AI23" s="17" t="n">
        <v>0</v>
      </c>
      <c r="AJ23" s="31" t="str">
        <f aca="false">IF(AND(AH23&gt;0, AI23&gt;0), "Observed Flaky Test", "Non-observed Flaky Test")</f>
        <v>Non-observed Flaky Test</v>
      </c>
      <c r="AK23" s="32" t="n">
        <v>5630354.35</v>
      </c>
      <c r="AL23" s="33" t="n">
        <v>39085.3113664665</v>
      </c>
      <c r="AM23" s="33" t="n">
        <f aca="false">IFERROR(AL23/AK23*100,"N/A")</f>
        <v>0.69418919195497</v>
      </c>
      <c r="AN23" s="32" t="n">
        <v>0</v>
      </c>
      <c r="AO23" s="32" t="n">
        <v>0</v>
      </c>
      <c r="AP23" s="35" t="str">
        <f aca="false">IFERROR(AO23/AN23*100,"N/A")</f>
        <v>N/A</v>
      </c>
      <c r="AQ23" s="52" t="str">
        <f aca="false">IF(AND(AH23&gt;0, AI23&gt;0),
    IF(ROUND(N(AK23),5)&lt;&gt;ROUND(N(AN23),5),
        IF(AND(ROUND(N(AL23),8)=0, ROUND(N(AO23),8)=0), "Group 1: Flaky | Passed (no variation: SD = 0) AND Failed (no variation: SD = 0) | Different Means",
        IF(AND(ROUND(N(AL23),8)&gt;0, ROUND(N(AO23),8)&gt;0), "Group 2: Flaky | Passed (with variation: SD &gt; 0) AND Failed (with variation: SD &gt; 0) | Different Means",
        IF(AND(ROUND(N(AL23),8)=0, ROUND(N(AO23),8)&gt;0), "Group 3: Flaky | Passed (no variation: SD = 0) AND Failed (with variation: SD &gt; 0) | Different Means",
        "Group 4: Flaky | Passed (with variation: SD &gt; 0) AND Failed (no variation: SD = 0) | Different Means"))),
        IF(AND(ROUND(N(AL23),8)=0, ROUND(N(AO23),8)=0), "Group 5: Flaky | Passed (no var SD = 0) AND Failed (no var SD = 0) | Equal Means",
        IF(AND(ROUND(N(AL23),8)&gt;0, ROUND(N(AO23),8)&gt;0), "Group 6: Flaky | Passed (with var SD &gt; 0 ) AND Failed (with var SD &gt; 0) | Equal Means",
        IF(AND(ROUND(N(AL23),8)=0, ROUND(N(AO23),8)&gt;0), "Group 7: Flaky | Passed (no var SD = 0) AND Failed (with var SD &gt; 0) | Equal Means",
        "Group 8: Flaky | Passed (with var SD &gt; 0 ) AND Failed (no var SD = 0) | Equal Means")))
    ),
    IF(AH23&gt;0,
        IF(N(AL23)&gt;0, "Group 10: Only Passed | With variation (with var SD &gt; 0)", "Group 9: Only Passed | Without variation (no var SD = 0)"),
        IF(AI23&gt;0,
            IF(N(AO23)&gt;0,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3" s="37" t="str">
        <f aca="false">IF(OR(F23="Observed Flaky Test", I23="Observed Flaky Test", S23="Observed Flaky Test", AJ23="Observed Flaky Test"), "Observed Flaky Test", "Non-observed Flaky Test")</f>
        <v>Non-observed Flaky Test</v>
      </c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</row>
    <row r="24" customFormat="false" ht="15.75" hidden="false" customHeight="true" outlineLevel="0" collapsed="false">
      <c r="A24" s="13"/>
      <c r="B24" s="14" t="s">
        <v>70</v>
      </c>
      <c r="C24" s="14" t="s">
        <v>71</v>
      </c>
      <c r="D24" s="15" t="n">
        <v>100</v>
      </c>
      <c r="E24" s="15" t="n">
        <v>0</v>
      </c>
      <c r="F24" s="16" t="str">
        <f aca="false">IF(AND(D24&gt;0, E24&gt;0), "Observed Flaky Test", "Non-observed Flaky Test")</f>
        <v>Non-observed Flaky Test</v>
      </c>
      <c r="G24" s="17" t="n">
        <v>87</v>
      </c>
      <c r="H24" s="17" t="n">
        <v>13</v>
      </c>
      <c r="I24" s="61" t="str">
        <f aca="false">IF(AND(G24&gt;0, H24&gt;0), "Observed Flaky Test", "Non-observed Flaky Test")</f>
        <v>Observed Flaky Test</v>
      </c>
      <c r="J24" s="53" t="n">
        <v>8.628851</v>
      </c>
      <c r="K24" s="53" t="n">
        <v>0.004655</v>
      </c>
      <c r="L24" s="19" t="n">
        <f aca="false">IFERROR(K24/J24*100,"N/A")</f>
        <v>0.0539469275805087</v>
      </c>
      <c r="M24" s="53" t="n">
        <v>8.623846</v>
      </c>
      <c r="N24" s="53" t="n">
        <v>0.009231</v>
      </c>
      <c r="O24" s="20" t="n">
        <f aca="false">IFERROR(N24/M24*100,"N/A")</f>
        <v>0.107040408652937</v>
      </c>
      <c r="P24" s="62" t="str">
        <f aca="false">IF(AND(G24&gt;0, H24=0), IF(ROUND(K24,8)=0, "Group 9: Only Passed | Without variation (SD Passed = 0)", "Group 10: Only Passed | With variation (SD Passed &gt; 0)"), IF(AND(G24=0, H24&gt;0), IF(ROUND(N24,8)=0, "Group 11: Only Failed | Without variation (SD Failed = 0)", "Group 12: Only Failed | With variation (SD Failed &gt; 0)"), IF(AND(G24&gt;0, H24&gt;0), IF(ROUND(J24,5)&lt;&gt;ROUND(M24,5), IF(AND(ROUND(K24,8)=0, ROUND(N24,8)=0), "Group 1: Flaky | Passed (no variation) AND Failed (no variation) | Different Means", IF(AND(ROUND(K24,8)&gt;0, ROUND(N24,8)&gt;0), "Group 2: Flaky | Passed (with variation) AND Failed (with variation) | Different Means", IF(AND(ROUND(K24,8)=0, ROUND(N24,8)&gt;0), "Group 3: Flaky | Passed (no variation) AND Failed (with variation) | Different Means", "Group 4: Flaky | Passed (with variation) AND Failed (no variation) | Different Means"))), IF(AND(ROUND(K24,8)=0, ROUND(N24,8)=0), "Group 5: Flaky | Passed (no variation) AND Failed (no variation) | Equal Means", IF(AND(ROUND(K24,8)&gt;0, ROUND(N24,8)&gt;0), "Group 6: Flaky | Passed (with variation) AND Failed (with variation) | Equal Means", IF(AND(ROUND(K24,8)=0, ROUND(N24,8)&gt;0),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24" s="22" t="n">
        <v>100</v>
      </c>
      <c r="R24" s="22" t="n">
        <v>0</v>
      </c>
      <c r="S24" s="23" t="str">
        <f aca="false">IF(AND(Q24&gt;0, R24&gt;0), "Observed Flaky Test", "Non-observed Flaky Test")</f>
        <v>Non-observed Flaky Test</v>
      </c>
      <c r="T24" s="22" t="n">
        <v>4275385.19</v>
      </c>
      <c r="U24" s="24" t="n">
        <v>104.490364</v>
      </c>
      <c r="V24" s="25" t="n">
        <f aca="false">IFERROR(U24/T24*100,"N/A")</f>
        <v>0.00244399882949494</v>
      </c>
      <c r="W24" s="22" t="n">
        <v>0</v>
      </c>
      <c r="X24" s="22" t="n">
        <v>0</v>
      </c>
      <c r="Y24" s="27" t="str">
        <f aca="false">IFERROR(X24/W24*100,"N/A")</f>
        <v>N/A</v>
      </c>
      <c r="Z24" s="50" t="str">
        <f aca="false">IF(AND(Q24&gt;0, R24=0), IF(IFERROR(ROUND(V24,8),0)=0, "Group 9: Only Passed | Without variation (no var CV = 0)", "Group 10: Only Passed | With variation (with var CV &gt; 0)"), IF(AND(Q24=0, R24&gt;0), IF(IFERROR(ROUND(Y24,8),0)=0, "Group 11: Only Failed | Without variation (no var CV = 0)", "Group 12: Only Failed | With variation (with var CV &gt; 0)"), IF(AND(Q24&gt;0, R24&gt;0), IF(ROUND(T24,5)&lt;&gt;ROUND(W24,5), IF(AND(IFERROR(ROUND(V24,8),0)=0, IFERROR(ROUND(Y24,8),0)=0), "Group 1: Flaky | Passed (no variation: CV = 0) AND Failed (no variation: CV = 0) | Different Means", IF(AND(IFERROR(ROUND(V24,8),0)&gt;0, IFERROR(ROUND(Y24,8),0)&gt;0), "Group 2: Flaky | Passed (with variation: CV &gt; 0) AND Failed (with variation: CV &gt; 0) | Different Means", IF(AND(IFERROR(ROUND(V24,8),0)=0, IFERROR(ROUND(Y24,8),0)&gt;0), "Group 3: Flaky | Passed (no variation: CV = 0) AND Failed (with variation: CV &gt; 0) | Different Means", "Group 4: Flaky | Passed (with variation: CV &gt; 0) AND Failed (no variation: CV = 0) | Different Means"))), IF(AND(IFERROR(ROUND(V24,8),0)=0, IFERROR(ROUND(Y24,8),0)=0), "Group 5: Flaky | Passed (no var CV = 0) AND Failed (no var CV = 0) | Equal Means", IF(AND(IFERROR(ROUND(V24,8),0)&gt;0, IFERROR(ROUND(Y24,8),0)&gt;0), "Group 6: Flaky | Passed (with var CV &gt; 0) AND Failed (with var CV &gt; 0) | Equal Means", IF(AND(IFERROR(ROUND(V24,8),0)=0, IFERROR(ROUND(Y24,8),0)&gt;0),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" s="29" t="n">
        <v>2.371593</v>
      </c>
      <c r="AB24" s="29" t="n">
        <v>0.057138</v>
      </c>
      <c r="AC24" s="29" t="n">
        <f aca="false">IFERROR(AB24/AA24*100,"N/A")</f>
        <v>2.40926668277398</v>
      </c>
      <c r="AD24" s="29" t="n">
        <v>0</v>
      </c>
      <c r="AE24" s="29" t="n">
        <v>0</v>
      </c>
      <c r="AF24" s="29" t="str">
        <f aca="false">IFERROR(AE24/AD24*100,"N/A")</f>
        <v>N/A</v>
      </c>
      <c r="AG24" s="51" t="str">
        <f aca="false">IF(AND(Q24&gt;0, R24=0), IF(IFERROR(ROUND(AC24,8),0)=0, "Group 9: Only Passed | Without variation (no var CV = 0)", "Group 10: Only Passed | With variation (with var CV &gt; 0)"), IF(AND(Q24=0, R24&gt;0), IF(IFERROR(ROUND(AF24,8),0)=0, "Group 11: Only Failed | Without variation (no var CV = 0)", "Group 12: Only Failed | With variation (with var CV &gt; 0)"), IF(AND(Q24&gt;0, R24&gt;0), IF(ROUND(AA24,5)&lt;&gt;ROUND(AD24,5), IF(AND(IFERROR(ROUND(AC24,8),0)=0, IFERROR(ROUND(AF24,8),0)=0), "Group 1: Flaky | Passed (no variation: CV = 0) AND Failed (no variation: CV = 0) | Different Means", IF(AND(IFERROR(ROUND(AC24,8),0)&gt;0, IFERROR(ROUND(AF24,8),0)&gt;0), "Group 2: Flaky | Passed (with variation: CV &gt; 0) AND Failed (with variation: CV &gt; 0) | Different Means", IF(AND(IFERROR(ROUND(AC24,8),0)=0, IFERROR(ROUND(AF24,8),0)&gt;0), "Group 3: Flaky | Passed (no variation: CV = 0) AND Failed (with variation: CV &gt; 0) | Different Means", "Group 4: Flaky | Passed (with variation: CV &gt; 0) AND Failed (no variation: CV = 0) | Different Means"))), IF(AND(IFERROR(ROUND(AC24,8),0)=0, IFERROR(ROUND(AF24,8),0)=0), "Group 5: Flaky | Passed (no var CV = 0) AND Failed (no var CV = 0) | Equal Means", IF(AND(IFERROR(ROUND(AC24,8),0)&gt;0, IFERROR(ROUND(AF24,8),0)&gt;0), "Group 6: Flaky | Passed (with var CV &gt; 0) AND Failed (with var CV &gt; 0) | Equal Means", IF(AND(IFERROR(ROUND(AC24,8),0)=0, IFERROR(ROUND(AF24,8),0)&gt;0),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" s="22" t="n">
        <v>93</v>
      </c>
      <c r="AI24" s="17" t="n">
        <v>7</v>
      </c>
      <c r="AJ24" s="39" t="str">
        <f aca="false">IF(AND(AH24&gt;0, AI24&gt;0), "Observed Flaky Test", "Non-observed Flaky Test")</f>
        <v>Observed Flaky Test</v>
      </c>
      <c r="AK24" s="59" t="n">
        <v>2822014.56989247</v>
      </c>
      <c r="AL24" s="33" t="n">
        <v>38163.8627899761</v>
      </c>
      <c r="AM24" s="33" t="n">
        <f aca="false">IFERROR(AL24/AK24*100,"N/A")</f>
        <v>1.35236235833574</v>
      </c>
      <c r="AN24" s="59" t="n">
        <v>2831853.57142857</v>
      </c>
      <c r="AO24" s="33" t="n">
        <v>42389.0652443022</v>
      </c>
      <c r="AP24" s="35" t="n">
        <f aca="false">IFERROR(AO24/AN24*100,"N/A")</f>
        <v>1.49686642247249</v>
      </c>
      <c r="AQ24" s="63" t="str">
        <f aca="false">IF(AND(AH24&gt;0, AI24&gt;0),
    IF(ROUND(N(AK24),5)&lt;&gt;ROUND(N(AN24),5),
        IF(AND(ROUND(N(AL24),8)=0, ROUND(N(AO24),8)=0), "Group 1: Flaky | Passed (no variation: SD = 0) AND Failed (no variation: SD = 0) | Different Means",
        IF(AND(ROUND(N(AL24),8)&gt;0, ROUND(N(AO24),8)&gt;0), "Group 2: Flaky | Passed (with variation: SD &gt; 0) AND Failed (with variation: SD &gt; 0) | Different Means",
        IF(AND(ROUND(N(AL24),8)=0, ROUND(N(AO24),8)&gt;0), "Group 3: Flaky | Passed (no variation: SD = 0) AND Failed (with variation: SD &gt; 0) | Different Means",
        "Group 4: Flaky | Passed (with variation: SD &gt; 0) AND Failed (no variation: SD = 0) | Different Means"))),
        IF(AND(ROUND(N(AL24),8)=0, ROUND(N(AO24),8)=0), "Group 5: Flaky | Passed (no var SD = 0) AND Failed (no var SD = 0) | Equal Means",
        IF(AND(ROUND(N(AL24),8)&gt;0, ROUND(N(AO24),8)&gt;0), "Group 6: Flaky | Passed (with var SD &gt; 0 ) AND Failed (with var SD &gt; 0) | Equal Means",
        IF(AND(ROUND(N(AL24),8)=0, ROUND(N(AO24),8)&gt;0), "Group 7: Flaky | Passed (no var SD = 0) AND Failed (with var SD &gt; 0) | Equal Means",
        "Group 8: Flaky | Passed (with var SD &gt; 0 ) AND Failed (no var SD = 0) | Equal Means")))
    ),
    IF(AH24&gt;0,
        IF(N(AL24)&gt;0, "Group 10: Only Passed | With variation (with var SD &gt; 0)", "Group 9: Only Passed | Without variation (no var SD = 0)"),
        IF(AI24&gt;0,
            IF(N(AO24)&gt;0,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24" s="42" t="str">
        <f aca="false">IF(OR(F24="Observed Flaky Test", I24="Observed Flaky Test", S24="Observed Flaky Test", AJ24="Observed Flaky Test"), "Observed Flaky Test", "Non-observed Flaky Test")</f>
        <v>Observed Flaky Test</v>
      </c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customFormat="false" ht="15.75" hidden="false" customHeight="true" outlineLevel="0" collapsed="false">
      <c r="A25" s="13"/>
      <c r="B25" s="14" t="s">
        <v>72</v>
      </c>
      <c r="C25" s="14" t="s">
        <v>73</v>
      </c>
      <c r="D25" s="15" t="n">
        <v>100</v>
      </c>
      <c r="E25" s="15" t="n">
        <v>0</v>
      </c>
      <c r="F25" s="16" t="str">
        <f aca="false">IF(AND(D25&gt;0, E25&gt;0), "Observed Flaky Test", "Non-observed Flaky Test")</f>
        <v>Non-observed Flaky Test</v>
      </c>
      <c r="G25" s="17" t="n">
        <v>88</v>
      </c>
      <c r="H25" s="17" t="n">
        <v>12</v>
      </c>
      <c r="I25" s="61" t="str">
        <f aca="false">IF(AND(G25&gt;0, H25&gt;0), "Observed Flaky Test", "Non-observed Flaky Test")</f>
        <v>Observed Flaky Test</v>
      </c>
      <c r="J25" s="53" t="n">
        <v>8.639091</v>
      </c>
      <c r="K25" s="53" t="n">
        <v>0.004166</v>
      </c>
      <c r="L25" s="19" t="n">
        <f aca="false">IFERROR(K25/J25*100,"N/A")</f>
        <v>0.0482226660189133</v>
      </c>
      <c r="M25" s="53" t="n">
        <v>8.639167</v>
      </c>
      <c r="N25" s="64" t="n">
        <v>0.002764</v>
      </c>
      <c r="O25" s="20" t="n">
        <f aca="false">IFERROR(N25/M25*100,"N/A")</f>
        <v>0.0319938253306135</v>
      </c>
      <c r="P25" s="62" t="str">
        <f aca="false">IF(AND(G25&gt;0, H25=0), IF(ROUND(K25,8)=0, "Group 9: Only Passed | Without variation (SD Passed = 0)", "Group 10: Only Passed | With variation (SD Passed &gt; 0)"), IF(AND(G25=0, H25&gt;0), IF(ROUND(N25,8)=0, "Group 11: Only Failed | Without variation (SD Failed = 0)", "Group 12: Only Failed | With variation (SD Failed &gt; 0)"), IF(AND(G25&gt;0, H25&gt;0), IF(ROUND(J25,5)&lt;&gt;ROUND(M25,5), IF(AND(ROUND(K25,8)=0, ROUND(N25,8)=0), "Group 1: Flaky | Passed (no variation) AND Failed (no variation) | Different Means", IF(AND(ROUND(K25,8)&gt;0, ROUND(N25,8)&gt;0), "Group 2: Flaky | Passed (with variation) AND Failed (with variation) | Different Means", IF(AND(ROUND(K25,8)=0, ROUND(N25,8)&gt;0), "Group 3: Flaky | Passed (no variation) AND Failed (with variation) | Different Means", "Group 4: Flaky | Passed (with variation) AND Failed (no variation) | Different Means"))), IF(AND(ROUND(K25,8)=0, ROUND(N25,8)=0), "Group 5: Flaky | Passed (no variation) AND Failed (no variation) | Equal Means", IF(AND(ROUND(K25,8)&gt;0, ROUND(N25,8)&gt;0), "Group 6: Flaky | Passed (with variation) AND Failed (with variation) | Equal Means", IF(AND(ROUND(K25,8)=0, ROUND(N25,8)&gt;0),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25" s="22" t="n">
        <v>100</v>
      </c>
      <c r="R25" s="22" t="n">
        <v>0</v>
      </c>
      <c r="S25" s="23" t="str">
        <f aca="false">IF(AND(Q25&gt;0, R25&gt;0), "Observed Flaky Test", "Non-observed Flaky Test")</f>
        <v>Non-observed Flaky Test</v>
      </c>
      <c r="T25" s="22" t="n">
        <v>4277766.99</v>
      </c>
      <c r="U25" s="24" t="n">
        <v>173.669633</v>
      </c>
      <c r="V25" s="25" t="n">
        <f aca="false">IFERROR(U25/T25*100,"N/A")</f>
        <v>0.00405981984072489</v>
      </c>
      <c r="W25" s="22" t="n">
        <v>0</v>
      </c>
      <c r="X25" s="22" t="n">
        <v>0</v>
      </c>
      <c r="Y25" s="27" t="str">
        <f aca="false">IFERROR(X25/W25*100,"N/A")</f>
        <v>N/A</v>
      </c>
      <c r="Z25" s="50" t="str">
        <f aca="false">IF(AND(Q25&gt;0, R25=0), IF(IFERROR(ROUND(V25,8),0)=0, "Group 9: Only Passed | Without variation (no var CV = 0)", "Group 10: Only Passed | With variation (with var CV &gt; 0)"), IF(AND(Q25=0, R25&gt;0), IF(IFERROR(ROUND(Y25,8),0)=0, "Group 11: Only Failed | Without variation (no var CV = 0)", "Group 12: Only Failed | With variation (with var CV &gt; 0)"), IF(AND(Q25&gt;0, R25&gt;0), IF(ROUND(T25,5)&lt;&gt;ROUND(W25,5), IF(AND(IFERROR(ROUND(V25,8),0)=0, IFERROR(ROUND(Y25,8),0)=0), "Group 1: Flaky | Passed (no variation: CV = 0) AND Failed (no variation: CV = 0) | Different Means", IF(AND(IFERROR(ROUND(V25,8),0)&gt;0, IFERROR(ROUND(Y25,8),0)&gt;0), "Group 2: Flaky | Passed (with variation: CV &gt; 0) AND Failed (with variation: CV &gt; 0) | Different Means", IF(AND(IFERROR(ROUND(V25,8),0)=0, IFERROR(ROUND(Y25,8),0)&gt;0), "Group 3: Flaky | Passed (no variation: CV = 0) AND Failed (with variation: CV &gt; 0) | Different Means", "Group 4: Flaky | Passed (with variation: CV &gt; 0) AND Failed (no variation: CV = 0) | Different Means"))), IF(AND(IFERROR(ROUND(V25,8),0)=0, IFERROR(ROUND(Y25,8),0)=0), "Group 5: Flaky | Passed (no var CV = 0) AND Failed (no var CV = 0) | Equal Means", IF(AND(IFERROR(ROUND(V25,8),0)&gt;0, IFERROR(ROUND(Y25,8),0)&gt;0), "Group 6: Flaky | Passed (with var CV &gt; 0) AND Failed (with var CV &gt; 0) | Equal Means", IF(AND(IFERROR(ROUND(V25,8),0)=0, IFERROR(ROUND(Y25,8),0)&gt;0),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5" s="29" t="n">
        <v>2.373826</v>
      </c>
      <c r="AB25" s="29" t="n">
        <v>0.050299</v>
      </c>
      <c r="AC25" s="29" t="n">
        <f aca="false">IFERROR(AB25/AA25*100,"N/A")</f>
        <v>2.11890003732371</v>
      </c>
      <c r="AD25" s="29" t="n">
        <v>0</v>
      </c>
      <c r="AE25" s="29" t="n">
        <v>0</v>
      </c>
      <c r="AF25" s="29" t="str">
        <f aca="false">IFERROR(AE25/AD25*100,"N/A")</f>
        <v>N/A</v>
      </c>
      <c r="AG25" s="51" t="str">
        <f aca="false">IF(AND(Q25&gt;0, R25=0), IF(IFERROR(ROUND(AC25,8),0)=0, "Group 9: Only Passed | Without variation (no var CV = 0)", "Group 10: Only Passed | With variation (with var CV &gt; 0)"), IF(AND(Q25=0, R25&gt;0), IF(IFERROR(ROUND(AF25,8),0)=0, "Group 11: Only Failed | Without variation (no var CV = 0)", "Group 12: Only Failed | With variation (with var CV &gt; 0)"), IF(AND(Q25&gt;0, R25&gt;0), IF(ROUND(AA25,5)&lt;&gt;ROUND(AD25,5), IF(AND(IFERROR(ROUND(AC25,8),0)=0, IFERROR(ROUND(AF25,8),0)=0), "Group 1: Flaky | Passed (no variation: CV = 0) AND Failed (no variation: CV = 0) | Different Means", IF(AND(IFERROR(ROUND(AC25,8),0)&gt;0, IFERROR(ROUND(AF25,8),0)&gt;0), "Group 2: Flaky | Passed (with variation: CV &gt; 0) AND Failed (with variation: CV &gt; 0) | Different Means", IF(AND(IFERROR(ROUND(AC25,8),0)=0, IFERROR(ROUND(AF25,8),0)&gt;0), "Group 3: Flaky | Passed (no variation: CV = 0) AND Failed (with variation: CV &gt; 0) | Different Means", "Group 4: Flaky | Passed (with variation: CV &gt; 0) AND Failed (no variation: CV = 0) | Different Means"))), IF(AND(IFERROR(ROUND(AC25,8),0)=0, IFERROR(ROUND(AF25,8),0)=0), "Group 5: Flaky | Passed (no var CV = 0) AND Failed (no var CV = 0) | Equal Means", IF(AND(IFERROR(ROUND(AC25,8),0)&gt;0, IFERROR(ROUND(AF25,8),0)&gt;0), "Group 6: Flaky | Passed (with var CV &gt; 0) AND Failed (with var CV &gt; 0) | Equal Means", IF(AND(IFERROR(ROUND(AC25,8),0)=0, IFERROR(ROUND(AF25,8),0)&gt;0),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5" s="22" t="n">
        <v>96</v>
      </c>
      <c r="AI25" s="17" t="n">
        <v>4</v>
      </c>
      <c r="AJ25" s="39" t="str">
        <f aca="false">IF(AND(AH25&gt;0, AI25&gt;0), "Observed Flaky Test", "Non-observed Flaky Test")</f>
        <v>Observed Flaky Test</v>
      </c>
      <c r="AK25" s="65" t="n">
        <v>2825020.34375</v>
      </c>
      <c r="AL25" s="33" t="n">
        <v>37594.3412244668</v>
      </c>
      <c r="AM25" s="33" t="n">
        <f aca="false">IFERROR(AL25/AK25*100,"N/A")</f>
        <v>1.33076355742498</v>
      </c>
      <c r="AN25" s="32" t="n">
        <v>2881916</v>
      </c>
      <c r="AO25" s="40" t="n">
        <v>45.0407223151079</v>
      </c>
      <c r="AP25" s="35" t="n">
        <f aca="false">IFERROR(AO25/AN25*100,"N/A")</f>
        <v>0.00156287422378403</v>
      </c>
      <c r="AQ25" s="63" t="str">
        <f aca="false">IF(AND(AH25&gt;0, AI25&gt;0),
    IF(ROUND(N(AK25),5)&lt;&gt;ROUND(N(AN25),5),
        IF(AND(ROUND(N(AL25),8)=0, ROUND(N(AO25),8)=0), "Group 1: Flaky | Passed (no variation: SD = 0) AND Failed (no variation: SD = 0) | Different Means",
        IF(AND(ROUND(N(AL25),8)&gt;0, ROUND(N(AO25),8)&gt;0), "Group 2: Flaky | Passed (with variation: SD &gt; 0) AND Failed (with variation: SD &gt; 0) | Different Means",
        IF(AND(ROUND(N(AL25),8)=0, ROUND(N(AO25),8)&gt;0), "Group 3: Flaky | Passed (no variation: SD = 0) AND Failed (with variation: SD &gt; 0) | Different Means",
        "Group 4: Flaky | Passed (with variation: SD &gt; 0) AND Failed (no variation: SD = 0) | Different Means"))),
        IF(AND(ROUND(N(AL25),8)=0, ROUND(N(AO25),8)=0), "Group 5: Flaky | Passed (no var SD = 0) AND Failed (no var SD = 0) | Equal Means",
        IF(AND(ROUND(N(AL25),8)&gt;0, ROUND(N(AO25),8)&gt;0), "Group 6: Flaky | Passed (with var SD &gt; 0 ) AND Failed (with var SD &gt; 0) | Equal Means",
        IF(AND(ROUND(N(AL25),8)=0, ROUND(N(AO25),8)&gt;0), "Group 7: Flaky | Passed (no var SD = 0) AND Failed (with var SD &gt; 0) | Equal Means",
        "Group 8: Flaky | Passed (with var SD &gt; 0 ) AND Failed (no var SD = 0) | Equal Means")))
    ),
    IF(AH25&gt;0,
        IF(N(AL25)&gt;0, "Group 10: Only Passed | With variation (with var SD &gt; 0)", "Group 9: Only Passed | Without variation (no var SD = 0)"),
        IF(AI25&gt;0,
            IF(N(AO25)&gt;0,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25" s="42" t="str">
        <f aca="false">IF(OR(F25="Observed Flaky Test", I25="Observed Flaky Test", S25="Observed Flaky Test", AJ25="Observed Flaky Test"), "Observed Flaky Test", "Non-observed Flaky Test")</f>
        <v>Observed Flaky Test</v>
      </c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</row>
    <row r="26" customFormat="false" ht="15.75" hidden="false" customHeight="true" outlineLevel="0" collapsed="false">
      <c r="A26" s="13"/>
      <c r="B26" s="14" t="s">
        <v>74</v>
      </c>
      <c r="C26" s="14" t="s">
        <v>75</v>
      </c>
      <c r="D26" s="15" t="n">
        <v>100</v>
      </c>
      <c r="E26" s="15" t="n">
        <v>0</v>
      </c>
      <c r="F26" s="16" t="str">
        <f aca="false">IF(AND(D26&gt;0, E26&gt;0), "Observed Flaky Test", "Non-observed Flaky Test")</f>
        <v>Non-observed Flaky Test</v>
      </c>
      <c r="G26" s="17" t="n">
        <v>100</v>
      </c>
      <c r="H26" s="17" t="n">
        <v>0</v>
      </c>
      <c r="I26" s="16" t="str">
        <f aca="false">IF(AND(G26&gt;0, H26&gt;0), "Observed Flaky Test", "Non-observed Flaky Test")</f>
        <v>Non-observed Flaky Test</v>
      </c>
      <c r="J26" s="66" t="n">
        <v>8.619</v>
      </c>
      <c r="K26" s="53" t="n">
        <v>0.004359</v>
      </c>
      <c r="L26" s="19" t="n">
        <f aca="false">IFERROR(K26/J26*100,"N/A")</f>
        <v>0.0505743125652628</v>
      </c>
      <c r="M26" s="18" t="n">
        <v>0</v>
      </c>
      <c r="N26" s="18" t="n">
        <v>0</v>
      </c>
      <c r="O26" s="20" t="str">
        <f aca="false">IFERROR(N26/M26*100,"N/A")</f>
        <v>N/A</v>
      </c>
      <c r="P26" s="48" t="str">
        <f aca="false">IF(AND(G26&gt;0, H26=0), IF(ROUND(K26,8)=0, "Group 9: Only Passed | Without variation (SD Passed = 0)", "Group 10: Only Passed | With variation (SD Passed &gt; 0)"), IF(AND(G26=0, H26&gt;0), IF(ROUND(N26,8)=0, "Group 11: Only Failed | Without variation (SD Failed = 0)", "Group 12: Only Failed | With variation (SD Failed &gt; 0)"), IF(AND(G26&gt;0, H26&gt;0), IF(ROUND(J26,5)&lt;&gt;ROUND(M26,5), IF(AND(ROUND(K26,8)=0, ROUND(N26,8)=0), "Group 1: Flaky | Passed (no variation) AND Failed (no variation) | Different Means", IF(AND(ROUND(K26,8)&gt;0, ROUND(N26,8)&gt;0), "Group 2: Flaky | Passed (with variation) AND Failed (with variation) | Different Means", IF(AND(ROUND(K26,8)=0, ROUND(N26,8)&gt;0), "Group 3: Flaky | Passed (no variation) AND Failed (with variation) | Different Means", "Group 4: Flaky | Passed (with variation) AND Failed (no variation) | Different Means"))), IF(AND(ROUND(K26,8)=0, ROUND(N26,8)=0), "Group 5: Flaky | Passed (no variation) AND Failed (no variation) | Equal Means", IF(AND(ROUND(K26,8)&gt;0, ROUND(N26,8)&gt;0), "Group 6: Flaky | Passed (with variation) AND Failed (with variation) | Equal Means", IF(AND(ROUND(K26,8)=0, ROUND(N26,8)&gt;0),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6" s="22" t="n">
        <v>100</v>
      </c>
      <c r="R26" s="22" t="n">
        <v>0</v>
      </c>
      <c r="S26" s="23" t="str">
        <f aca="false">IF(AND(Q26&gt;0, R26&gt;0), "Observed Flaky Test", "Non-observed Flaky Test")</f>
        <v>Non-observed Flaky Test</v>
      </c>
      <c r="T26" s="22" t="n">
        <v>4295855.55</v>
      </c>
      <c r="U26" s="24" t="n">
        <v>75253.255137</v>
      </c>
      <c r="V26" s="25" t="n">
        <f aca="false">IFERROR(U26/T26*100,"N/A")</f>
        <v>1.75176409590867</v>
      </c>
      <c r="W26" s="22" t="n">
        <v>0</v>
      </c>
      <c r="X26" s="22" t="n">
        <v>0</v>
      </c>
      <c r="Y26" s="27" t="str">
        <f aca="false">IFERROR(X26/W26*100,"N/A")</f>
        <v>N/A</v>
      </c>
      <c r="Z26" s="50" t="str">
        <f aca="false">IF(AND(Q26&gt;0, R26=0), IF(IFERROR(ROUND(V26,8),0)=0, "Group 9: Only Passed | Without variation (no var CV = 0)", "Group 10: Only Passed | With variation (with var CV &gt; 0)"), IF(AND(Q26=0, R26&gt;0), IF(IFERROR(ROUND(Y26,8),0)=0, "Group 11: Only Failed | Without variation (no var CV = 0)", "Group 12: Only Failed | With variation (with var CV &gt; 0)"), IF(AND(Q26&gt;0, R26&gt;0), IF(ROUND(T26,5)&lt;&gt;ROUND(W26,5), IF(AND(IFERROR(ROUND(V26,8),0)=0, IFERROR(ROUND(Y26,8),0)=0), "Group 1: Flaky | Passed (no variation: CV = 0) AND Failed (no variation: CV = 0) | Different Means", IF(AND(IFERROR(ROUND(V26,8),0)&gt;0, IFERROR(ROUND(Y26,8),0)&gt;0), "Group 2: Flaky | Passed (with variation: CV &gt; 0) AND Failed (with variation: CV &gt; 0) | Different Means", IF(AND(IFERROR(ROUND(V26,8),0)=0, IFERROR(ROUND(Y26,8),0)&gt;0), "Group 3: Flaky | Passed (no variation: CV = 0) AND Failed (with variation: CV &gt; 0) | Different Means", "Group 4: Flaky | Passed (with variation: CV &gt; 0) AND Failed (no variation: CV = 0) | Different Means"))), IF(AND(IFERROR(ROUND(V26,8),0)=0, IFERROR(ROUND(Y26,8),0)=0), "Group 5: Flaky | Passed (no var CV = 0) AND Failed (no var CV = 0) | Equal Means", IF(AND(IFERROR(ROUND(V26,8),0)&gt;0, IFERROR(ROUND(Y26,8),0)&gt;0), "Group 6: Flaky | Passed (with var CV &gt; 0) AND Failed (with var CV &gt; 0) | Equal Means", IF(AND(IFERROR(ROUND(V26,8),0)=0, IFERROR(ROUND(Y26,8),0)&gt;0),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6" s="29" t="n">
        <v>2.375051</v>
      </c>
      <c r="AB26" s="29" t="n">
        <v>0.120808</v>
      </c>
      <c r="AC26" s="29" t="n">
        <f aca="false">IFERROR(AB26/AA26*100,"N/A")</f>
        <v>5.08654340475215</v>
      </c>
      <c r="AD26" s="29" t="n">
        <v>0</v>
      </c>
      <c r="AE26" s="29" t="n">
        <v>0</v>
      </c>
      <c r="AF26" s="29" t="str">
        <f aca="false">IFERROR(AE26/AD26*100,"N/A")</f>
        <v>N/A</v>
      </c>
      <c r="AG26" s="51" t="str">
        <f aca="false">IF(AND(Q26&gt;0, R26=0), IF(IFERROR(ROUND(AC26,8),0)=0, "Group 9: Only Passed | Without variation (no var CV = 0)", "Group 10: Only Passed | With variation (with var CV &gt; 0)"), IF(AND(Q26=0, R26&gt;0), IF(IFERROR(ROUND(AF26,8),0)=0, "Group 11: Only Failed | Without variation (no var CV = 0)", "Group 12: Only Failed | With variation (with var CV &gt; 0)"), IF(AND(Q26&gt;0, R26&gt;0), IF(ROUND(AA26,5)&lt;&gt;ROUND(AD26,5), IF(AND(IFERROR(ROUND(AC26,8),0)=0, IFERROR(ROUND(AF26,8),0)=0), "Group 1: Flaky | Passed (no variation: CV = 0) AND Failed (no variation: CV = 0) | Different Means", IF(AND(IFERROR(ROUND(AC26,8),0)&gt;0, IFERROR(ROUND(AF26,8),0)&gt;0), "Group 2: Flaky | Passed (with variation: CV &gt; 0) AND Failed (with variation: CV &gt; 0) | Different Means", IF(AND(IFERROR(ROUND(AC26,8),0)=0, IFERROR(ROUND(AF26,8),0)&gt;0), "Group 3: Flaky | Passed (no variation: CV = 0) AND Failed (with variation: CV &gt; 0) | Different Means", "Group 4: Flaky | Passed (with variation: CV &gt; 0) AND Failed (no variation: CV = 0) | Different Means"))), IF(AND(IFERROR(ROUND(AC26,8),0)=0, IFERROR(ROUND(AF26,8),0)=0), "Group 5: Flaky | Passed (no var CV = 0) AND Failed (no var CV = 0) | Equal Means", IF(AND(IFERROR(ROUND(AC26,8),0)&gt;0, IFERROR(ROUND(AF26,8),0)&gt;0), "Group 6: Flaky | Passed (with var CV &gt; 0) AND Failed (with var CV &gt; 0) | Equal Means", IF(AND(IFERROR(ROUND(AC26,8),0)=0, IFERROR(ROUND(AF26,8),0)&gt;0),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6" s="22" t="n">
        <v>100</v>
      </c>
      <c r="AI26" s="17" t="n">
        <v>0</v>
      </c>
      <c r="AJ26" s="31" t="str">
        <f aca="false">IF(AND(AH26&gt;0, AI26&gt;0), "Observed Flaky Test", "Non-observed Flaky Test")</f>
        <v>Non-observed Flaky Test</v>
      </c>
      <c r="AK26" s="32" t="n">
        <v>2828896.38</v>
      </c>
      <c r="AL26" s="33" t="n">
        <v>39585.0270315237</v>
      </c>
      <c r="AM26" s="33" t="n">
        <f aca="false">IFERROR(AL26/AK26*100,"N/A")</f>
        <v>1.39930989736442</v>
      </c>
      <c r="AN26" s="32" t="n">
        <v>0</v>
      </c>
      <c r="AO26" s="32" t="n">
        <v>0</v>
      </c>
      <c r="AP26" s="35" t="str">
        <f aca="false">IFERROR(AO26/AN26*100,"N/A")</f>
        <v>N/A</v>
      </c>
      <c r="AQ26" s="52" t="str">
        <f aca="false">IF(AND(AH26&gt;0, AI26&gt;0),
    IF(ROUND(N(AK26),5)&lt;&gt;ROUND(N(AN26),5),
        IF(AND(ROUND(N(AL26),8)=0, ROUND(N(AO26),8)=0), "Group 1: Flaky | Passed (no variation: SD = 0) AND Failed (no variation: SD = 0) | Different Means",
        IF(AND(ROUND(N(AL26),8)&gt;0, ROUND(N(AO26),8)&gt;0), "Group 2: Flaky | Passed (with variation: SD &gt; 0) AND Failed (with variation: SD &gt; 0) | Different Means",
        IF(AND(ROUND(N(AL26),8)=0, ROUND(N(AO26),8)&gt;0), "Group 3: Flaky | Passed (no variation: SD = 0) AND Failed (with variation: SD &gt; 0) | Different Means",
        "Group 4: Flaky | Passed (with variation: SD &gt; 0) AND Failed (no variation: SD = 0) | Different Means"))),
        IF(AND(ROUND(N(AL26),8)=0, ROUND(N(AO26),8)=0), "Group 5: Flaky | Passed (no var SD = 0) AND Failed (no var SD = 0) | Equal Means",
        IF(AND(ROUND(N(AL26),8)&gt;0, ROUND(N(AO26),8)&gt;0), "Group 6: Flaky | Passed (with var SD &gt; 0 ) AND Failed (with var SD &gt; 0) | Equal Means",
        IF(AND(ROUND(N(AL26),8)=0, ROUND(N(AO26),8)&gt;0), "Group 7: Flaky | Passed (no var SD = 0) AND Failed (with var SD &gt; 0) | Equal Means",
        "Group 8: Flaky | Passed (with var SD &gt; 0 ) AND Failed (no var SD = 0) | Equal Means")))
    ),
    IF(AH26&gt;0,
        IF(N(AL26)&gt;0, "Group 10: Only Passed | With variation (with var SD &gt; 0)", "Group 9: Only Passed | Without variation (no var SD = 0)"),
        IF(AI26&gt;0,
            IF(N(AO26)&gt;0,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6" s="37" t="str">
        <f aca="false">IF(OR(F26="Observed Flaky Test", I26="Observed Flaky Test", S26="Observed Flaky Test", AJ26="Observed Flaky Test"), "Observed Flaky Test", "Non-observed Flaky Test")</f>
        <v>Non-observed Flaky Test</v>
      </c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</row>
    <row r="27" customFormat="false" ht="15.75" hidden="false" customHeight="true" outlineLevel="0" collapsed="false">
      <c r="A27" s="13"/>
      <c r="B27" s="14" t="s">
        <v>76</v>
      </c>
      <c r="C27" s="14" t="s">
        <v>77</v>
      </c>
      <c r="D27" s="15" t="n">
        <v>100</v>
      </c>
      <c r="E27" s="15" t="n">
        <v>0</v>
      </c>
      <c r="F27" s="16" t="str">
        <f aca="false">IF(AND(D27&gt;0, E27&gt;0), "Observed Flaky Test", "Non-observed Flaky Test")</f>
        <v>Non-observed Flaky Test</v>
      </c>
      <c r="G27" s="17" t="n">
        <v>100</v>
      </c>
      <c r="H27" s="17" t="n">
        <v>0</v>
      </c>
      <c r="I27" s="16" t="str">
        <f aca="false">IF(AND(G27&gt;0, H27&gt;0), "Observed Flaky Test", "Non-observed Flaky Test")</f>
        <v>Non-observed Flaky Test</v>
      </c>
      <c r="J27" s="46" t="n">
        <v>8.6687</v>
      </c>
      <c r="K27" s="53" t="n">
        <v>0.004828</v>
      </c>
      <c r="L27" s="19" t="n">
        <f aca="false">IFERROR(K27/J27*100,"N/A")</f>
        <v>0.0556946254917116</v>
      </c>
      <c r="M27" s="18" t="n">
        <v>0</v>
      </c>
      <c r="N27" s="18" t="n">
        <v>0</v>
      </c>
      <c r="O27" s="20" t="str">
        <f aca="false">IFERROR(N27/M27*100,"N/A")</f>
        <v>N/A</v>
      </c>
      <c r="P27" s="48" t="str">
        <f aca="false">IF(AND(G27&gt;0, H27=0), IF(ROUND(K27,8)=0, "Group 9: Only Passed | Without variation (SD Passed = 0)", "Group 10: Only Passed | With variation (SD Passed &gt; 0)"), IF(AND(G27=0, H27&gt;0), IF(ROUND(N27,8)=0, "Group 11: Only Failed | Without variation (SD Failed = 0)", "Group 12: Only Failed | With variation (SD Failed &gt; 0)"), IF(AND(G27&gt;0, H27&gt;0), IF(ROUND(J27,5)&lt;&gt;ROUND(M27,5), IF(AND(ROUND(K27,8)=0, ROUND(N27,8)=0), "Group 1: Flaky | Passed (no variation) AND Failed (no variation) | Different Means", IF(AND(ROUND(K27,8)&gt;0, ROUND(N27,8)&gt;0), "Group 2: Flaky | Passed (with variation) AND Failed (with variation) | Different Means", IF(AND(ROUND(K27,8)=0, ROUND(N27,8)&gt;0), "Group 3: Flaky | Passed (no variation) AND Failed (with variation) | Different Means", "Group 4: Flaky | Passed (with variation) AND Failed (no variation) | Different Means"))), IF(AND(ROUND(K27,8)=0, ROUND(N27,8)=0), "Group 5: Flaky | Passed (no variation) AND Failed (no variation) | Equal Means", IF(AND(ROUND(K27,8)&gt;0, ROUND(N27,8)&gt;0), "Group 6: Flaky | Passed (with variation) AND Failed (with variation) | Equal Means", IF(AND(ROUND(K27,8)=0, ROUND(N27,8)&gt;0),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7" s="22" t="n">
        <v>100</v>
      </c>
      <c r="R27" s="22" t="n">
        <v>0</v>
      </c>
      <c r="S27" s="23" t="str">
        <f aca="false">IF(AND(Q27&gt;0, R27&gt;0), "Observed Flaky Test", "Non-observed Flaky Test")</f>
        <v>Non-observed Flaky Test</v>
      </c>
      <c r="T27" s="55" t="n">
        <v>4408772.8</v>
      </c>
      <c r="U27" s="24" t="n">
        <v>115380.311697</v>
      </c>
      <c r="V27" s="25" t="n">
        <f aca="false">IFERROR(U27/T27*100,"N/A")</f>
        <v>2.61706186576455</v>
      </c>
      <c r="W27" s="22" t="n">
        <v>0</v>
      </c>
      <c r="X27" s="22" t="n">
        <v>0</v>
      </c>
      <c r="Y27" s="27" t="str">
        <f aca="false">IFERROR(X27/W27*100,"N/A")</f>
        <v>N/A</v>
      </c>
      <c r="Z27" s="50" t="str">
        <f aca="false">IF(AND(Q27&gt;0, R27=0), IF(IFERROR(ROUND(V27,8),0)=0, "Group 9: Only Passed | Without variation (no var CV = 0)", "Group 10: Only Passed | With variation (with var CV &gt; 0)"), IF(AND(Q27=0, R27&gt;0), IF(IFERROR(ROUND(Y27,8),0)=0, "Group 11: Only Failed | Without variation (no var CV = 0)", "Group 12: Only Failed | With variation (with var CV &gt; 0)"), IF(AND(Q27&gt;0, R27&gt;0), IF(ROUND(T27,5)&lt;&gt;ROUND(W27,5), IF(AND(IFERROR(ROUND(V27,8),0)=0, IFERROR(ROUND(Y27,8),0)=0), "Group 1: Flaky | Passed (no variation: CV = 0) AND Failed (no variation: CV = 0) | Different Means", IF(AND(IFERROR(ROUND(V27,8),0)&gt;0, IFERROR(ROUND(Y27,8),0)&gt;0), "Group 2: Flaky | Passed (with variation: CV &gt; 0) AND Failed (with variation: CV &gt; 0) | Different Means", IF(AND(IFERROR(ROUND(V27,8),0)=0, IFERROR(ROUND(Y27,8),0)&gt;0), "Group 3: Flaky | Passed (no variation: CV = 0) AND Failed (with variation: CV &gt; 0) | Different Means", "Group 4: Flaky | Passed (with variation: CV &gt; 0) AND Failed (no variation: CV = 0) | Different Means"))), IF(AND(IFERROR(ROUND(V27,8),0)=0, IFERROR(ROUND(Y27,8),0)=0), "Group 5: Flaky | Passed (no var CV = 0) AND Failed (no var CV = 0) | Equal Means", IF(AND(IFERROR(ROUND(V27,8),0)&gt;0, IFERROR(ROUND(Y27,8),0)&gt;0), "Group 6: Flaky | Passed (with var CV &gt; 0) AND Failed (with var CV &gt; 0) | Equal Means", IF(AND(IFERROR(ROUND(V27,8),0)=0, IFERROR(ROUND(Y27,8),0)&gt;0),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7" s="29" t="n">
        <v>2.540559</v>
      </c>
      <c r="AB27" s="29" t="n">
        <v>0.283443</v>
      </c>
      <c r="AC27" s="29" t="n">
        <f aca="false">IFERROR(AB27/AA27*100,"N/A")</f>
        <v>11.1567178719329</v>
      </c>
      <c r="AD27" s="29" t="n">
        <v>0</v>
      </c>
      <c r="AE27" s="29" t="n">
        <v>0</v>
      </c>
      <c r="AF27" s="29" t="str">
        <f aca="false">IFERROR(AE27/AD27*100,"N/A")</f>
        <v>N/A</v>
      </c>
      <c r="AG27" s="51" t="str">
        <f aca="false">IF(AND(Q27&gt;0, R27=0), IF(IFERROR(ROUND(AC27,8),0)=0, "Group 9: Only Passed | Without variation (no var CV = 0)", "Group 10: Only Passed | With variation (with var CV &gt; 0)"), IF(AND(Q27=0, R27&gt;0), IF(IFERROR(ROUND(AF27,8),0)=0, "Group 11: Only Failed | Without variation (no var CV = 0)", "Group 12: Only Failed | With variation (with var CV &gt; 0)"), IF(AND(Q27&gt;0, R27&gt;0), IF(ROUND(AA27,5)&lt;&gt;ROUND(AD27,5), IF(AND(IFERROR(ROUND(AC27,8),0)=0, IFERROR(ROUND(AF27,8),0)=0), "Group 1: Flaky | Passed (no variation: CV = 0) AND Failed (no variation: CV = 0) | Different Means", IF(AND(IFERROR(ROUND(AC27,8),0)&gt;0, IFERROR(ROUND(AF27,8),0)&gt;0), "Group 2: Flaky | Passed (with variation: CV &gt; 0) AND Failed (with variation: CV &gt; 0) | Different Means", IF(AND(IFERROR(ROUND(AC27,8),0)=0, IFERROR(ROUND(AF27,8),0)&gt;0), "Group 3: Flaky | Passed (no variation: CV = 0) AND Failed (with variation: CV &gt; 0) | Different Means", "Group 4: Flaky | Passed (with variation: CV &gt; 0) AND Failed (no variation: CV = 0) | Different Means"))), IF(AND(IFERROR(ROUND(AC27,8),0)=0, IFERROR(ROUND(AF27,8),0)=0), "Group 5: Flaky | Passed (no var CV = 0) AND Failed (no var CV = 0) | Equal Means", IF(AND(IFERROR(ROUND(AC27,8),0)&gt;0, IFERROR(ROUND(AF27,8),0)&gt;0), "Group 6: Flaky | Passed (with var CV &gt; 0) AND Failed (with var CV &gt; 0) | Equal Means", IF(AND(IFERROR(ROUND(AC27,8),0)=0, IFERROR(ROUND(AF27,8),0)&gt;0),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7" s="22" t="n">
        <v>100</v>
      </c>
      <c r="AI27" s="17" t="n">
        <v>0</v>
      </c>
      <c r="AJ27" s="31" t="str">
        <f aca="false">IF(AND(AH27&gt;0, AI27&gt;0), "Observed Flaky Test", "Non-observed Flaky Test")</f>
        <v>Non-observed Flaky Test</v>
      </c>
      <c r="AK27" s="32" t="n">
        <v>4221059.91</v>
      </c>
      <c r="AL27" s="33" t="n">
        <v>39081.1819993531</v>
      </c>
      <c r="AM27" s="33" t="n">
        <f aca="false">IFERROR(AL27/AK27*100,"N/A")</f>
        <v>0.925861817473069</v>
      </c>
      <c r="AN27" s="32" t="n">
        <v>0</v>
      </c>
      <c r="AO27" s="32" t="n">
        <v>0</v>
      </c>
      <c r="AP27" s="35" t="str">
        <f aca="false">IFERROR(AO27/AN27*100,"N/A")</f>
        <v>N/A</v>
      </c>
      <c r="AQ27" s="52" t="str">
        <f aca="false">IF(AND(AH27&gt;0, AI27&gt;0),
    IF(ROUND(N(AK27),5)&lt;&gt;ROUND(N(AN27),5),
        IF(AND(ROUND(N(AL27),8)=0, ROUND(N(AO27),8)=0), "Group 1: Flaky | Passed (no variation: SD = 0) AND Failed (no variation: SD = 0) | Different Means",
        IF(AND(ROUND(N(AL27),8)&gt;0, ROUND(N(AO27),8)&gt;0), "Group 2: Flaky | Passed (with variation: SD &gt; 0) AND Failed (with variation: SD &gt; 0) | Different Means",
        IF(AND(ROUND(N(AL27),8)=0, ROUND(N(AO27),8)&gt;0), "Group 3: Flaky | Passed (no variation: SD = 0) AND Failed (with variation: SD &gt; 0) | Different Means",
        "Group 4: Flaky | Passed (with variation: SD &gt; 0) AND Failed (no variation: SD = 0) | Different Means"))),
        IF(AND(ROUND(N(AL27),8)=0, ROUND(N(AO27),8)=0), "Group 5: Flaky | Passed (no var SD = 0) AND Failed (no var SD = 0) | Equal Means",
        IF(AND(ROUND(N(AL27),8)&gt;0, ROUND(N(AO27),8)&gt;0), "Group 6: Flaky | Passed (with var SD &gt; 0 ) AND Failed (with var SD &gt; 0) | Equal Means",
        IF(AND(ROUND(N(AL27),8)=0, ROUND(N(AO27),8)&gt;0), "Group 7: Flaky | Passed (no var SD = 0) AND Failed (with var SD &gt; 0) | Equal Means",
        "Group 8: Flaky | Passed (with var SD &gt; 0 ) AND Failed (no var SD = 0) | Equal Means")))
    ),
    IF(AH27&gt;0,
        IF(N(AL27)&gt;0, "Group 10: Only Passed | With variation (with var SD &gt; 0)", "Group 9: Only Passed | Without variation (no var SD = 0)"),
        IF(AI27&gt;0,
            IF(N(AO27)&gt;0,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7" s="37" t="str">
        <f aca="false">IF(OR(F27="Observed Flaky Test", I27="Observed Flaky Test", S27="Observed Flaky Test", AJ27="Observed Flaky Test"), "Observed Flaky Test", "Non-observed Flaky Test")</f>
        <v>Non-observed Flaky Test</v>
      </c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</row>
    <row r="28" customFormat="false" ht="15.75" hidden="false" customHeight="true" outlineLevel="0" collapsed="false">
      <c r="A28" s="13"/>
      <c r="B28" s="14" t="s">
        <v>78</v>
      </c>
      <c r="C28" s="14" t="s">
        <v>79</v>
      </c>
      <c r="D28" s="15" t="n">
        <v>0</v>
      </c>
      <c r="E28" s="15" t="n">
        <v>100</v>
      </c>
      <c r="F28" s="16" t="str">
        <f aca="false">IF(AND(D28&gt;0, E28&gt;0), "Observed Flaky Test", "Non-observed Flaky Test")</f>
        <v>Non-observed Flaky Test</v>
      </c>
      <c r="G28" s="17" t="n">
        <v>96</v>
      </c>
      <c r="H28" s="17" t="n">
        <v>4</v>
      </c>
      <c r="I28" s="61" t="str">
        <f aca="false">IF(AND(G28&gt;0, H28&gt;0), "Observed Flaky Test", "Non-observed Flaky Test")</f>
        <v>Observed Flaky Test</v>
      </c>
      <c r="J28" s="18" t="n">
        <v>8.77</v>
      </c>
      <c r="K28" s="18" t="n">
        <v>0</v>
      </c>
      <c r="L28" s="19" t="n">
        <f aca="false">IFERROR(K28/J28*100,"N/A")</f>
        <v>0</v>
      </c>
      <c r="M28" s="66" t="n">
        <v>8.605</v>
      </c>
      <c r="N28" s="47" t="n">
        <v>0.00866</v>
      </c>
      <c r="O28" s="20" t="n">
        <f aca="false">IFERROR(N28/M28*100,"N/A")</f>
        <v>0.100639163277164</v>
      </c>
      <c r="P28" s="67" t="str">
        <f aca="false">IF(AND(G28&gt;0, H28=0), IF(ROUND(K28,8)=0, "Group 9: Only Passed | Without variation (SD Passed = 0)", "Group 10: Only Passed | With variation (SD Passed &gt; 0)"), IF(AND(G28=0, H28&gt;0), IF(ROUND(N28,8)=0, "Group 11: Only Failed | Without variation (SD Failed = 0)", "Group 12: Only Failed | With variation (SD Failed &gt; 0)"), IF(AND(G28&gt;0, H28&gt;0), IF(ROUND(J28,5)&lt;&gt;ROUND(M28,5), IF(AND(ROUND(K28,8)=0, ROUND(N28,8)=0), "Group 1: Flaky | Passed (no variation) AND Failed (no variation) | Different Means", IF(AND(ROUND(K28,8)&gt;0, ROUND(N28,8)&gt;0), "Group 2: Flaky | Passed (with variation) AND Failed (with variation) | Different Means", IF(AND(ROUND(K28,8)=0, ROUND(N28,8)&gt;0), "Group 3: Flaky | Passed (no variation) AND Failed (with variation) | Different Means", "Group 4: Flaky | Passed (with variation) AND Failed (no variation) | Different Means"))), IF(AND(ROUND(K28,8)=0, ROUND(N28,8)=0), "Group 5: Flaky | Passed (no variation) AND Failed (no variation) | Equal Means", IF(AND(ROUND(K28,8)&gt;0, ROUND(N28,8)&gt;0), "Group 6: Flaky | Passed (with variation) AND Failed (with variation) | Equal Means", IF(AND(ROUND(K28,8)=0, ROUND(N28,8)&gt;0),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8" s="22" t="n">
        <v>76</v>
      </c>
      <c r="R28" s="22" t="n">
        <v>24</v>
      </c>
      <c r="S28" s="43" t="str">
        <f aca="false">IF(AND(Q28&gt;0, R28&gt;0), "Observed Flaky Test", "Non-observed Flaky Test")</f>
        <v>Observed Flaky Test</v>
      </c>
      <c r="T28" s="24" t="n">
        <v>4557709.578947</v>
      </c>
      <c r="U28" s="26" t="n">
        <v>121.816941</v>
      </c>
      <c r="V28" s="25" t="n">
        <f aca="false">IFERROR(U28/T28*100,"N/A")</f>
        <v>0.00267276663617835</v>
      </c>
      <c r="W28" s="58" t="n">
        <v>5211396375</v>
      </c>
      <c r="X28" s="24" t="n">
        <v>87.590357</v>
      </c>
      <c r="Y28" s="27" t="n">
        <f aca="false">IFERROR(X28/W28*100,"N/A")</f>
        <v>1.68074640071875E-006</v>
      </c>
      <c r="Z28" s="68" t="str">
        <f aca="false">IF(AND(Q28&gt;0, R28=0), IF(IFERROR(ROUND(V28,8),0)=0, "Group 9: Only Passed | Without variation (no var CV = 0)", "Group 10: Only Passed | With variation (with var CV &gt; 0)"), IF(AND(Q28=0, R28&gt;0), IF(IFERROR(ROUND(Y28,8),0)=0, "Group 11: Only Failed | Without variation (no var CV = 0)", "Group 12: Only Failed | With variation (with var CV &gt; 0)"), IF(AND(Q28&gt;0, R28&gt;0), IF(ROUND(T28,5)&lt;&gt;ROUND(W28,5), IF(AND(IFERROR(ROUND(V28,8),0)=0, IFERROR(ROUND(Y28,8),0)=0), "Group 1: Flaky | Passed (no variation: CV = 0) AND Failed (no variation: CV = 0) | Different Means", IF(AND(IFERROR(ROUND(V28,8),0)&gt;0, IFERROR(ROUND(Y28,8),0)&gt;0), "Group 2: Flaky | Passed (with variation: CV &gt; 0) AND Failed (with variation: CV &gt; 0) | Different Means", IF(AND(IFERROR(ROUND(V28,8),0)=0, IFERROR(ROUND(Y28,8),0)&gt;0), "Group 3: Flaky | Passed (no variation: CV = 0) AND Failed (with variation: CV &gt; 0) | Different Means", "Group 4: Flaky | Passed (with variation: CV &gt; 0) AND Failed (no variation: CV = 0) | Different Means"))), IF(AND(IFERROR(ROUND(V28,8),0)=0, IFERROR(ROUND(Y28,8),0)=0), "Group 5: Flaky | Passed (no var CV = 0) AND Failed (no var CV = 0) | Equal Means", IF(AND(IFERROR(ROUND(V28,8),0)&gt;0, IFERROR(ROUND(Y28,8),0)&gt;0), "Group 6: Flaky | Passed (with var CV &gt; 0) AND Failed (with var CV &gt; 0) | Equal Means", IF(AND(IFERROR(ROUND(V28,8),0)=0, IFERROR(ROUND(Y28,8),0)&gt;0),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8" s="29" t="n">
        <v>2.943482</v>
      </c>
      <c r="AB28" s="29" t="n">
        <v>0.349461</v>
      </c>
      <c r="AC28" s="29" t="n">
        <f aca="false">IFERROR(AB28/AA28*100,"N/A")</f>
        <v>11.8723674885731</v>
      </c>
      <c r="AD28" s="29" t="n">
        <v>2.674483</v>
      </c>
      <c r="AE28" s="29" t="n">
        <v>0.066759</v>
      </c>
      <c r="AF28" s="29" t="n">
        <f aca="false">IFERROR(AE28/AD28*100,"N/A")</f>
        <v>2.49614598410235</v>
      </c>
      <c r="AG28" s="36" t="str">
        <f aca="false">IF(AND(Q28&gt;0, R28=0), IF(IFERROR(ROUND(AC28,8),0)=0, "Group 9: Only Passed | Without variation (no var CV = 0)", "Group 10: Only Passed | With variation (with var CV &gt; 0)"), IF(AND(Q28=0, R28&gt;0), IF(IFERROR(ROUND(AF28,8),0)=0, "Group 11: Only Failed | Without variation (no var CV = 0)", "Group 12: Only Failed | With variation (with var CV &gt; 0)"), IF(AND(Q28&gt;0, R28&gt;0), IF(ROUND(AA28,5)&lt;&gt;ROUND(AD28,5), IF(AND(IFERROR(ROUND(AC28,8),0)=0, IFERROR(ROUND(AF28,8),0)=0), "Group 1: Flaky | Passed (no variation: CV = 0) AND Failed (no variation: CV = 0) | Different Means", IF(AND(IFERROR(ROUND(AC28,8),0)&gt;0, IFERROR(ROUND(AF28,8),0)&gt;0), "Group 2: Flaky | Passed (with variation: CV &gt; 0) AND Failed (with variation: CV &gt; 0) | Different Means", IF(AND(IFERROR(ROUND(AC28,8),0)=0, IFERROR(ROUND(AF28,8),0)&gt;0), "Group 3: Flaky | Passed (no variation: CV = 0) AND Failed (with variation: CV &gt; 0) | Different Means", "Group 4: Flaky | Passed (with variation: CV &gt; 0) AND Failed (no variation: CV = 0) | Different Means"))), IF(AND(IFERROR(ROUND(AC28,8),0)=0, IFERROR(ROUND(AF28,8),0)=0), "Group 5: Flaky | Passed (no var CV = 0) AND Failed (no var CV = 0) | Equal Means", IF(AND(IFERROR(ROUND(AC28,8),0)&gt;0, IFERROR(ROUND(AF28,8),0)&gt;0), "Group 6: Flaky | Passed (with var CV &gt; 0) AND Failed (with var CV &gt; 0) | Equal Means", IF(AND(IFERROR(ROUND(AC28,8),0)=0, IFERROR(ROUND(AF28,8),0)&gt;0),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8" s="22" t="n">
        <v>95</v>
      </c>
      <c r="AI28" s="17" t="n">
        <v>5</v>
      </c>
      <c r="AJ28" s="39" t="str">
        <f aca="false">IF(AND(AH28&gt;0, AI28&gt;0), "Observed Flaky Test", "Non-observed Flaky Test")</f>
        <v>Observed Flaky Test</v>
      </c>
      <c r="AK28" s="59" t="n">
        <v>3008641.37894736</v>
      </c>
      <c r="AL28" s="40" t="n">
        <v>82.2778348357755</v>
      </c>
      <c r="AM28" s="33" t="n">
        <f aca="false">IFERROR(AL28/AK28*100,"N/A")</f>
        <v>0.0027347172518302</v>
      </c>
      <c r="AN28" s="32" t="n">
        <v>2797747</v>
      </c>
      <c r="AO28" s="40" t="n">
        <v>25.7390753524675</v>
      </c>
      <c r="AP28" s="35" t="n">
        <f aca="false">IFERROR(AO28/AN28*100,"N/A")</f>
        <v>0.000919992956920962</v>
      </c>
      <c r="AQ28" s="63" t="str">
        <f aca="false">IF(AND(AH28&gt;0, AI28&gt;0),
    IF(ROUND(N(AK28),5)&lt;&gt;ROUND(N(AN28),5),
        IF(AND(ROUND(N(AL28),8)=0, ROUND(N(AO28),8)=0), "Group 1: Flaky | Passed (no variation: SD = 0) AND Failed (no variation: SD = 0) | Different Means",
        IF(AND(ROUND(N(AL28),8)&gt;0, ROUND(N(AO28),8)&gt;0), "Group 2: Flaky | Passed (with variation: SD &gt; 0) AND Failed (with variation: SD &gt; 0) | Different Means",
        IF(AND(ROUND(N(AL28),8)=0, ROUND(N(AO28),8)&gt;0), "Group 3: Flaky | Passed (no variation: SD = 0) AND Failed (with variation: SD &gt; 0) | Different Means",
        "Group 4: Flaky | Passed (with variation: SD &gt; 0) AND Failed (no variation: SD = 0) | Different Means"))),
        IF(AND(ROUND(N(AL28),8)=0, ROUND(N(AO28),8)=0), "Group 5: Flaky | Passed (no var SD = 0) AND Failed (no var SD = 0) | Equal Means",
        IF(AND(ROUND(N(AL28),8)&gt;0, ROUND(N(AO28),8)&gt;0), "Group 6: Flaky | Passed (with var SD &gt; 0 ) AND Failed (with var SD &gt; 0) | Equal Means",
        IF(AND(ROUND(N(AL28),8)=0, ROUND(N(AO28),8)&gt;0), "Group 7: Flaky | Passed (no var SD = 0) AND Failed (with var SD &gt; 0) | Equal Means",
        "Group 8: Flaky | Passed (with var SD &gt; 0 ) AND Failed (no var SD = 0) | Equal Means")))
    ),
    IF(AH28&gt;0,
        IF(N(AL28)&gt;0, "Group 10: Only Passed | With variation (with var SD &gt; 0)", "Group 9: Only Passed | Without variation (no var SD = 0)"),
        IF(AI28&gt;0,
            IF(N(AO28)&gt;0,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28" s="42" t="str">
        <f aca="false">IF(OR(F28="Observed Flaky Test", I28="Observed Flaky Test", S28="Observed Flaky Test", AJ28="Observed Flaky Test"), "Observed Flaky Test", "Non-observed Flaky Test")</f>
        <v>Observed Flaky Test</v>
      </c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</row>
    <row r="29" customFormat="false" ht="15.75" hidden="false" customHeight="true" outlineLevel="0" collapsed="false">
      <c r="A29" s="13"/>
      <c r="B29" s="14" t="s">
        <v>80</v>
      </c>
      <c r="C29" s="14" t="s">
        <v>81</v>
      </c>
      <c r="D29" s="15" t="n">
        <v>0</v>
      </c>
      <c r="E29" s="15" t="n">
        <v>100</v>
      </c>
      <c r="F29" s="16" t="str">
        <f aca="false">IF(AND(D29&gt;0, E29&gt;0), "Observed Flaky Test", "Non-observed Flaky Test")</f>
        <v>Non-observed Flaky Test</v>
      </c>
      <c r="G29" s="17" t="n">
        <v>0</v>
      </c>
      <c r="H29" s="17" t="n">
        <v>100</v>
      </c>
      <c r="I29" s="16" t="str">
        <f aca="false">IF(AND(G29&gt;0, H29&gt;0), "Observed Flaky Test", "Non-observed Flaky Test")</f>
        <v>Non-observed Flaky Test</v>
      </c>
      <c r="J29" s="18" t="n">
        <v>0</v>
      </c>
      <c r="K29" s="18" t="n">
        <v>0</v>
      </c>
      <c r="L29" s="19" t="str">
        <f aca="false">IFERROR(K29/J29*100,"N/A")</f>
        <v>N/A</v>
      </c>
      <c r="M29" s="46" t="n">
        <v>7.8806</v>
      </c>
      <c r="N29" s="53" t="n">
        <v>0.002375</v>
      </c>
      <c r="O29" s="20" t="n">
        <f aca="false">IFERROR(N29/M29*100,"N/A")</f>
        <v>0.030137299190417</v>
      </c>
      <c r="P29" s="54" t="str">
        <f aca="false">IF(AND(G29&gt;0, H29=0), IF(ROUND(K29,8)=0, "Group 9: Only Passed | Without variation (SD Passed = 0)", "Group 10: Only Passed | With variation (SD Passed &gt; 0)"), IF(AND(G29=0, H29&gt;0), IF(ROUND(N29,8)=0, "Group 11: Only Failed | Without variation (SD Failed = 0)", "Group 12: Only Failed | With variation (SD Failed &gt; 0)"), IF(AND(G29&gt;0, H29&gt;0), IF(ROUND(J29,5)&lt;&gt;ROUND(M29,5), IF(AND(ROUND(K29,8)=0, ROUND(N29,8)=0), "Group 1: Flaky | Passed (no variation) AND Failed (no variation) | Different Means", IF(AND(ROUND(K29,8)&gt;0, ROUND(N29,8)&gt;0), "Group 2: Flaky | Passed (with variation) AND Failed (with variation) | Different Means", IF(AND(ROUND(K29,8)=0, ROUND(N29,8)&gt;0), "Group 3: Flaky | Passed (no variation) AND Failed (with variation) | Different Means", "Group 4: Flaky | Passed (with variation) AND Failed (no variation) | Different Means"))), IF(AND(ROUND(K29,8)=0, ROUND(N29,8)=0), "Group 5: Flaky | Passed (no variation) AND Failed (no variation) | Equal Means", IF(AND(ROUND(K29,8)&gt;0, ROUND(N29,8)&gt;0), "Group 6: Flaky | Passed (with variation) AND Failed (with variation) | Equal Means", IF(AND(ROUND(K29,8)=0, ROUND(N29,8)&gt;0), "Group 7: Flaky | Passed (no variation) AND Failed (with variation) | Equal Means", "Group 8: Flaky | Passed (with variation) AND Failed (no variation) | Equal Means")))), "Invalid")))</f>
        <v>Group 12: Only Failed | With variation (SD Failed &gt; 0)</v>
      </c>
      <c r="Q29" s="22" t="n">
        <v>0</v>
      </c>
      <c r="R29" s="22" t="n">
        <v>100</v>
      </c>
      <c r="S29" s="23" t="str">
        <f aca="false">IF(AND(Q29&gt;0, R29&gt;0), "Observed Flaky Test", "Non-observed Flaky Test")</f>
        <v>Non-observed Flaky Test</v>
      </c>
      <c r="T29" s="24" t="n">
        <v>0</v>
      </c>
      <c r="U29" s="24" t="n">
        <v>0</v>
      </c>
      <c r="V29" s="25" t="str">
        <f aca="false">IFERROR(U29/T29*100,"N/A")</f>
        <v>N/A</v>
      </c>
      <c r="W29" s="22" t="n">
        <v>3355981.45</v>
      </c>
      <c r="X29" s="24" t="n">
        <v>444.173716</v>
      </c>
      <c r="Y29" s="27" t="n">
        <f aca="false">IFERROR(X29/W29*100,"N/A")</f>
        <v>0.0132352851950359</v>
      </c>
      <c r="Z29" s="28" t="str">
        <f aca="false">IF(AND(Q29&gt;0, R29=0), IF(IFERROR(ROUND(V29,8),0)=0, "Group 9: Only Passed | Without variation (no var CV = 0)", "Group 10: Only Passed | With variation (with var CV &gt; 0)"), IF(AND(Q29=0, R29&gt;0), IF(IFERROR(ROUND(Y29,8),0)=0, "Group 11: Only Failed | Without variation (no var CV = 0)", "Group 12: Only Failed | With variation (with var CV &gt; 0)"), IF(AND(Q29&gt;0, R29&gt;0), IF(ROUND(T29,5)&lt;&gt;ROUND(W29,5), IF(AND(IFERROR(ROUND(V29,8),0)=0, IFERROR(ROUND(Y29,8),0)=0), "Group 1: Flaky | Passed (no variation: CV = 0) AND Failed (no variation: CV = 0) | Different Means", IF(AND(IFERROR(ROUND(V29,8),0)&gt;0, IFERROR(ROUND(Y29,8),0)&gt;0), "Group 2: Flaky | Passed (with variation: CV &gt; 0) AND Failed (with variation: CV &gt; 0) | Different Means", IF(AND(IFERROR(ROUND(V29,8),0)=0, IFERROR(ROUND(Y29,8),0)&gt;0), "Group 3: Flaky | Passed (no variation: CV = 0) AND Failed (with variation: CV &gt; 0) | Different Means", "Group 4: Flaky | Passed (with variation: CV &gt; 0) AND Failed (no variation: CV = 0) | Different Means"))), IF(AND(IFERROR(ROUND(V29,8),0)=0, IFERROR(ROUND(Y29,8),0)=0), "Group 5: Flaky | Passed (no var CV = 0) AND Failed (no var CV = 0) | Equal Means", IF(AND(IFERROR(ROUND(V29,8),0)&gt;0, IFERROR(ROUND(Y29,8),0)&gt;0), "Group 6: Flaky | Passed (with var CV &gt; 0) AND Failed (with var CV &gt; 0) | Equal Means", IF(AND(IFERROR(ROUND(V29,8),0)=0, IFERROR(ROUND(Y29,8),0)&gt;0),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29" s="29" t="n">
        <v>0</v>
      </c>
      <c r="AB29" s="29" t="n">
        <v>0</v>
      </c>
      <c r="AC29" s="29" t="str">
        <f aca="false">IFERROR(AB29/AA29*100,"N/A")</f>
        <v>N/A</v>
      </c>
      <c r="AD29" s="29" t="n">
        <v>2.267479</v>
      </c>
      <c r="AE29" s="29" t="n">
        <v>0.133613</v>
      </c>
      <c r="AF29" s="29" t="n">
        <f aca="false">IFERROR(AE29/AD29*100,"N/A")</f>
        <v>5.89257938000749</v>
      </c>
      <c r="AG29" s="30" t="str">
        <f aca="false">IF(AND(Q29&gt;0, R29=0), IF(IFERROR(ROUND(AC29,8),0)=0, "Group 9: Only Passed | Without variation (no var CV = 0)", "Group 10: Only Passed | With variation (with var CV &gt; 0)"), IF(AND(Q29=0, R29&gt;0), IF(IFERROR(ROUND(AF29,8),0)=0, "Group 11: Only Failed | Without variation (no var CV = 0)", "Group 12: Only Failed | With variation (with var CV &gt; 0)"), IF(AND(Q29&gt;0, R29&gt;0), IF(ROUND(AA29,5)&lt;&gt;ROUND(AD29,5), IF(AND(IFERROR(ROUND(AC29,8),0)=0, IFERROR(ROUND(AF29,8),0)=0), "Group 1: Flaky | Passed (no variation: CV = 0) AND Failed (no variation: CV = 0) | Different Means", IF(AND(IFERROR(ROUND(AC29,8),0)&gt;0, IFERROR(ROUND(AF29,8),0)&gt;0), "Group 2: Flaky | Passed (with variation: CV &gt; 0) AND Failed (with variation: CV &gt; 0) | Different Means", IF(AND(IFERROR(ROUND(AC29,8),0)=0, IFERROR(ROUND(AF29,8),0)&gt;0), "Group 3: Flaky | Passed (no variation: CV = 0) AND Failed (with variation: CV &gt; 0) | Different Means", "Group 4: Flaky | Passed (with variation: CV &gt; 0) AND Failed (no variation: CV = 0) | Different Means"))), IF(AND(IFERROR(ROUND(AC29,8),0)=0, IFERROR(ROUND(AF29,8),0)=0), "Group 5: Flaky | Passed (no var CV = 0) AND Failed (no var CV = 0) | Equal Means", IF(AND(IFERROR(ROUND(AC29,8),0)&gt;0, IFERROR(ROUND(AF29,8),0)&gt;0), "Group 6: Flaky | Passed (with var CV &gt; 0) AND Failed (with var CV &gt; 0) | Equal Means", IF(AND(IFERROR(ROUND(AC29,8),0)=0, IFERROR(ROUND(AF29,8),0)&gt;0),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29" s="22" t="n">
        <v>0</v>
      </c>
      <c r="AI29" s="17" t="n">
        <v>100</v>
      </c>
      <c r="AJ29" s="31" t="str">
        <f aca="false">IF(AND(AH29&gt;0, AI29&gt;0), "Observed Flaky Test", "Non-observed Flaky Test")</f>
        <v>Non-observed Flaky Test</v>
      </c>
      <c r="AK29" s="32" t="n">
        <v>0</v>
      </c>
      <c r="AL29" s="32" t="n">
        <v>0</v>
      </c>
      <c r="AM29" s="33" t="str">
        <f aca="false">IFERROR(AL29/AK29*100,"N/A")</f>
        <v>N/A</v>
      </c>
      <c r="AN29" s="32" t="n">
        <v>1650050.56</v>
      </c>
      <c r="AO29" s="57" t="n">
        <v>1811.89402727107</v>
      </c>
      <c r="AP29" s="35" t="n">
        <f aca="false">IFERROR(AO29/AN29*100,"N/A")</f>
        <v>0.109808394433142</v>
      </c>
      <c r="AQ29" s="36" t="str">
        <f aca="false">IF(AND(AH29&gt;0, AI29&gt;0),
    IF(ROUND(N(AK29),5)&lt;&gt;ROUND(N(AN29),5),
        IF(AND(ROUND(N(AL29),8)=0, ROUND(N(AO29),8)=0), "Group 1: Flaky | Passed (no variation: SD = 0) AND Failed (no variation: SD = 0) | Different Means",
        IF(AND(ROUND(N(AL29),8)&gt;0, ROUND(N(AO29),8)&gt;0), "Group 2: Flaky | Passed (with variation: SD &gt; 0) AND Failed (with variation: SD &gt; 0) | Different Means",
        IF(AND(ROUND(N(AL29),8)=0, ROUND(N(AO29),8)&gt;0), "Group 3: Flaky | Passed (no variation: SD = 0) AND Failed (with variation: SD &gt; 0) | Different Means",
        "Group 4: Flaky | Passed (with variation: SD &gt; 0) AND Failed (no variation: SD = 0) | Different Means"))),
        IF(AND(ROUND(N(AL29),8)=0, ROUND(N(AO29),8)=0), "Group 5: Flaky | Passed (no var SD = 0) AND Failed (no var SD = 0) | Equal Means",
        IF(AND(ROUND(N(AL29),8)&gt;0, ROUND(N(AO29),8)&gt;0), "Group 6: Flaky | Passed (with var SD &gt; 0 ) AND Failed (with var SD &gt; 0) | Equal Means",
        IF(AND(ROUND(N(AL29),8)=0, ROUND(N(AO29),8)&gt;0), "Group 7: Flaky | Passed (no var SD = 0) AND Failed (with var SD &gt; 0) | Equal Means",
        "Group 8: Flaky | Passed (with var SD &gt; 0 ) AND Failed (no var SD = 0) | Equal Means")))
    ),
    IF(AH29&gt;0,
        IF(N(AL29)&gt;0, "Group 10: Only Passed | With variation (with var SD &gt; 0)", "Group 9: Only Passed | Without variation (no var SD = 0)"),
        IF(AI29&gt;0,
            IF(N(AO29)&gt;0,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9" s="37" t="str">
        <f aca="false">IF(OR(F29="Observed Flaky Test", I29="Observed Flaky Test", S29="Observed Flaky Test", AJ29="Observed Flaky Test"), "Observed Flaky Test", "Non-observed Flaky Test")</f>
        <v>Non-observed Flaky Test</v>
      </c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</row>
    <row r="30" customFormat="false" ht="15.75" hidden="false" customHeight="true" outlineLevel="0" collapsed="false">
      <c r="A30" s="13"/>
      <c r="B30" s="14" t="s">
        <v>82</v>
      </c>
      <c r="C30" s="14" t="s">
        <v>83</v>
      </c>
      <c r="D30" s="15" t="n">
        <v>100</v>
      </c>
      <c r="E30" s="15" t="n">
        <v>0</v>
      </c>
      <c r="F30" s="16" t="str">
        <f aca="false">IF(AND(D30&gt;0, E30&gt;0), "Observed Flaky Test", "Non-observed Flaky Test")</f>
        <v>Non-observed Flaky Test</v>
      </c>
      <c r="G30" s="17" t="n">
        <v>100</v>
      </c>
      <c r="H30" s="17" t="n">
        <v>0</v>
      </c>
      <c r="I30" s="16" t="str">
        <f aca="false">IF(AND(G30&gt;0, H30&gt;0), "Observed Flaky Test", "Non-observed Flaky Test")</f>
        <v>Non-observed Flaky Test</v>
      </c>
      <c r="J30" s="46" t="n">
        <v>7.8793</v>
      </c>
      <c r="K30" s="53" t="n">
        <v>0.002551</v>
      </c>
      <c r="L30" s="19" t="n">
        <f aca="false">IFERROR(K30/J30*100,"N/A")</f>
        <v>0.0323759724848654</v>
      </c>
      <c r="M30" s="18" t="n">
        <v>0</v>
      </c>
      <c r="N30" s="18" t="n">
        <v>0</v>
      </c>
      <c r="O30" s="20" t="str">
        <f aca="false">IFERROR(N30/M30*100,"N/A")</f>
        <v>N/A</v>
      </c>
      <c r="P30" s="48" t="str">
        <f aca="false">IF(AND(G30&gt;0, H30=0), IF(ROUND(K30,8)=0, "Group 9: Only Passed | Without variation (SD Passed = 0)", "Group 10: Only Passed | With variation (SD Passed &gt; 0)"), IF(AND(G30=0, H30&gt;0), IF(ROUND(N30,8)=0, "Group 11: Only Failed | Without variation (SD Failed = 0)", "Group 12: Only Failed | With variation (SD Failed &gt; 0)"), IF(AND(G30&gt;0, H30&gt;0), IF(ROUND(J30,5)&lt;&gt;ROUND(M30,5), IF(AND(ROUND(K30,8)=0, ROUND(N30,8)=0), "Group 1: Flaky | Passed (no variation) AND Failed (no variation) | Different Means", IF(AND(ROUND(K30,8)&gt;0, ROUND(N30,8)&gt;0), "Group 2: Flaky | Passed (with variation) AND Failed (with variation) | Different Means", IF(AND(ROUND(K30,8)=0, ROUND(N30,8)&gt;0), "Group 3: Flaky | Passed (no variation) AND Failed (with variation) | Different Means", "Group 4: Flaky | Passed (with variation) AND Failed (no variation) | Different Means"))), IF(AND(ROUND(K30,8)=0, ROUND(N30,8)=0), "Group 5: Flaky | Passed (no variation) AND Failed (no variation) | Equal Means", IF(AND(ROUND(K30,8)&gt;0, ROUND(N30,8)&gt;0), "Group 6: Flaky | Passed (with variation) AND Failed (with variation) | Equal Means", IF(AND(ROUND(K30,8)=0, ROUND(N30,8)&gt;0),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30" s="22" t="n">
        <v>100</v>
      </c>
      <c r="R30" s="22" t="n">
        <v>0</v>
      </c>
      <c r="S30" s="23" t="str">
        <f aca="false">IF(AND(Q30&gt;0, R30&gt;0), "Observed Flaky Test", "Non-observed Flaky Test")</f>
        <v>Non-observed Flaky Test</v>
      </c>
      <c r="T30" s="24" t="n">
        <v>2683739.35</v>
      </c>
      <c r="U30" s="24" t="n">
        <v>440.931438</v>
      </c>
      <c r="V30" s="25" t="n">
        <f aca="false">IFERROR(U30/T30*100,"N/A")</f>
        <v>0.0164297415097334</v>
      </c>
      <c r="W30" s="22" t="n">
        <v>0</v>
      </c>
      <c r="X30" s="22" t="n">
        <v>0</v>
      </c>
      <c r="Y30" s="27" t="str">
        <f aca="false">IFERROR(X30/W30*100,"N/A")</f>
        <v>N/A</v>
      </c>
      <c r="Z30" s="50" t="str">
        <f aca="false">IF(AND(Q30&gt;0, R30=0), IF(IFERROR(ROUND(V30,8),0)=0, "Group 9: Only Passed | Without variation (no var CV = 0)", "Group 10: Only Passed | With variation (with var CV &gt; 0)"), IF(AND(Q30=0, R30&gt;0), IF(IFERROR(ROUND(Y30,8),0)=0, "Group 11: Only Failed | Without variation (no var CV = 0)", "Group 12: Only Failed | With variation (with var CV &gt; 0)"), IF(AND(Q30&gt;0, R30&gt;0), IF(ROUND(T30,5)&lt;&gt;ROUND(W30,5), IF(AND(IFERROR(ROUND(V30,8),0)=0, IFERROR(ROUND(Y30,8),0)=0), "Group 1: Flaky | Passed (no variation: CV = 0) AND Failed (no variation: CV = 0) | Different Means", IF(AND(IFERROR(ROUND(V30,8),0)&gt;0, IFERROR(ROUND(Y30,8),0)&gt;0), "Group 2: Flaky | Passed (with variation: CV &gt; 0) AND Failed (with variation: CV &gt; 0) | Different Means", IF(AND(IFERROR(ROUND(V30,8),0)=0, IFERROR(ROUND(Y30,8),0)&gt;0), "Group 3: Flaky | Passed (no variation: CV = 0) AND Failed (with variation: CV &gt; 0) | Different Means", "Group 4: Flaky | Passed (with variation: CV &gt; 0) AND Failed (no variation: CV = 0) | Different Means"))), IF(AND(IFERROR(ROUND(V30,8),0)=0, IFERROR(ROUND(Y30,8),0)=0), "Group 5: Flaky | Passed (no var CV = 0) AND Failed (no var CV = 0) | Equal Means", IF(AND(IFERROR(ROUND(V30,8),0)&gt;0, IFERROR(ROUND(Y30,8),0)&gt;0), "Group 6: Flaky | Passed (with var CV &gt; 0) AND Failed (with var CV &gt; 0) | Equal Means", IF(AND(IFERROR(ROUND(V30,8),0)=0, IFERROR(ROUND(Y30,8),0)&gt;0),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0" s="29" t="n">
        <v>2.16381</v>
      </c>
      <c r="AB30" s="29" t="n">
        <v>0.168109</v>
      </c>
      <c r="AC30" s="29" t="n">
        <f aca="false">IFERROR(AB30/AA30*100,"N/A")</f>
        <v>7.76912020926052</v>
      </c>
      <c r="AD30" s="29" t="n">
        <v>0</v>
      </c>
      <c r="AE30" s="29" t="n">
        <v>0</v>
      </c>
      <c r="AF30" s="29" t="str">
        <f aca="false">IFERROR(AE30/AD30*100,"N/A")</f>
        <v>N/A</v>
      </c>
      <c r="AG30" s="51" t="str">
        <f aca="false">IF(AND(Q30&gt;0, R30=0), IF(IFERROR(ROUND(AC30,8),0)=0, "Group 9: Only Passed | Without variation (no var CV = 0)", "Group 10: Only Passed | With variation (with var CV &gt; 0)"), IF(AND(Q30=0, R30&gt;0), IF(IFERROR(ROUND(AF30,8),0)=0, "Group 11: Only Failed | Without variation (no var CV = 0)", "Group 12: Only Failed | With variation (with var CV &gt; 0)"), IF(AND(Q30&gt;0, R30&gt;0), IF(ROUND(AA30,5)&lt;&gt;ROUND(AD30,5), IF(AND(IFERROR(ROUND(AC30,8),0)=0, IFERROR(ROUND(AF30,8),0)=0), "Group 1: Flaky | Passed (no variation: CV = 0) AND Failed (no variation: CV = 0) | Different Means", IF(AND(IFERROR(ROUND(AC30,8),0)&gt;0, IFERROR(ROUND(AF30,8),0)&gt;0), "Group 2: Flaky | Passed (with variation: CV &gt; 0) AND Failed (with variation: CV &gt; 0) | Different Means", IF(AND(IFERROR(ROUND(AC30,8),0)=0, IFERROR(ROUND(AF30,8),0)&gt;0), "Group 3: Flaky | Passed (no variation: CV = 0) AND Failed (with variation: CV &gt; 0) | Different Means", "Group 4: Flaky | Passed (with variation: CV &gt; 0) AND Failed (no variation: CV = 0) | Different Means"))), IF(AND(IFERROR(ROUND(AC30,8),0)=0, IFERROR(ROUND(AF30,8),0)=0), "Group 5: Flaky | Passed (no var CV = 0) AND Failed (no var CV = 0) | Equal Means", IF(AND(IFERROR(ROUND(AC30,8),0)&gt;0, IFERROR(ROUND(AF30,8),0)&gt;0), "Group 6: Flaky | Passed (with var CV &gt; 0) AND Failed (with var CV &gt; 0) | Equal Means", IF(AND(IFERROR(ROUND(AC30,8),0)=0, IFERROR(ROUND(AF30,8),0)&gt;0),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0" s="22" t="n">
        <v>100</v>
      </c>
      <c r="AI30" s="17" t="n">
        <v>0</v>
      </c>
      <c r="AJ30" s="31" t="str">
        <f aca="false">IF(AND(AH30&gt;0, AI30&gt;0), "Observed Flaky Test", "Non-observed Flaky Test")</f>
        <v>Non-observed Flaky Test</v>
      </c>
      <c r="AK30" s="32" t="n">
        <v>1643036.63</v>
      </c>
      <c r="AL30" s="34" t="n">
        <v>554.175931205309</v>
      </c>
      <c r="AM30" s="33" t="n">
        <f aca="false">IFERROR(AL30/AK30*100,"N/A")</f>
        <v>0.0337287630163978</v>
      </c>
      <c r="AN30" s="32" t="n">
        <v>0</v>
      </c>
      <c r="AO30" s="32" t="n">
        <v>0</v>
      </c>
      <c r="AP30" s="35" t="str">
        <f aca="false">IFERROR(AO30/AN30*100,"N/A")</f>
        <v>N/A</v>
      </c>
      <c r="AQ30" s="52" t="str">
        <f aca="false">IF(AND(AH30&gt;0, AI30&gt;0),
    IF(ROUND(N(AK30),5)&lt;&gt;ROUND(N(AN30),5),
        IF(AND(ROUND(N(AL30),8)=0, ROUND(N(AO30),8)=0), "Group 1: Flaky | Passed (no variation: SD = 0) AND Failed (no variation: SD = 0) | Different Means",
        IF(AND(ROUND(N(AL30),8)&gt;0, ROUND(N(AO30),8)&gt;0), "Group 2: Flaky | Passed (with variation: SD &gt; 0) AND Failed (with variation: SD &gt; 0) | Different Means",
        IF(AND(ROUND(N(AL30),8)=0, ROUND(N(AO30),8)&gt;0), "Group 3: Flaky | Passed (no variation: SD = 0) AND Failed (with variation: SD &gt; 0) | Different Means",
        "Group 4: Flaky | Passed (with variation: SD &gt; 0) AND Failed (no variation: SD = 0) | Different Means"))),
        IF(AND(ROUND(N(AL30),8)=0, ROUND(N(AO30),8)=0), "Group 5: Flaky | Passed (no var SD = 0) AND Failed (no var SD = 0) | Equal Means",
        IF(AND(ROUND(N(AL30),8)&gt;0, ROUND(N(AO30),8)&gt;0), "Group 6: Flaky | Passed (with var SD &gt; 0 ) AND Failed (with var SD &gt; 0) | Equal Means",
        IF(AND(ROUND(N(AL30),8)=0, ROUND(N(AO30),8)&gt;0), "Group 7: Flaky | Passed (no var SD = 0) AND Failed (with var SD &gt; 0) | Equal Means",
        "Group 8: Flaky | Passed (with var SD &gt; 0 ) AND Failed (no var SD = 0) | Equal Means")))
    ),
    IF(AH30&gt;0,
        IF(N(AL30)&gt;0, "Group 10: Only Passed | With variation (with var SD &gt; 0)", "Group 9: Only Passed | Without variation (no var SD = 0)"),
        IF(AI30&gt;0,
            IF(N(AO30)&gt;0,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30" s="37" t="str">
        <f aca="false">IF(OR(F30="Observed Flaky Test", I30="Observed Flaky Test", S30="Observed Flaky Test", AJ30="Observed Flaky Test"), "Observed Flaky Test", "Non-observed Flaky Test")</f>
        <v>Non-observed Flaky Test</v>
      </c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</row>
    <row r="31" customFormat="false" ht="15.75" hidden="false" customHeight="true" outlineLevel="0" collapsed="false">
      <c r="A31" s="13"/>
      <c r="B31" s="14" t="s">
        <v>84</v>
      </c>
      <c r="C31" s="14" t="s">
        <v>85</v>
      </c>
      <c r="D31" s="15" t="n">
        <v>0</v>
      </c>
      <c r="E31" s="15" t="n">
        <v>100</v>
      </c>
      <c r="F31" s="16" t="str">
        <f aca="false">IF(AND(D31&gt;0, E31&gt;0), "Observed Flaky Test", "Non-observed Flaky Test")</f>
        <v>Non-observed Flaky Test</v>
      </c>
      <c r="G31" s="17" t="n">
        <v>0</v>
      </c>
      <c r="H31" s="17" t="n">
        <v>100</v>
      </c>
      <c r="I31" s="16" t="str">
        <f aca="false">IF(AND(G31&gt;0, H31&gt;0), "Observed Flaky Test", "Non-observed Flaky Test")</f>
        <v>Non-observed Flaky Test</v>
      </c>
      <c r="J31" s="18" t="n">
        <v>0</v>
      </c>
      <c r="K31" s="18" t="n">
        <v>0</v>
      </c>
      <c r="L31" s="19" t="str">
        <f aca="false">IFERROR(K31/J31*100,"N/A")</f>
        <v>N/A</v>
      </c>
      <c r="M31" s="46" t="n">
        <v>6.9862</v>
      </c>
      <c r="N31" s="53" t="n">
        <v>0.114506</v>
      </c>
      <c r="O31" s="20" t="n">
        <f aca="false">IFERROR(N31/M31*100,"N/A")</f>
        <v>1.6390312330022</v>
      </c>
      <c r="P31" s="54" t="str">
        <f aca="false">IF(AND(G31&gt;0, H31=0), IF(ROUND(K31,8)=0, "Group 9: Only Passed | Without variation (SD Passed = 0)", "Group 10: Only Passed | With variation (SD Passed &gt; 0)"), IF(AND(G31=0, H31&gt;0), IF(ROUND(N31,8)=0, "Group 11: Only Failed | Without variation (SD Failed = 0)", "Group 12: Only Failed | With variation (SD Failed &gt; 0)"), IF(AND(G31&gt;0, H31&gt;0), IF(ROUND(J31,5)&lt;&gt;ROUND(M31,5), IF(AND(ROUND(K31,8)=0, ROUND(N31,8)=0), "Group 1: Flaky | Passed (no variation) AND Failed (no variation) | Different Means", IF(AND(ROUND(K31,8)&gt;0, ROUND(N31,8)&gt;0), "Group 2: Flaky | Passed (with variation) AND Failed (with variation) | Different Means", IF(AND(ROUND(K31,8)=0, ROUND(N31,8)&gt;0), "Group 3: Flaky | Passed (no variation) AND Failed (with variation) | Different Means", "Group 4: Flaky | Passed (with variation) AND Failed (no variation) | Different Means"))), IF(AND(ROUND(K31,8)=0, ROUND(N31,8)=0), "Group 5: Flaky | Passed (no variation) AND Failed (no variation) | Equal Means", IF(AND(ROUND(K31,8)&gt;0, ROUND(N31,8)&gt;0), "Group 6: Flaky | Passed (with variation) AND Failed (with variation) | Equal Means", IF(AND(ROUND(K31,8)=0, ROUND(N31,8)&gt;0), "Group 7: Flaky | Passed (no variation) AND Failed (with variation) | Equal Means", "Group 8: Flaky | Passed (with variation) AND Failed (no variation) | Equal Means")))), "Invalid")))</f>
        <v>Group 12: Only Failed | With variation (SD Failed &gt; 0)</v>
      </c>
      <c r="Q31" s="22" t="n">
        <v>0</v>
      </c>
      <c r="R31" s="22" t="n">
        <v>100</v>
      </c>
      <c r="S31" s="23" t="str">
        <f aca="false">IF(AND(Q31&gt;0, R31&gt;0), "Observed Flaky Test", "Non-observed Flaky Test")</f>
        <v>Non-observed Flaky Test</v>
      </c>
      <c r="T31" s="24" t="n">
        <v>0</v>
      </c>
      <c r="U31" s="24" t="n">
        <v>0</v>
      </c>
      <c r="V31" s="25" t="str">
        <f aca="false">IFERROR(U31/T31*100,"N/A")</f>
        <v>N/A</v>
      </c>
      <c r="W31" s="55" t="n">
        <v>3418969.7</v>
      </c>
      <c r="X31" s="24" t="n">
        <v>239774.272459</v>
      </c>
      <c r="Y31" s="27" t="n">
        <f aca="false">IFERROR(X31/W31*100,"N/A")</f>
        <v>7.01305637364964</v>
      </c>
      <c r="Z31" s="28" t="str">
        <f aca="false">IF(AND(Q31&gt;0, R31=0), IF(IFERROR(ROUND(V31,8),0)=0, "Group 9: Only Passed | Without variation (no var CV = 0)", "Group 10: Only Passed | With variation (with var CV &gt; 0)"), IF(AND(Q31=0, R31&gt;0), IF(IFERROR(ROUND(Y31,8),0)=0, "Group 11: Only Failed | Without variation (no var CV = 0)", "Group 12: Only Failed | With variation (with var CV &gt; 0)"), IF(AND(Q31&gt;0, R31&gt;0), IF(ROUND(T31,5)&lt;&gt;ROUND(W31,5), IF(AND(IFERROR(ROUND(V31,8),0)=0, IFERROR(ROUND(Y31,8),0)=0), "Group 1: Flaky | Passed (no variation: CV = 0) AND Failed (no variation: CV = 0) | Different Means", IF(AND(IFERROR(ROUND(V31,8),0)&gt;0, IFERROR(ROUND(Y31,8),0)&gt;0), "Group 2: Flaky | Passed (with variation: CV &gt; 0) AND Failed (with variation: CV &gt; 0) | Different Means", IF(AND(IFERROR(ROUND(V31,8),0)=0, IFERROR(ROUND(Y31,8),0)&gt;0), "Group 3: Flaky | Passed (no variation: CV = 0) AND Failed (with variation: CV &gt; 0) | Different Means", "Group 4: Flaky | Passed (with variation: CV &gt; 0) AND Failed (no variation: CV = 0) | Different Means"))), IF(AND(IFERROR(ROUND(V31,8),0)=0, IFERROR(ROUND(Y31,8),0)=0), "Group 5: Flaky | Passed (no var CV = 0) AND Failed (no var CV = 0) | Equal Means", IF(AND(IFERROR(ROUND(V31,8),0)&gt;0, IFERROR(ROUND(Y31,8),0)&gt;0), "Group 6: Flaky | Passed (with var CV &gt; 0) AND Failed (with var CV &gt; 0) | Equal Means", IF(AND(IFERROR(ROUND(V31,8),0)=0, IFERROR(ROUND(Y31,8),0)&gt;0),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31" s="29" t="n">
        <v>0</v>
      </c>
      <c r="AB31" s="29" t="n">
        <v>0</v>
      </c>
      <c r="AC31" s="29" t="str">
        <f aca="false">IFERROR(AB31/AA31*100,"N/A")</f>
        <v>N/A</v>
      </c>
      <c r="AD31" s="29" t="n">
        <v>6.633568</v>
      </c>
      <c r="AE31" s="29" t="n">
        <v>2.489351</v>
      </c>
      <c r="AF31" s="29" t="n">
        <f aca="false">IFERROR(AE31/AD31*100,"N/A")</f>
        <v>37.5265769492376</v>
      </c>
      <c r="AG31" s="30" t="str">
        <f aca="false">IF(AND(Q31&gt;0, R31=0), IF(IFERROR(ROUND(AC31,8),0)=0, "Group 9: Only Passed | Without variation (no var CV = 0)", "Group 10: Only Passed | With variation (with var CV &gt; 0)"), IF(AND(Q31=0, R31&gt;0), IF(IFERROR(ROUND(AF31,8),0)=0, "Group 11: Only Failed | Without variation (no var CV = 0)", "Group 12: Only Failed | With variation (with var CV &gt; 0)"), IF(AND(Q31&gt;0, R31&gt;0), IF(ROUND(AA31,5)&lt;&gt;ROUND(AD31,5), IF(AND(IFERROR(ROUND(AC31,8),0)=0, IFERROR(ROUND(AF31,8),0)=0), "Group 1: Flaky | Passed (no variation: CV = 0) AND Failed (no variation: CV = 0) | Different Means", IF(AND(IFERROR(ROUND(AC31,8),0)&gt;0, IFERROR(ROUND(AF31,8),0)&gt;0), "Group 2: Flaky | Passed (with variation: CV &gt; 0) AND Failed (with variation: CV &gt; 0) | Different Means", IF(AND(IFERROR(ROUND(AC31,8),0)=0, IFERROR(ROUND(AF31,8),0)&gt;0), "Group 3: Flaky | Passed (no variation: CV = 0) AND Failed (with variation: CV &gt; 0) | Different Means", "Group 4: Flaky | Passed (with variation: CV &gt; 0) AND Failed (no variation: CV = 0) | Different Means"))), IF(AND(IFERROR(ROUND(AC31,8),0)=0, IFERROR(ROUND(AF31,8),0)=0), "Group 5: Flaky | Passed (no var CV = 0) AND Failed (no var CV = 0) | Equal Means", IF(AND(IFERROR(ROUND(AC31,8),0)&gt;0, IFERROR(ROUND(AF31,8),0)&gt;0), "Group 6: Flaky | Passed (with var CV &gt; 0) AND Failed (with var CV &gt; 0) | Equal Means", IF(AND(IFERROR(ROUND(AC31,8),0)=0, IFERROR(ROUND(AF31,8),0)&gt;0),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31" s="22" t="n">
        <v>0</v>
      </c>
      <c r="AI31" s="17" t="n">
        <v>100</v>
      </c>
      <c r="AJ31" s="31" t="str">
        <f aca="false">IF(AND(AH31&gt;0, AI31&gt;0), "Observed Flaky Test", "Non-observed Flaky Test")</f>
        <v>Non-observed Flaky Test</v>
      </c>
      <c r="AK31" s="32" t="n">
        <v>0</v>
      </c>
      <c r="AL31" s="32" t="n">
        <v>0</v>
      </c>
      <c r="AM31" s="33" t="str">
        <f aca="false">IFERROR(AL31/AK31*100,"N/A")</f>
        <v>N/A</v>
      </c>
      <c r="AN31" s="32" t="n">
        <v>944648.05</v>
      </c>
      <c r="AO31" s="33" t="n">
        <v>13211.3907459403</v>
      </c>
      <c r="AP31" s="35" t="n">
        <f aca="false">IFERROR(AO31/AN31*100,"N/A")</f>
        <v>1.39855163475331</v>
      </c>
      <c r="AQ31" s="36" t="str">
        <f aca="false">IF(AND(AH31&gt;0, AI31&gt;0),
    IF(ROUND(N(AK31),5)&lt;&gt;ROUND(N(AN31),5),
        IF(AND(ROUND(N(AL31),8)=0, ROUND(N(AO31),8)=0), "Group 1: Flaky | Passed (no variation: SD = 0) AND Failed (no variation: SD = 0) | Different Means",
        IF(AND(ROUND(N(AL31),8)&gt;0, ROUND(N(AO31),8)&gt;0), "Group 2: Flaky | Passed (with variation: SD &gt; 0) AND Failed (with variation: SD &gt; 0) | Different Means",
        IF(AND(ROUND(N(AL31),8)=0, ROUND(N(AO31),8)&gt;0), "Group 3: Flaky | Passed (no variation: SD = 0) AND Failed (with variation: SD &gt; 0) | Different Means",
        "Group 4: Flaky | Passed (with variation: SD &gt; 0) AND Failed (no variation: SD = 0) | Different Means"))),
        IF(AND(ROUND(N(AL31),8)=0, ROUND(N(AO31),8)=0), "Group 5: Flaky | Passed (no var SD = 0) AND Failed (no var SD = 0) | Equal Means",
        IF(AND(ROUND(N(AL31),8)&gt;0, ROUND(N(AO31),8)&gt;0), "Group 6: Flaky | Passed (with var SD &gt; 0 ) AND Failed (with var SD &gt; 0) | Equal Means",
        IF(AND(ROUND(N(AL31),8)=0, ROUND(N(AO31),8)&gt;0), "Group 7: Flaky | Passed (no var SD = 0) AND Failed (with var SD &gt; 0) | Equal Means",
        "Group 8: Flaky | Passed (with var SD &gt; 0 ) AND Failed (no var SD = 0) | Equal Means")))
    ),
    IF(AH31&gt;0,
        IF(N(AL31)&gt;0, "Group 10: Only Passed | With variation (with var SD &gt; 0)", "Group 9: Only Passed | Without variation (no var SD = 0)"),
        IF(AI31&gt;0,
            IF(N(AO31)&gt;0,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31" s="37" t="str">
        <f aca="false">IF(OR(F31="Observed Flaky Test", I31="Observed Flaky Test", S31="Observed Flaky Test", AJ31="Observed Flaky Test"), "Observed Flaky Test", "Non-observed Flaky Test")</f>
        <v>Non-observed Flaky Test</v>
      </c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 customFormat="false" ht="15.75" hidden="false" customHeight="true" outlineLevel="0" collapsed="false">
      <c r="A32" s="13"/>
      <c r="B32" s="14" t="s">
        <v>86</v>
      </c>
      <c r="C32" s="14" t="s">
        <v>87</v>
      </c>
      <c r="D32" s="15" t="n">
        <v>100</v>
      </c>
      <c r="E32" s="15" t="n">
        <v>0</v>
      </c>
      <c r="F32" s="16" t="str">
        <f aca="false">IF(AND(D32&gt;0, E32&gt;0), "Observed Flaky Test", "Non-observed Flaky Test")</f>
        <v>Non-observed Flaky Test</v>
      </c>
      <c r="G32" s="17" t="n">
        <v>11</v>
      </c>
      <c r="H32" s="17" t="n">
        <v>89</v>
      </c>
      <c r="I32" s="61" t="str">
        <f aca="false">IF(AND(G32&gt;0, H32&gt;0), "Observed Flaky Test", "Non-observed Flaky Test")</f>
        <v>Observed Flaky Test</v>
      </c>
      <c r="J32" s="18" t="n">
        <v>6.83</v>
      </c>
      <c r="K32" s="18" t="n">
        <v>0</v>
      </c>
      <c r="L32" s="19" t="n">
        <f aca="false">IFERROR(K32/J32*100,"N/A")</f>
        <v>0</v>
      </c>
      <c r="M32" s="53" t="n">
        <v>6.812584</v>
      </c>
      <c r="N32" s="47" t="n">
        <v>0.00966</v>
      </c>
      <c r="O32" s="20" t="n">
        <f aca="false">IFERROR(N32/M32*100,"N/A")</f>
        <v>0.14179641674877</v>
      </c>
      <c r="P32" s="67" t="str">
        <f aca="false">IF(AND(G32&gt;0, H32=0), IF(ROUND(K32,8)=0, "Group 9: Only Passed | Without variation (SD Passed = 0)", "Group 10: Only Passed | With variation (SD Passed &gt; 0)"), IF(AND(G32=0, H32&gt;0), IF(ROUND(N32,8)=0, "Group 11: Only Failed | Without variation (SD Failed = 0)", "Group 12: Only Failed | With variation (SD Failed &gt; 0)"), IF(AND(G32&gt;0, H32&gt;0), IF(ROUND(J32,5)&lt;&gt;ROUND(M32,5), IF(AND(ROUND(K32,8)=0, ROUND(N32,8)=0), "Group 1: Flaky | Passed (no variation) AND Failed (no variation) | Different Means", IF(AND(ROUND(K32,8)&gt;0, ROUND(N32,8)&gt;0), "Group 2: Flaky | Passed (with variation) AND Failed (with variation) | Different Means", IF(AND(ROUND(K32,8)=0, ROUND(N32,8)&gt;0), "Group 3: Flaky | Passed (no variation) AND Failed (with variation) | Different Means", "Group 4: Flaky | Passed (with variation) AND Failed (no variation) | Different Means"))), IF(AND(ROUND(K32,8)=0, ROUND(N32,8)=0), "Group 5: Flaky | Passed (no variation) AND Failed (no variation) | Equal Means", IF(AND(ROUND(K32,8)&gt;0, ROUND(N32,8)&gt;0), "Group 6: Flaky | Passed (with variation) AND Failed (with variation) | Equal Means", IF(AND(ROUND(K32,8)=0, ROUND(N32,8)&gt;0),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32" s="22" t="n">
        <v>99</v>
      </c>
      <c r="R32" s="22" t="n">
        <v>1</v>
      </c>
      <c r="S32" s="43" t="str">
        <f aca="false">IF(AND(Q32&gt;0, R32&gt;0), "Observed Flaky Test", "Non-observed Flaky Test")</f>
        <v>Observed Flaky Test</v>
      </c>
      <c r="T32" s="24" t="n">
        <v>2318229.353535</v>
      </c>
      <c r="U32" s="24" t="n">
        <v>140.608758</v>
      </c>
      <c r="V32" s="25" t="n">
        <f aca="false">IFERROR(U32/T32*100,"N/A")</f>
        <v>0.00606535146255438</v>
      </c>
      <c r="W32" s="58" t="n">
        <v>2916749</v>
      </c>
      <c r="X32" s="22" t="n">
        <v>0</v>
      </c>
      <c r="Y32" s="27" t="n">
        <f aca="false">IFERROR(X32/W32*100,"N/A")</f>
        <v>0</v>
      </c>
      <c r="Z32" s="69" t="str">
        <f aca="false">IF(AND(Q32&gt;0, R32=0), IF(IFERROR(ROUND(V32,8),0)=0, "Group 9: Only Passed | Without variation (no var CV = 0)", "Group 10: Only Passed | With variation (with var CV &gt; 0)"), IF(AND(Q32=0, R32&gt;0), IF(IFERROR(ROUND(Y32,8),0)=0, "Group 11: Only Failed | Without variation (no var CV = 0)", "Group 12: Only Failed | With variation (with var CV &gt; 0)"), IF(AND(Q32&gt;0, R32&gt;0), IF(ROUND(T32,5)&lt;&gt;ROUND(W32,5), IF(AND(IFERROR(ROUND(V32,8),0)=0, IFERROR(ROUND(Y32,8),0)=0), "Group 1: Flaky | Passed (no variation: CV = 0) AND Failed (no variation: CV = 0) | Different Means", IF(AND(IFERROR(ROUND(V32,8),0)&gt;0, IFERROR(ROUND(Y32,8),0)&gt;0), "Group 2: Flaky | Passed (with variation: CV &gt; 0) AND Failed (with variation: CV &gt; 0) | Different Means", IF(AND(IFERROR(ROUND(V32,8),0)=0, IFERROR(ROUND(Y32,8),0)&gt;0), "Group 3: Flaky | Passed (no variation: CV = 0) AND Failed (with variation: CV &gt; 0) | Different Means", "Group 4: Flaky | Passed (with variation: CV &gt; 0) AND Failed (no variation: CV = 0) | Different Means"))), IF(AND(IFERROR(ROUND(V32,8),0)=0, IFERROR(ROUND(Y32,8),0)=0), "Group 5: Flaky | Passed (no var CV = 0) AND Failed (no var CV = 0) | Equal Means", IF(AND(IFERROR(ROUND(V32,8),0)&gt;0, IFERROR(ROUND(Y32,8),0)&gt;0), "Group 6: Flaky | Passed (with var CV &gt; 0) AND Failed (with var CV &gt; 0) | Equal Means", IF(AND(IFERROR(ROUND(V32,8),0)=0, IFERROR(ROUND(Y32,8),0)&gt;0),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32" s="29" t="n">
        <v>12.6765</v>
      </c>
      <c r="AB32" s="29" t="n">
        <v>0.972474</v>
      </c>
      <c r="AC32" s="29" t="n">
        <f aca="false">IFERROR(AB32/AA32*100,"N/A")</f>
        <v>7.67147083185422</v>
      </c>
      <c r="AD32" s="29" t="n">
        <v>11.653522</v>
      </c>
      <c r="AE32" s="29" t="n">
        <v>0</v>
      </c>
      <c r="AF32" s="29" t="n">
        <f aca="false">IFERROR(AE32/AD32*100,"N/A")</f>
        <v>0</v>
      </c>
      <c r="AG32" s="70" t="str">
        <f aca="false">IF(AND(Q32&gt;0, R32=0), IF(IFERROR(ROUND(AC32,8),0)=0, "Group 9: Only Passed | Without variation (no var CV = 0)", "Group 10: Only Passed | With variation (with var CV &gt; 0)"), IF(AND(Q32=0, R32&gt;0), IF(IFERROR(ROUND(AF32,8),0)=0, "Group 11: Only Failed | Without variation (no var CV = 0)", "Group 12: Only Failed | With variation (with var CV &gt; 0)"), IF(AND(Q32&gt;0, R32&gt;0), IF(ROUND(AA32,5)&lt;&gt;ROUND(AD32,5), IF(AND(IFERROR(ROUND(AC32,8),0)=0, IFERROR(ROUND(AF32,8),0)=0), "Group 1: Flaky | Passed (no variation: CV = 0) AND Failed (no variation: CV = 0) | Different Means", IF(AND(IFERROR(ROUND(AC32,8),0)&gt;0, IFERROR(ROUND(AF32,8),0)&gt;0), "Group 2: Flaky | Passed (with variation: CV &gt; 0) AND Failed (with variation: CV &gt; 0) | Different Means", IF(AND(IFERROR(ROUND(AC32,8),0)=0, IFERROR(ROUND(AF32,8),0)&gt;0), "Group 3: Flaky | Passed (no variation: CV = 0) AND Failed (with variation: CV &gt; 0) | Different Means", "Group 4: Flaky | Passed (with variation: CV &gt; 0) AND Failed (no variation: CV = 0) | Different Means"))), IF(AND(IFERROR(ROUND(AC32,8),0)=0, IFERROR(ROUND(AF32,8),0)=0), "Group 5: Flaky | Passed (no var CV = 0) AND Failed (no var CV = 0) | Equal Means", IF(AND(IFERROR(ROUND(AC32,8),0)&gt;0, IFERROR(ROUND(AF32,8),0)&gt;0), "Group 6: Flaky | Passed (with var CV &gt; 0) AND Failed (with var CV &gt; 0) | Equal Means", IF(AND(IFERROR(ROUND(AC32,8),0)=0, IFERROR(ROUND(AF32,8),0)&gt;0),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32" s="22" t="n">
        <v>7</v>
      </c>
      <c r="AI32" s="17" t="n">
        <v>93</v>
      </c>
      <c r="AJ32" s="39" t="str">
        <f aca="false">IF(AND(AH32&gt;0, AI32&gt;0), "Observed Flaky Test", "Non-observed Flaky Test")</f>
        <v>Observed Flaky Test</v>
      </c>
      <c r="AK32" s="59" t="n">
        <v>1485850.85714285</v>
      </c>
      <c r="AL32" s="57" t="n">
        <v>4366.53204990609</v>
      </c>
      <c r="AM32" s="33" t="n">
        <f aca="false">IFERROR(AL32/AK32*100,"N/A")</f>
        <v>0.293874181847734</v>
      </c>
      <c r="AN32" s="59" t="n">
        <v>1149044.54838709</v>
      </c>
      <c r="AO32" s="71" t="n">
        <v>233068.096107102</v>
      </c>
      <c r="AP32" s="35" t="n">
        <f aca="false">IFERROR(AO32/AN32*100,"N/A")</f>
        <v>20.283643174171</v>
      </c>
      <c r="AQ32" s="63" t="str">
        <f aca="false">IF(AND(AH32&gt;0, AI32&gt;0),
    IF(ROUND(N(AK32),5)&lt;&gt;ROUND(N(AN32),5),
        IF(AND(ROUND(N(AL32),8)=0, ROUND(N(AO32),8)=0), "Group 1: Flaky | Passed (no variation: SD = 0) AND Failed (no variation: SD = 0) | Different Means",
        IF(AND(ROUND(N(AL32),8)&gt;0, ROUND(N(AO32),8)&gt;0), "Group 2: Flaky | Passed (with variation: SD &gt; 0) AND Failed (with variation: SD &gt; 0) | Different Means",
        IF(AND(ROUND(N(AL32),8)=0, ROUND(N(AO32),8)&gt;0), "Group 3: Flaky | Passed (no variation: SD = 0) AND Failed (with variation: SD &gt; 0) | Different Means",
        "Group 4: Flaky | Passed (with variation: SD &gt; 0) AND Failed (no variation: SD = 0) | Different Means"))),
        IF(AND(ROUND(N(AL32),8)=0, ROUND(N(AO32),8)=0), "Group 5: Flaky | Passed (no var SD = 0) AND Failed (no var SD = 0) | Equal Means",
        IF(AND(ROUND(N(AL32),8)&gt;0, ROUND(N(AO32),8)&gt;0), "Group 6: Flaky | Passed (with var SD &gt; 0 ) AND Failed (with var SD &gt; 0) | Equal Means",
        IF(AND(ROUND(N(AL32),8)=0, ROUND(N(AO32),8)&gt;0), "Group 7: Flaky | Passed (no var SD = 0) AND Failed (with var SD &gt; 0) | Equal Means",
        "Group 8: Flaky | Passed (with var SD &gt; 0 ) AND Failed (no var SD = 0) | Equal Means")))
    ),
    IF(AH32&gt;0,
        IF(N(AL32)&gt;0, "Group 10: Only Passed | With variation (with var SD &gt; 0)", "Group 9: Only Passed | Without variation (no var SD = 0)"),
        IF(AI32&gt;0,
            IF(N(AO32)&gt;0,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32" s="42" t="str">
        <f aca="false">IF(OR(F32="Observed Flaky Test", I32="Observed Flaky Test", S32="Observed Flaky Test", AJ32="Observed Flaky Test"), "Observed Flaky Test", "Non-observed Flaky Test")</f>
        <v>Observed Flaky Test</v>
      </c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</row>
    <row r="33" customFormat="false" ht="15.75" hidden="false" customHeight="true" outlineLevel="0" collapsed="false">
      <c r="A33" s="13"/>
      <c r="B33" s="14" t="s">
        <v>88</v>
      </c>
      <c r="C33" s="14" t="s">
        <v>89</v>
      </c>
      <c r="D33" s="15" t="n">
        <v>0</v>
      </c>
      <c r="E33" s="15" t="n">
        <v>100</v>
      </c>
      <c r="F33" s="16" t="str">
        <f aca="false">IF(AND(D33&gt;0, E33&gt;0), "Observed Flaky Test", "Non-observed Flaky Test")</f>
        <v>Non-observed Flaky Test</v>
      </c>
      <c r="G33" s="17" t="n">
        <v>0</v>
      </c>
      <c r="H33" s="17" t="n">
        <v>100</v>
      </c>
      <c r="I33" s="16" t="str">
        <f aca="false">IF(AND(G33&gt;0, H33&gt;0), "Observed Flaky Test", "Non-observed Flaky Test")</f>
        <v>Non-observed Flaky Test</v>
      </c>
      <c r="J33" s="18" t="n">
        <v>0</v>
      </c>
      <c r="K33" s="18" t="n">
        <v>0</v>
      </c>
      <c r="L33" s="19" t="str">
        <f aca="false">IFERROR(K33/J33*100,"N/A")</f>
        <v>N/A</v>
      </c>
      <c r="M33" s="18" t="n">
        <v>5.56</v>
      </c>
      <c r="N33" s="18" t="n">
        <v>0</v>
      </c>
      <c r="O33" s="20" t="n">
        <f aca="false">IFERROR(N33/M33*100,"N/A")</f>
        <v>0</v>
      </c>
      <c r="P33" s="21" t="str">
        <f aca="false">IF(AND(G33&gt;0, H33=0), IF(ROUND(K33,8)=0, "Group 9: Only Passed | Without variation (SD Passed = 0)", "Group 10: Only Passed | With variation (SD Passed &gt; 0)"), IF(AND(G33=0, H33&gt;0), IF(ROUND(N33,8)=0, "Group 11: Only Failed | Without variation (SD Failed = 0)", "Group 12: Only Failed | With variation (SD Failed &gt; 0)"), IF(AND(G33&gt;0, H33&gt;0), IF(ROUND(J33,5)&lt;&gt;ROUND(M33,5), IF(AND(ROUND(K33,8)=0, ROUND(N33,8)=0), "Group 1: Flaky | Passed (no variation) AND Failed (no variation) | Different Means", IF(AND(ROUND(K33,8)&gt;0, ROUND(N33,8)&gt;0), "Group 2: Flaky | Passed (with variation) AND Failed (with variation) | Different Means", IF(AND(ROUND(K33,8)=0, ROUND(N33,8)&gt;0), "Group 3: Flaky | Passed (no variation) AND Failed (with variation) | Different Means", "Group 4: Flaky | Passed (with variation) AND Failed (no variation) | Different Means"))), IF(AND(ROUND(K33,8)=0, ROUND(N33,8)=0), "Group 5: Flaky | Passed (no variation) AND Failed (no variation) | Equal Means", IF(AND(ROUND(K33,8)&gt;0, ROUND(N33,8)&gt;0), "Group 6: Flaky | Passed (with variation) AND Failed (with variation) | Equal Means", IF(AND(ROUND(K33,8)=0, ROUND(N33,8)&gt;0),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33" s="22" t="n">
        <v>0</v>
      </c>
      <c r="R33" s="22" t="n">
        <v>100</v>
      </c>
      <c r="S33" s="23" t="str">
        <f aca="false">IF(AND(Q33&gt;0, R33&gt;0), "Observed Flaky Test", "Non-observed Flaky Test")</f>
        <v>Non-observed Flaky Test</v>
      </c>
      <c r="T33" s="24" t="n">
        <v>0</v>
      </c>
      <c r="U33" s="24" t="n">
        <v>0</v>
      </c>
      <c r="V33" s="25" t="str">
        <f aca="false">IFERROR(U33/T33*100,"N/A")</f>
        <v>N/A</v>
      </c>
      <c r="W33" s="24" t="n">
        <v>2879055.37</v>
      </c>
      <c r="X33" s="24" t="n">
        <v>169.242916</v>
      </c>
      <c r="Y33" s="27" t="n">
        <f aca="false">IFERROR(X33/W33*100,"N/A")</f>
        <v>0.00587841823966032</v>
      </c>
      <c r="Z33" s="28" t="str">
        <f aca="false">IF(AND(Q33&gt;0, R33=0), IF(IFERROR(ROUND(V33,8),0)=0, "Group 9: Only Passed | Without variation (no var CV = 0)", "Group 10: Only Passed | With variation (with var CV &gt; 0)"), IF(AND(Q33=0, R33&gt;0), IF(IFERROR(ROUND(Y33,8),0)=0, "Group 11: Only Failed | Without variation (no var CV = 0)", "Group 12: Only Failed | With variation (with var CV &gt; 0)"), IF(AND(Q33&gt;0, R33&gt;0), IF(ROUND(T33,5)&lt;&gt;ROUND(W33,5), IF(AND(IFERROR(ROUND(V33,8),0)=0, IFERROR(ROUND(Y33,8),0)=0), "Group 1: Flaky | Passed (no variation: CV = 0) AND Failed (no variation: CV = 0) | Different Means", IF(AND(IFERROR(ROUND(V33,8),0)&gt;0, IFERROR(ROUND(Y33,8),0)&gt;0), "Group 2: Flaky | Passed (with variation: CV &gt; 0) AND Failed (with variation: CV &gt; 0) | Different Means", IF(AND(IFERROR(ROUND(V33,8),0)=0, IFERROR(ROUND(Y33,8),0)&gt;0), "Group 3: Flaky | Passed (no variation: CV = 0) AND Failed (with variation: CV &gt; 0) | Different Means", "Group 4: Flaky | Passed (with variation: CV &gt; 0) AND Failed (no variation: CV = 0) | Different Means"))), IF(AND(IFERROR(ROUND(V33,8),0)=0, IFERROR(ROUND(Y33,8),0)=0), "Group 5: Flaky | Passed (no var CV = 0) AND Failed (no var CV = 0) | Equal Means", IF(AND(IFERROR(ROUND(V33,8),0)&gt;0, IFERROR(ROUND(Y33,8),0)&gt;0), "Group 6: Flaky | Passed (with var CV &gt; 0) AND Failed (with var CV &gt; 0) | Equal Means", IF(AND(IFERROR(ROUND(V33,8),0)=0, IFERROR(ROUND(Y33,8),0)&gt;0),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33" s="29" t="n">
        <v>0</v>
      </c>
      <c r="AB33" s="29" t="n">
        <v>0</v>
      </c>
      <c r="AC33" s="29" t="str">
        <f aca="false">IFERROR(AB33/AA33*100,"N/A")</f>
        <v>N/A</v>
      </c>
      <c r="AD33" s="29" t="n">
        <v>1.585004</v>
      </c>
      <c r="AE33" s="29" t="n">
        <v>0.045224</v>
      </c>
      <c r="AF33" s="29" t="n">
        <f aca="false">IFERROR(AE33/AD33*100,"N/A")</f>
        <v>2.85324201074571</v>
      </c>
      <c r="AG33" s="30" t="str">
        <f aca="false">IF(AND(Q33&gt;0, R33=0), IF(IFERROR(ROUND(AC33,8),0)=0, "Group 9: Only Passed | Without variation (no var CV = 0)", "Group 10: Only Passed | With variation (with var CV &gt; 0)"), IF(AND(Q33=0, R33&gt;0), IF(IFERROR(ROUND(AF33,8),0)=0, "Group 11: Only Failed | Without variation (no var CV = 0)", "Group 12: Only Failed | With variation (with var CV &gt; 0)"), IF(AND(Q33&gt;0, R33&gt;0), IF(ROUND(AA33,5)&lt;&gt;ROUND(AD33,5), IF(AND(IFERROR(ROUND(AC33,8),0)=0, IFERROR(ROUND(AF33,8),0)=0), "Group 1: Flaky | Passed (no variation: CV = 0) AND Failed (no variation: CV = 0) | Different Means", IF(AND(IFERROR(ROUND(AC33,8),0)&gt;0, IFERROR(ROUND(AF33,8),0)&gt;0), "Group 2: Flaky | Passed (with variation: CV &gt; 0) AND Failed (with variation: CV &gt; 0) | Different Means", IF(AND(IFERROR(ROUND(AC33,8),0)=0, IFERROR(ROUND(AF33,8),0)&gt;0), "Group 3: Flaky | Passed (no variation: CV = 0) AND Failed (with variation: CV &gt; 0) | Different Means", "Group 4: Flaky | Passed (with variation: CV &gt; 0) AND Failed (no variation: CV = 0) | Different Means"))), IF(AND(IFERROR(ROUND(AC33,8),0)=0, IFERROR(ROUND(AF33,8),0)=0), "Group 5: Flaky | Passed (no var CV = 0) AND Failed (no var CV = 0) | Equal Means", IF(AND(IFERROR(ROUND(AC33,8),0)&gt;0, IFERROR(ROUND(AF33,8),0)&gt;0), "Group 6: Flaky | Passed (with var CV &gt; 0) AND Failed (with var CV &gt; 0) | Equal Means", IF(AND(IFERROR(ROUND(AC33,8),0)=0, IFERROR(ROUND(AF33,8),0)&gt;0),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33" s="22" t="n">
        <v>0</v>
      </c>
      <c r="AI33" s="17" t="n">
        <v>100</v>
      </c>
      <c r="AJ33" s="31" t="str">
        <f aca="false">IF(AND(AH33&gt;0, AI33&gt;0), "Observed Flaky Test", "Non-observed Flaky Test")</f>
        <v>Non-observed Flaky Test</v>
      </c>
      <c r="AK33" s="32" t="n">
        <v>0</v>
      </c>
      <c r="AL33" s="32" t="n">
        <v>0</v>
      </c>
      <c r="AM33" s="33" t="str">
        <f aca="false">IFERROR(AL33/AK33*100,"N/A")</f>
        <v>N/A</v>
      </c>
      <c r="AN33" s="32" t="n">
        <v>8153</v>
      </c>
      <c r="AO33" s="32" t="n">
        <v>0</v>
      </c>
      <c r="AP33" s="72" t="n">
        <f aca="false">IFERROR(AO33/AN33*100,"N/A")</f>
        <v>0</v>
      </c>
      <c r="AQ33" s="73" t="str">
        <f aca="false">IF(AND(AH33&gt;0, AI33&gt;0),
    IF(ROUND(N(AK33),5)&lt;&gt;ROUND(N(AN33),5),
        IF(AND(ROUND(N(AL33),8)=0, ROUND(N(AO33),8)=0), "Group 1: Flaky | Passed (no variation: SD = 0) AND Failed (no variation: SD = 0) | Different Means",
        IF(AND(ROUND(N(AL33),8)&gt;0, ROUND(N(AO33),8)&gt;0), "Group 2: Flaky | Passed (with variation: SD &gt; 0) AND Failed (with variation: SD &gt; 0) | Different Means",
        IF(AND(ROUND(N(AL33),8)=0, ROUND(N(AO33),8)&gt;0), "Group 3: Flaky | Passed (no variation: SD = 0) AND Failed (with variation: SD &gt; 0) | Different Means",
        "Group 4: Flaky | Passed (with variation: SD &gt; 0) AND Failed (no variation: SD = 0) | Different Means"))),
        IF(AND(ROUND(N(AL33),8)=0, ROUND(N(AO33),8)=0), "Group 5: Flaky | Passed (no var SD = 0) AND Failed (no var SD = 0) | Equal Means",
        IF(AND(ROUND(N(AL33),8)&gt;0, ROUND(N(AO33),8)&gt;0), "Group 6: Flaky | Passed (with var SD &gt; 0 ) AND Failed (with var SD &gt; 0) | Equal Means",
        IF(AND(ROUND(N(AL33),8)=0, ROUND(N(AO33),8)&gt;0), "Group 7: Flaky | Passed (no var SD = 0) AND Failed (with var SD &gt; 0) | Equal Means",
        "Group 8: Flaky | Passed (with var SD &gt; 0 ) AND Failed (no var SD = 0) | Equal Means")))
    ),
    IF(AH33&gt;0,
        IF(N(AL33)&gt;0, "Group 10: Only Passed | With variation (with var SD &gt; 0)", "Group 9: Only Passed | Without variation (no var SD = 0)"),
        IF(AI33&gt;0,
            IF(N(AO33)&gt;0,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33" s="37" t="str">
        <f aca="false">IF(OR(F33="Observed Flaky Test", I33="Observed Flaky Test", S33="Observed Flaky Test", AJ33="Observed Flaky Test"), "Observed Flaky Test", "Non-observed Flaky Test")</f>
        <v>Non-observed Flaky Test</v>
      </c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</row>
    <row r="34" customFormat="false" ht="15.75" hidden="false" customHeight="true" outlineLevel="0" collapsed="false">
      <c r="A34" s="13"/>
      <c r="B34" s="14" t="s">
        <v>90</v>
      </c>
      <c r="C34" s="14" t="s">
        <v>91</v>
      </c>
      <c r="D34" s="15" t="n">
        <v>100</v>
      </c>
      <c r="E34" s="15" t="n">
        <v>0</v>
      </c>
      <c r="F34" s="16" t="str">
        <f aca="false">IF(AND(D34&gt;0, E34&gt;0), "Observed Flaky Test", "Non-observed Flaky Test")</f>
        <v>Non-observed Flaky Test</v>
      </c>
      <c r="G34" s="17" t="n">
        <v>100</v>
      </c>
      <c r="H34" s="17" t="n">
        <v>0</v>
      </c>
      <c r="I34" s="16" t="str">
        <f aca="false">IF(AND(G34&gt;0, H34&gt;0), "Observed Flaky Test", "Non-observed Flaky Test")</f>
        <v>Non-observed Flaky Test</v>
      </c>
      <c r="J34" s="18" t="n">
        <v>4.95</v>
      </c>
      <c r="K34" s="18" t="n">
        <v>0</v>
      </c>
      <c r="L34" s="19" t="n">
        <f aca="false">IFERROR(K34/J34*100,"N/A")</f>
        <v>0</v>
      </c>
      <c r="M34" s="18" t="n">
        <v>0</v>
      </c>
      <c r="N34" s="18" t="n">
        <v>0</v>
      </c>
      <c r="O34" s="20" t="str">
        <f aca="false">IFERROR(N34/M34*100,"N/A")</f>
        <v>N/A</v>
      </c>
      <c r="P34" s="56" t="str">
        <f aca="false">IF(AND(G34&gt;0, H34=0), IF(ROUND(K34,8)=0, "Group 9: Only Passed | Without variation (SD Passed = 0)", "Group 10: Only Passed | With variation (SD Passed &gt; 0)"), IF(AND(G34=0, H34&gt;0), IF(ROUND(N34,8)=0, "Group 11: Only Failed | Without variation (SD Failed = 0)", "Group 12: Only Failed | With variation (SD Failed &gt; 0)"), IF(AND(G34&gt;0, H34&gt;0), IF(ROUND(J34,5)&lt;&gt;ROUND(M34,5), IF(AND(ROUND(K34,8)=0, ROUND(N34,8)=0), "Group 1: Flaky | Passed (no variation) AND Failed (no variation) | Different Means", IF(AND(ROUND(K34,8)&gt;0, ROUND(N34,8)&gt;0), "Group 2: Flaky | Passed (with variation) AND Failed (with variation) | Different Means", IF(AND(ROUND(K34,8)=0, ROUND(N34,8)&gt;0), "Group 3: Flaky | Passed (no variation) AND Failed (with variation) | Different Means", "Group 4: Flaky | Passed (with variation) AND Failed (no variation) | Different Means"))), IF(AND(ROUND(K34,8)=0, ROUND(N34,8)=0), "Group 5: Flaky | Passed (no variation) AND Failed (no variation) | Equal Means", IF(AND(ROUND(K34,8)&gt;0, ROUND(N34,8)&gt;0), "Group 6: Flaky | Passed (with variation) AND Failed (with variation) | Equal Means", IF(AND(ROUND(K34,8)=0, ROUND(N34,8)&gt;0),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4" s="22" t="n">
        <v>100</v>
      </c>
      <c r="R34" s="22" t="n">
        <v>0</v>
      </c>
      <c r="S34" s="23" t="str">
        <f aca="false">IF(AND(Q34&gt;0, R34&gt;0), "Observed Flaky Test", "Non-observed Flaky Test")</f>
        <v>Non-observed Flaky Test</v>
      </c>
      <c r="T34" s="22" t="n">
        <v>2211254.47</v>
      </c>
      <c r="U34" s="24" t="n">
        <v>54.516508</v>
      </c>
      <c r="V34" s="25" t="n">
        <f aca="false">IFERROR(U34/T34*100,"N/A")</f>
        <v>0.00246541086698176</v>
      </c>
      <c r="W34" s="22" t="n">
        <v>0</v>
      </c>
      <c r="X34" s="22" t="n">
        <v>0</v>
      </c>
      <c r="Y34" s="27" t="str">
        <f aca="false">IFERROR(X34/W34*100,"N/A")</f>
        <v>N/A</v>
      </c>
      <c r="Z34" s="50" t="str">
        <f aca="false">IF(AND(Q34&gt;0, R34=0), IF(IFERROR(ROUND(V34,8),0)=0, "Group 9: Only Passed | Without variation (no var CV = 0)", "Group 10: Only Passed | With variation (with var CV &gt; 0)"), IF(AND(Q34=0, R34&gt;0), IF(IFERROR(ROUND(Y34,8),0)=0, "Group 11: Only Failed | Without variation (no var CV = 0)", "Group 12: Only Failed | With variation (with var CV &gt; 0)"), IF(AND(Q34&gt;0, R34&gt;0), IF(ROUND(T34,5)&lt;&gt;ROUND(W34,5), IF(AND(IFERROR(ROUND(V34,8),0)=0, IFERROR(ROUND(Y34,8),0)=0), "Group 1: Flaky | Passed (no variation: CV = 0) AND Failed (no variation: CV = 0) | Different Means", IF(AND(IFERROR(ROUND(V34,8),0)&gt;0, IFERROR(ROUND(Y34,8),0)&gt;0), "Group 2: Flaky | Passed (with variation: CV &gt; 0) AND Failed (with variation: CV &gt; 0) | Different Means", IF(AND(IFERROR(ROUND(V34,8),0)=0, IFERROR(ROUND(Y34,8),0)&gt;0), "Group 3: Flaky | Passed (no variation: CV = 0) AND Failed (with variation: CV &gt; 0) | Different Means", "Group 4: Flaky | Passed (with variation: CV &gt; 0) AND Failed (no variation: CV = 0) | Different Means"))), IF(AND(IFERROR(ROUND(V34,8),0)=0, IFERROR(ROUND(Y34,8),0)=0), "Group 5: Flaky | Passed (no var CV = 0) AND Failed (no var CV = 0) | Equal Means", IF(AND(IFERROR(ROUND(V34,8),0)&gt;0, IFERROR(ROUND(Y34,8),0)&gt;0), "Group 6: Flaky | Passed (with var CV &gt; 0) AND Failed (with var CV &gt; 0) | Equal Means", IF(AND(IFERROR(ROUND(V34,8),0)=0, IFERROR(ROUND(Y34,8),0)&gt;0),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4" s="29" t="n">
        <v>1.799497</v>
      </c>
      <c r="AB34" s="29" t="n">
        <v>0.050809</v>
      </c>
      <c r="AC34" s="29" t="n">
        <f aca="false">IFERROR(AB34/AA34*100,"N/A")</f>
        <v>2.82351123675116</v>
      </c>
      <c r="AD34" s="29" t="n">
        <v>0</v>
      </c>
      <c r="AE34" s="29" t="n">
        <v>0</v>
      </c>
      <c r="AF34" s="29" t="str">
        <f aca="false">IFERROR(AE34/AD34*100,"N/A")</f>
        <v>N/A</v>
      </c>
      <c r="AG34" s="51" t="str">
        <f aca="false">IF(AND(Q34&gt;0, R34=0), IF(IFERROR(ROUND(AC34,8),0)=0, "Group 9: Only Passed | Without variation (no var CV = 0)", "Group 10: Only Passed | With variation (with var CV &gt; 0)"), IF(AND(Q34=0, R34&gt;0), IF(IFERROR(ROUND(AF34,8),0)=0, "Group 11: Only Failed | Without variation (no var CV = 0)", "Group 12: Only Failed | With variation (with var CV &gt; 0)"), IF(AND(Q34&gt;0, R34&gt;0), IF(ROUND(AA34,5)&lt;&gt;ROUND(AD34,5), IF(AND(IFERROR(ROUND(AC34,8),0)=0, IFERROR(ROUND(AF34,8),0)=0), "Group 1: Flaky | Passed (no variation: CV = 0) AND Failed (no variation: CV = 0) | Different Means", IF(AND(IFERROR(ROUND(AC34,8),0)&gt;0, IFERROR(ROUND(AF34,8),0)&gt;0), "Group 2: Flaky | Passed (with variation: CV &gt; 0) AND Failed (with variation: CV &gt; 0) | Different Means", IF(AND(IFERROR(ROUND(AC34,8),0)=0, IFERROR(ROUND(AF34,8),0)&gt;0), "Group 3: Flaky | Passed (no variation: CV = 0) AND Failed (with variation: CV &gt; 0) | Different Means", "Group 4: Flaky | Passed (with variation: CV &gt; 0) AND Failed (no variation: CV = 0) | Different Means"))), IF(AND(IFERROR(ROUND(AC34,8),0)=0, IFERROR(ROUND(AF34,8),0)=0), "Group 5: Flaky | Passed (no var CV = 0) AND Failed (no var CV = 0) | Equal Means", IF(AND(IFERROR(ROUND(AC34,8),0)&gt;0, IFERROR(ROUND(AF34,8),0)&gt;0), "Group 6: Flaky | Passed (with var CV &gt; 0) AND Failed (with var CV &gt; 0) | Equal Means", IF(AND(IFERROR(ROUND(AC34,8),0)=0, IFERROR(ROUND(AF34,8),0)&gt;0),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4" s="22" t="n">
        <v>100</v>
      </c>
      <c r="AI34" s="17" t="n">
        <v>0</v>
      </c>
      <c r="AJ34" s="31" t="str">
        <f aca="false">IF(AND(AH34&gt;0, AI34&gt;0), "Observed Flaky Test", "Non-observed Flaky Test")</f>
        <v>Non-observed Flaky Test</v>
      </c>
      <c r="AK34" s="32" t="n">
        <v>346727</v>
      </c>
      <c r="AL34" s="32" t="n">
        <v>0</v>
      </c>
      <c r="AM34" s="33" t="n">
        <f aca="false">IFERROR(AL34/AK34*100,"N/A")</f>
        <v>0</v>
      </c>
      <c r="AN34" s="32" t="n">
        <v>0</v>
      </c>
      <c r="AO34" s="32" t="n">
        <v>0</v>
      </c>
      <c r="AP34" s="35" t="str">
        <f aca="false">IFERROR(AO34/AN34*100,"N/A")</f>
        <v>N/A</v>
      </c>
      <c r="AQ34" s="45" t="str">
        <f aca="false">IF(AND(AH34&gt;0, AI34&gt;0),
    IF(ROUND(N(AK34),5)&lt;&gt;ROUND(N(AN34),5),
        IF(AND(ROUND(N(AL34),8)=0, ROUND(N(AO34),8)=0), "Group 1: Flaky | Passed (no variation: SD = 0) AND Failed (no variation: SD = 0) | Different Means",
        IF(AND(ROUND(N(AL34),8)&gt;0, ROUND(N(AO34),8)&gt;0), "Group 2: Flaky | Passed (with variation: SD &gt; 0) AND Failed (with variation: SD &gt; 0) | Different Means",
        IF(AND(ROUND(N(AL34),8)=0, ROUND(N(AO34),8)&gt;0), "Group 3: Flaky | Passed (no variation: SD = 0) AND Failed (with variation: SD &gt; 0) | Different Means",
        "Group 4: Flaky | Passed (with variation: SD &gt; 0) AND Failed (no variation: SD = 0) | Different Means"))),
        IF(AND(ROUND(N(AL34),8)=0, ROUND(N(AO34),8)=0), "Group 5: Flaky | Passed (no var SD = 0) AND Failed (no var SD = 0) | Equal Means",
        IF(AND(ROUND(N(AL34),8)&gt;0, ROUND(N(AO34),8)&gt;0), "Group 6: Flaky | Passed (with var SD &gt; 0 ) AND Failed (with var SD &gt; 0) | Equal Means",
        IF(AND(ROUND(N(AL34),8)=0, ROUND(N(AO34),8)&gt;0), "Group 7: Flaky | Passed (no var SD = 0) AND Failed (with var SD &gt; 0) | Equal Means",
        "Group 8: Flaky | Passed (with var SD &gt; 0 ) AND Failed (no var SD = 0) | Equal Means")))
    ),
    IF(AH34&gt;0,
        IF(N(AL34)&gt;0, "Group 10: Only Passed | With variation (with var SD &gt; 0)", "Group 9: Only Passed | Without variation (no var SD = 0)"),
        IF(AI34&gt;0,
            IF(N(AO34)&gt;0,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4" s="37" t="str">
        <f aca="false">IF(OR(F34="Observed Flaky Test", I34="Observed Flaky Test", S34="Observed Flaky Test", AJ34="Observed Flaky Test"), "Observed Flaky Test", "Non-observed Flaky Test")</f>
        <v>Non-observed Flaky Test</v>
      </c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customFormat="false" ht="15.75" hidden="false" customHeight="true" outlineLevel="0" collapsed="false">
      <c r="A35" s="13"/>
      <c r="B35" s="14" t="s">
        <v>92</v>
      </c>
      <c r="C35" s="14" t="s">
        <v>93</v>
      </c>
      <c r="D35" s="15" t="n">
        <v>100</v>
      </c>
      <c r="E35" s="15" t="n">
        <v>0</v>
      </c>
      <c r="F35" s="16" t="str">
        <f aca="false">IF(AND(D35&gt;0, E35&gt;0), "Observed Flaky Test", "Non-observed Flaky Test")</f>
        <v>Non-observed Flaky Test</v>
      </c>
      <c r="G35" s="17" t="n">
        <v>100</v>
      </c>
      <c r="H35" s="17" t="n">
        <v>0</v>
      </c>
      <c r="I35" s="16" t="str">
        <f aca="false">IF(AND(G35&gt;0, H35&gt;0), "Observed Flaky Test", "Non-observed Flaky Test")</f>
        <v>Non-observed Flaky Test</v>
      </c>
      <c r="J35" s="74" t="n">
        <v>4.94</v>
      </c>
      <c r="K35" s="74" t="n">
        <v>0</v>
      </c>
      <c r="L35" s="19" t="n">
        <f aca="false">IFERROR(K35/J35*100,"N/A")</f>
        <v>0</v>
      </c>
      <c r="M35" s="74" t="n">
        <v>0</v>
      </c>
      <c r="N35" s="74" t="n">
        <v>0</v>
      </c>
      <c r="O35" s="20" t="str">
        <f aca="false">IFERROR(N35/M35*100,"N/A")</f>
        <v>N/A</v>
      </c>
      <c r="P35" s="56" t="str">
        <f aca="false">IF(AND(G35&gt;0, H35=0), IF(ROUND(K35,8)=0, "Group 9: Only Passed | Without variation (SD Passed = 0)", "Group 10: Only Passed | With variation (SD Passed &gt; 0)"), IF(AND(G35=0, H35&gt;0), IF(ROUND(N35,8)=0, "Group 11: Only Failed | Without variation (SD Failed = 0)", "Group 12: Only Failed | With variation (SD Failed &gt; 0)"), IF(AND(G35&gt;0, H35&gt;0), IF(ROUND(J35,5)&lt;&gt;ROUND(M35,5), IF(AND(ROUND(K35,8)=0, ROUND(N35,8)=0), "Group 1: Flaky | Passed (no variation) AND Failed (no variation) | Different Means", IF(AND(ROUND(K35,8)&gt;0, ROUND(N35,8)&gt;0), "Group 2: Flaky | Passed (with variation) AND Failed (with variation) | Different Means", IF(AND(ROUND(K35,8)=0, ROUND(N35,8)&gt;0), "Group 3: Flaky | Passed (no variation) AND Failed (with variation) | Different Means", "Group 4: Flaky | Passed (with variation) AND Failed (no variation) | Different Means"))), IF(AND(ROUND(K35,8)=0, ROUND(N35,8)=0), "Group 5: Flaky | Passed (no variation) AND Failed (no variation) | Equal Means", IF(AND(ROUND(K35,8)&gt;0, ROUND(N35,8)&gt;0), "Group 6: Flaky | Passed (with variation) AND Failed (with variation) | Equal Means", IF(AND(ROUND(K35,8)=0, ROUND(N35,8)&gt;0),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5" s="22" t="n">
        <v>100</v>
      </c>
      <c r="R35" s="22" t="n">
        <v>0</v>
      </c>
      <c r="S35" s="23" t="str">
        <f aca="false">IF(AND(Q35&gt;0, R35&gt;0), "Observed Flaky Test", "Non-observed Flaky Test")</f>
        <v>Non-observed Flaky Test</v>
      </c>
      <c r="T35" s="22" t="n">
        <v>2210513.11</v>
      </c>
      <c r="U35" s="24" t="n">
        <v>15.663697</v>
      </c>
      <c r="V35" s="25" t="n">
        <f aca="false">IFERROR(U35/T35*100,"N/A")</f>
        <v>0.000708600049877108</v>
      </c>
      <c r="W35" s="22" t="n">
        <v>0</v>
      </c>
      <c r="X35" s="22" t="n">
        <v>0</v>
      </c>
      <c r="Y35" s="27" t="str">
        <f aca="false">IFERROR(X35/W35*100,"N/A")</f>
        <v>N/A</v>
      </c>
      <c r="Z35" s="50" t="str">
        <f aca="false">IF(AND(Q35&gt;0, R35=0), IF(IFERROR(ROUND(V35,8),0)=0, "Group 9: Only Passed | Without variation (no var CV = 0)", "Group 10: Only Passed | With variation (with var CV &gt; 0)"), IF(AND(Q35=0, R35&gt;0), IF(IFERROR(ROUND(Y35,8),0)=0, "Group 11: Only Failed | Without variation (no var CV = 0)", "Group 12: Only Failed | With variation (with var CV &gt; 0)"), IF(AND(Q35&gt;0, R35&gt;0), IF(ROUND(T35,5)&lt;&gt;ROUND(W35,5), IF(AND(IFERROR(ROUND(V35,8),0)=0, IFERROR(ROUND(Y35,8),0)=0), "Group 1: Flaky | Passed (no variation: CV = 0) AND Failed (no variation: CV = 0) | Different Means", IF(AND(IFERROR(ROUND(V35,8),0)&gt;0, IFERROR(ROUND(Y35,8),0)&gt;0), "Group 2: Flaky | Passed (with variation: CV &gt; 0) AND Failed (with variation: CV &gt; 0) | Different Means", IF(AND(IFERROR(ROUND(V35,8),0)=0, IFERROR(ROUND(Y35,8),0)&gt;0), "Group 3: Flaky | Passed (no variation: CV = 0) AND Failed (with variation: CV &gt; 0) | Different Means", "Group 4: Flaky | Passed (with variation: CV &gt; 0) AND Failed (no variation: CV = 0) | Different Means"))), IF(AND(IFERROR(ROUND(V35,8),0)=0, IFERROR(ROUND(Y35,8),0)=0), "Group 5: Flaky | Passed (no var CV = 0) AND Failed (no var CV = 0) | Equal Means", IF(AND(IFERROR(ROUND(V35,8),0)&gt;0, IFERROR(ROUND(Y35,8),0)&gt;0), "Group 6: Flaky | Passed (with var CV &gt; 0) AND Failed (with var CV &gt; 0) | Equal Means", IF(AND(IFERROR(ROUND(V35,8),0)=0, IFERROR(ROUND(Y35,8),0)&gt;0),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5" s="29" t="n">
        <v>1.770917</v>
      </c>
      <c r="AB35" s="29" t="n">
        <v>0.059878</v>
      </c>
      <c r="AC35" s="29" t="n">
        <f aca="false">IFERROR(AB35/AA35*100,"N/A")</f>
        <v>3.3811861312529</v>
      </c>
      <c r="AD35" s="29" t="n">
        <v>0</v>
      </c>
      <c r="AE35" s="29" t="n">
        <v>0</v>
      </c>
      <c r="AF35" s="29" t="str">
        <f aca="false">IFERROR(AE35/AD35*100,"N/A")</f>
        <v>N/A</v>
      </c>
      <c r="AG35" s="51" t="str">
        <f aca="false">IF(AND(Q35&gt;0, R35=0), IF(IFERROR(ROUND(AC35,8),0)=0, "Group 9: Only Passed | Without variation (no var CV = 0)", "Group 10: Only Passed | With variation (with var CV &gt; 0)"), IF(AND(Q35=0, R35&gt;0), IF(IFERROR(ROUND(AF35,8),0)=0, "Group 11: Only Failed | Without variation (no var CV = 0)", "Group 12: Only Failed | With variation (with var CV &gt; 0)"), IF(AND(Q35&gt;0, R35&gt;0), IF(ROUND(AA35,5)&lt;&gt;ROUND(AD35,5), IF(AND(IFERROR(ROUND(AC35,8),0)=0, IFERROR(ROUND(AF35,8),0)=0), "Group 1: Flaky | Passed (no variation: CV = 0) AND Failed (no variation: CV = 0) | Different Means", IF(AND(IFERROR(ROUND(AC35,8),0)&gt;0, IFERROR(ROUND(AF35,8),0)&gt;0), "Group 2: Flaky | Passed (with variation: CV &gt; 0) AND Failed (with variation: CV &gt; 0) | Different Means", IF(AND(IFERROR(ROUND(AC35,8),0)=0, IFERROR(ROUND(AF35,8),0)&gt;0), "Group 3: Flaky | Passed (no variation: CV = 0) AND Failed (with variation: CV &gt; 0) | Different Means", "Group 4: Flaky | Passed (with variation: CV &gt; 0) AND Failed (no variation: CV = 0) | Different Means"))), IF(AND(IFERROR(ROUND(AC35,8),0)=0, IFERROR(ROUND(AF35,8),0)=0), "Group 5: Flaky | Passed (no var CV = 0) AND Failed (no var CV = 0) | Equal Means", IF(AND(IFERROR(ROUND(AC35,8),0)&gt;0, IFERROR(ROUND(AF35,8),0)&gt;0), "Group 6: Flaky | Passed (with var CV &gt; 0) AND Failed (with var CV &gt; 0) | Equal Means", IF(AND(IFERROR(ROUND(AC35,8),0)=0, IFERROR(ROUND(AF35,8),0)&gt;0),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5" s="22" t="n">
        <v>100</v>
      </c>
      <c r="AI35" s="17" t="n">
        <v>0</v>
      </c>
      <c r="AJ35" s="31" t="str">
        <f aca="false">IF(AND(AH35&gt;0, AI35&gt;0), "Observed Flaky Test", "Non-observed Flaky Test")</f>
        <v>Non-observed Flaky Test</v>
      </c>
      <c r="AK35" s="32" t="n">
        <v>346392</v>
      </c>
      <c r="AL35" s="32" t="n">
        <v>0</v>
      </c>
      <c r="AM35" s="33" t="n">
        <f aca="false">IFERROR(AL35/AK35*100,"N/A")</f>
        <v>0</v>
      </c>
      <c r="AN35" s="32" t="n">
        <v>0</v>
      </c>
      <c r="AO35" s="32" t="n">
        <v>0</v>
      </c>
      <c r="AP35" s="35" t="str">
        <f aca="false">IFERROR(AO35/AN35*100,"N/A")</f>
        <v>N/A</v>
      </c>
      <c r="AQ35" s="45" t="str">
        <f aca="false">IF(AND(AH35&gt;0, AI35&gt;0),
    IF(ROUND(N(AK35),5)&lt;&gt;ROUND(N(AN35),5),
        IF(AND(ROUND(N(AL35),8)=0, ROUND(N(AO35),8)=0), "Group 1: Flaky | Passed (no variation: SD = 0) AND Failed (no variation: SD = 0) | Different Means",
        IF(AND(ROUND(N(AL35),8)&gt;0, ROUND(N(AO35),8)&gt;0), "Group 2: Flaky | Passed (with variation: SD &gt; 0) AND Failed (with variation: SD &gt; 0) | Different Means",
        IF(AND(ROUND(N(AL35),8)=0, ROUND(N(AO35),8)&gt;0), "Group 3: Flaky | Passed (no variation: SD = 0) AND Failed (with variation: SD &gt; 0) | Different Means",
        "Group 4: Flaky | Passed (with variation: SD &gt; 0) AND Failed (no variation: SD = 0) | Different Means"))),
        IF(AND(ROUND(N(AL35),8)=0, ROUND(N(AO35),8)=0), "Group 5: Flaky | Passed (no var SD = 0) AND Failed (no var SD = 0) | Equal Means",
        IF(AND(ROUND(N(AL35),8)&gt;0, ROUND(N(AO35),8)&gt;0), "Group 6: Flaky | Passed (with var SD &gt; 0 ) AND Failed (with var SD &gt; 0) | Equal Means",
        IF(AND(ROUND(N(AL35),8)=0, ROUND(N(AO35),8)&gt;0), "Group 7: Flaky | Passed (no var SD = 0) AND Failed (with var SD &gt; 0) | Equal Means",
        "Group 8: Flaky | Passed (with var SD &gt; 0 ) AND Failed (no var SD = 0) | Equal Means")))
    ),
    IF(AH35&gt;0,
        IF(N(AL35)&gt;0, "Group 10: Only Passed | With variation (with var SD &gt; 0)", "Group 9: Only Passed | Without variation (no var SD = 0)"),
        IF(AI35&gt;0,
            IF(N(AO35)&gt;0,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5" s="37" t="str">
        <f aca="false">IF(OR(F35="Observed Flaky Test", I35="Observed Flaky Test", S35="Observed Flaky Test", AJ35="Observed Flaky Test"), "Observed Flaky Test", "Non-observed Flaky Test")</f>
        <v>Non-observed Flaky Test</v>
      </c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customFormat="false" ht="15.75" hidden="false" customHeight="true" outlineLevel="0" collapsed="false">
      <c r="A36" s="13"/>
      <c r="B36" s="14" t="s">
        <v>94</v>
      </c>
      <c r="C36" s="14" t="s">
        <v>95</v>
      </c>
      <c r="D36" s="15" t="n">
        <v>100</v>
      </c>
      <c r="E36" s="15" t="n">
        <v>0</v>
      </c>
      <c r="F36" s="16" t="str">
        <f aca="false">IF(AND(D36&gt;0, E36&gt;0), "Observed Flaky Test", "Non-observed Flaky Test")</f>
        <v>Non-observed Flaky Test</v>
      </c>
      <c r="G36" s="17" t="n">
        <v>100</v>
      </c>
      <c r="H36" s="17" t="n">
        <v>0</v>
      </c>
      <c r="I36" s="16" t="str">
        <f aca="false">IF(AND(G36&gt;0, H36&gt;0), "Observed Flaky Test", "Non-observed Flaky Test")</f>
        <v>Non-observed Flaky Test</v>
      </c>
      <c r="J36" s="18" t="n">
        <v>4.34</v>
      </c>
      <c r="K36" s="18" t="n">
        <v>0</v>
      </c>
      <c r="L36" s="19" t="n">
        <f aca="false">IFERROR(K36/J36*100,"N/A")</f>
        <v>0</v>
      </c>
      <c r="M36" s="18" t="n">
        <v>0</v>
      </c>
      <c r="N36" s="18" t="n">
        <v>0</v>
      </c>
      <c r="O36" s="20" t="str">
        <f aca="false">IFERROR(N36/M36*100,"N/A")</f>
        <v>N/A</v>
      </c>
      <c r="P36" s="56" t="str">
        <f aca="false">IF(AND(G36&gt;0, H36=0), IF(ROUND(K36,8)=0, "Group 9: Only Passed | Without variation (SD Passed = 0)", "Group 10: Only Passed | With variation (SD Passed &gt; 0)"), IF(AND(G36=0, H36&gt;0), IF(ROUND(N36,8)=0, "Group 11: Only Failed | Without variation (SD Failed = 0)", "Group 12: Only Failed | With variation (SD Failed &gt; 0)"), IF(AND(G36&gt;0, H36&gt;0), IF(ROUND(J36,5)&lt;&gt;ROUND(M36,5), IF(AND(ROUND(K36,8)=0, ROUND(N36,8)=0), "Group 1: Flaky | Passed (no variation) AND Failed (no variation) | Different Means", IF(AND(ROUND(K36,8)&gt;0, ROUND(N36,8)&gt;0), "Group 2: Flaky | Passed (with variation) AND Failed (with variation) | Different Means", IF(AND(ROUND(K36,8)=0, ROUND(N36,8)&gt;0), "Group 3: Flaky | Passed (no variation) AND Failed (with variation) | Different Means", "Group 4: Flaky | Passed (with variation) AND Failed (no variation) | Different Means"))), IF(AND(ROUND(K36,8)=0, ROUND(N36,8)=0), "Group 5: Flaky | Passed (no variation) AND Failed (no variation) | Equal Means", IF(AND(ROUND(K36,8)&gt;0, ROUND(N36,8)&gt;0), "Group 6: Flaky | Passed (with variation) AND Failed (with variation) | Equal Means", IF(AND(ROUND(K36,8)=0, ROUND(N36,8)&gt;0),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6" s="22" t="n">
        <v>100</v>
      </c>
      <c r="R36" s="22" t="n">
        <v>0</v>
      </c>
      <c r="S36" s="23" t="str">
        <f aca="false">IF(AND(Q36&gt;0, R36&gt;0), "Observed Flaky Test", "Non-observed Flaky Test")</f>
        <v>Non-observed Flaky Test</v>
      </c>
      <c r="T36" s="24" t="n">
        <v>1873607.71</v>
      </c>
      <c r="U36" s="24" t="n">
        <v>14.850974</v>
      </c>
      <c r="V36" s="25" t="n">
        <f aca="false">IFERROR(U36/T36*100,"N/A")</f>
        <v>0.000792640525587931</v>
      </c>
      <c r="W36" s="22" t="n">
        <v>0</v>
      </c>
      <c r="X36" s="22" t="n">
        <v>0</v>
      </c>
      <c r="Y36" s="27" t="str">
        <f aca="false">IFERROR(X36/W36*100,"N/A")</f>
        <v>N/A</v>
      </c>
      <c r="Z36" s="50" t="str">
        <f aca="false">IF(AND(Q36&gt;0, R36=0), IF(IFERROR(ROUND(V36,8),0)=0, "Group 9: Only Passed | Without variation (no var CV = 0)", "Group 10: Only Passed | With variation (with var CV &gt; 0)"), IF(AND(Q36=0, R36&gt;0), IF(IFERROR(ROUND(Y36,8),0)=0, "Group 11: Only Failed | Without variation (no var CV = 0)", "Group 12: Only Failed | With variation (with var CV &gt; 0)"), IF(AND(Q36&gt;0, R36&gt;0), IF(ROUND(T36,5)&lt;&gt;ROUND(W36,5), IF(AND(IFERROR(ROUND(V36,8),0)=0, IFERROR(ROUND(Y36,8),0)=0), "Group 1: Flaky | Passed (no variation: CV = 0) AND Failed (no variation: CV = 0) | Different Means", IF(AND(IFERROR(ROUND(V36,8),0)&gt;0, IFERROR(ROUND(Y36,8),0)&gt;0), "Group 2: Flaky | Passed (with variation: CV &gt; 0) AND Failed (with variation: CV &gt; 0) | Different Means", IF(AND(IFERROR(ROUND(V36,8),0)=0, IFERROR(ROUND(Y36,8),0)&gt;0), "Group 3: Flaky | Passed (no variation: CV = 0) AND Failed (with variation: CV &gt; 0) | Different Means", "Group 4: Flaky | Passed (with variation: CV &gt; 0) AND Failed (no variation: CV = 0) | Different Means"))), IF(AND(IFERROR(ROUND(V36,8),0)=0, IFERROR(ROUND(Y36,8),0)=0), "Group 5: Flaky | Passed (no var CV = 0) AND Failed (no var CV = 0) | Equal Means", IF(AND(IFERROR(ROUND(V36,8),0)&gt;0, IFERROR(ROUND(Y36,8),0)&gt;0), "Group 6: Flaky | Passed (with var CV &gt; 0) AND Failed (with var CV &gt; 0) | Equal Means", IF(AND(IFERROR(ROUND(V36,8),0)=0, IFERROR(ROUND(Y36,8),0)&gt;0),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6" s="29" t="n">
        <v>3.155069</v>
      </c>
      <c r="AB36" s="29" t="n">
        <v>0.048961</v>
      </c>
      <c r="AC36" s="29" t="n">
        <f aca="false">IFERROR(AB36/AA36*100,"N/A")</f>
        <v>1.55182026130015</v>
      </c>
      <c r="AD36" s="29" t="n">
        <v>0</v>
      </c>
      <c r="AE36" s="29" t="n">
        <v>0</v>
      </c>
      <c r="AF36" s="29" t="str">
        <f aca="false">IFERROR(AE36/AD36*100,"N/A")</f>
        <v>N/A</v>
      </c>
      <c r="AG36" s="51" t="str">
        <f aca="false">IF(AND(Q36&gt;0, R36=0), IF(IFERROR(ROUND(AC36,8),0)=0, "Group 9: Only Passed | Without variation (no var CV = 0)", "Group 10: Only Passed | With variation (with var CV &gt; 0)"), IF(AND(Q36=0, R36&gt;0), IF(IFERROR(ROUND(AF36,8),0)=0, "Group 11: Only Failed | Without variation (no var CV = 0)", "Group 12: Only Failed | With variation (with var CV &gt; 0)"), IF(AND(Q36&gt;0, R36&gt;0), IF(ROUND(AA36,5)&lt;&gt;ROUND(AD36,5), IF(AND(IFERROR(ROUND(AC36,8),0)=0, IFERROR(ROUND(AF36,8),0)=0), "Group 1: Flaky | Passed (no variation: CV = 0) AND Failed (no variation: CV = 0) | Different Means", IF(AND(IFERROR(ROUND(AC36,8),0)&gt;0, IFERROR(ROUND(AF36,8),0)&gt;0), "Group 2: Flaky | Passed (with variation: CV &gt; 0) AND Failed (with variation: CV &gt; 0) | Different Means", IF(AND(IFERROR(ROUND(AC36,8),0)=0, IFERROR(ROUND(AF36,8),0)&gt;0), "Group 3: Flaky | Passed (no variation: CV = 0) AND Failed (with variation: CV &gt; 0) | Different Means", "Group 4: Flaky | Passed (with variation: CV &gt; 0) AND Failed (no variation: CV = 0) | Different Means"))), IF(AND(IFERROR(ROUND(AC36,8),0)=0, IFERROR(ROUND(AF36,8),0)=0), "Group 5: Flaky | Passed (no var CV = 0) AND Failed (no var CV = 0) | Equal Means", IF(AND(IFERROR(ROUND(AC36,8),0)&gt;0, IFERROR(ROUND(AF36,8),0)&gt;0), "Group 6: Flaky | Passed (with var CV &gt; 0) AND Failed (with var CV &gt; 0) | Equal Means", IF(AND(IFERROR(ROUND(AC36,8),0)=0, IFERROR(ROUND(AF36,8),0)&gt;0),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6" s="22" t="n">
        <v>100</v>
      </c>
      <c r="AI36" s="17" t="n">
        <v>0</v>
      </c>
      <c r="AJ36" s="31" t="str">
        <f aca="false">IF(AND(AH36&gt;0, AI36&gt;0), "Observed Flaky Test", "Non-observed Flaky Test")</f>
        <v>Non-observed Flaky Test</v>
      </c>
      <c r="AK36" s="32" t="n">
        <v>27868</v>
      </c>
      <c r="AL36" s="32" t="n">
        <v>0</v>
      </c>
      <c r="AM36" s="33" t="n">
        <f aca="false">IFERROR(AL36/AK36*100,"N/A")</f>
        <v>0</v>
      </c>
      <c r="AN36" s="32" t="n">
        <v>0</v>
      </c>
      <c r="AO36" s="32" t="n">
        <v>0</v>
      </c>
      <c r="AP36" s="35" t="str">
        <f aca="false">IFERROR(AO36/AN36*100,"N/A")</f>
        <v>N/A</v>
      </c>
      <c r="AQ36" s="45" t="str">
        <f aca="false">IF(AND(AH36&gt;0, AI36&gt;0),
    IF(ROUND(N(AK36),5)&lt;&gt;ROUND(N(AN36),5),
        IF(AND(ROUND(N(AL36),8)=0, ROUND(N(AO36),8)=0), "Group 1: Flaky | Passed (no variation: SD = 0) AND Failed (no variation: SD = 0) | Different Means",
        IF(AND(ROUND(N(AL36),8)&gt;0, ROUND(N(AO36),8)&gt;0), "Group 2: Flaky | Passed (with variation: SD &gt; 0) AND Failed (with variation: SD &gt; 0) | Different Means",
        IF(AND(ROUND(N(AL36),8)=0, ROUND(N(AO36),8)&gt;0), "Group 3: Flaky | Passed (no variation: SD = 0) AND Failed (with variation: SD &gt; 0) | Different Means",
        "Group 4: Flaky | Passed (with variation: SD &gt; 0) AND Failed (no variation: SD = 0) | Different Means"))),
        IF(AND(ROUND(N(AL36),8)=0, ROUND(N(AO36),8)=0), "Group 5: Flaky | Passed (no var SD = 0) AND Failed (no var SD = 0) | Equal Means",
        IF(AND(ROUND(N(AL36),8)&gt;0, ROUND(N(AO36),8)&gt;0), "Group 6: Flaky | Passed (with var SD &gt; 0 ) AND Failed (with var SD &gt; 0) | Equal Means",
        IF(AND(ROUND(N(AL36),8)=0, ROUND(N(AO36),8)&gt;0), "Group 7: Flaky | Passed (no var SD = 0) AND Failed (with var SD &gt; 0) | Equal Means",
        "Group 8: Flaky | Passed (with var SD &gt; 0 ) AND Failed (no var SD = 0) | Equal Means")))
    ),
    IF(AH36&gt;0,
        IF(N(AL36)&gt;0, "Group 10: Only Passed | With variation (with var SD &gt; 0)", "Group 9: Only Passed | Without variation (no var SD = 0)"),
        IF(AI36&gt;0,
            IF(N(AO36)&gt;0,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6" s="37" t="str">
        <f aca="false">IF(OR(F36="Observed Flaky Test", I36="Observed Flaky Test", S36="Observed Flaky Test", AJ36="Observed Flaky Test"), "Observed Flaky Test", "Non-observed Flaky Test")</f>
        <v>Non-observed Flaky Test</v>
      </c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</row>
    <row r="37" customFormat="false" ht="15.75" hidden="false" customHeight="true" outlineLevel="0" collapsed="false">
      <c r="A37" s="13"/>
      <c r="B37" s="14" t="s">
        <v>96</v>
      </c>
      <c r="C37" s="14" t="s">
        <v>97</v>
      </c>
      <c r="D37" s="15" t="n">
        <v>100</v>
      </c>
      <c r="E37" s="15" t="n">
        <v>0</v>
      </c>
      <c r="F37" s="16" t="str">
        <f aca="false">IF(AND(D37&gt;0, E37&gt;0), "Observed Flaky Test", "Non-observed Flaky Test")</f>
        <v>Non-observed Flaky Test</v>
      </c>
      <c r="G37" s="17" t="n">
        <v>100</v>
      </c>
      <c r="H37" s="17" t="n">
        <v>0</v>
      </c>
      <c r="I37" s="16" t="str">
        <f aca="false">IF(AND(G37&gt;0, H37&gt;0), "Observed Flaky Test", "Non-observed Flaky Test")</f>
        <v>Non-observed Flaky Test</v>
      </c>
      <c r="J37" s="18" t="n">
        <v>4.35</v>
      </c>
      <c r="K37" s="18" t="n">
        <v>0</v>
      </c>
      <c r="L37" s="19" t="n">
        <f aca="false">IFERROR(K37/J37*100,"N/A")</f>
        <v>0</v>
      </c>
      <c r="M37" s="18" t="n">
        <v>0</v>
      </c>
      <c r="N37" s="18" t="n">
        <v>0</v>
      </c>
      <c r="O37" s="20" t="str">
        <f aca="false">IFERROR(N37/M37*100,"N/A")</f>
        <v>N/A</v>
      </c>
      <c r="P37" s="56" t="str">
        <f aca="false">IF(AND(G37&gt;0, H37=0), IF(ROUND(K37,8)=0, "Group 9: Only Passed | Without variation (SD Passed = 0)", "Group 10: Only Passed | With variation (SD Passed &gt; 0)"), IF(AND(G37=0, H37&gt;0), IF(ROUND(N37,8)=0, "Group 11: Only Failed | Without variation (SD Failed = 0)", "Group 12: Only Failed | With variation (SD Failed &gt; 0)"), IF(AND(G37&gt;0, H37&gt;0), IF(ROUND(J37,5)&lt;&gt;ROUND(M37,5), IF(AND(ROUND(K37,8)=0, ROUND(N37,8)=0), "Group 1: Flaky | Passed (no variation) AND Failed (no variation) | Different Means", IF(AND(ROUND(K37,8)&gt;0, ROUND(N37,8)&gt;0), "Group 2: Flaky | Passed (with variation) AND Failed (with variation) | Different Means", IF(AND(ROUND(K37,8)=0, ROUND(N37,8)&gt;0), "Group 3: Flaky | Passed (no variation) AND Failed (with variation) | Different Means", "Group 4: Flaky | Passed (with variation) AND Failed (no variation) | Different Means"))), IF(AND(ROUND(K37,8)=0, ROUND(N37,8)=0), "Group 5: Flaky | Passed (no variation) AND Failed (no variation) | Equal Means", IF(AND(ROUND(K37,8)&gt;0, ROUND(N37,8)&gt;0), "Group 6: Flaky | Passed (with variation) AND Failed (with variation) | Equal Means", IF(AND(ROUND(K37,8)=0, ROUND(N37,8)&gt;0),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7" s="22" t="n">
        <v>100</v>
      </c>
      <c r="R37" s="22" t="n">
        <v>0</v>
      </c>
      <c r="S37" s="23" t="str">
        <f aca="false">IF(AND(Q37&gt;0, R37&gt;0), "Observed Flaky Test", "Non-observed Flaky Test")</f>
        <v>Non-observed Flaky Test</v>
      </c>
      <c r="T37" s="22" t="n">
        <v>1920055.77</v>
      </c>
      <c r="U37" s="24" t="n">
        <v>17.198106</v>
      </c>
      <c r="V37" s="25" t="n">
        <f aca="false">IFERROR(U37/T37*100,"N/A")</f>
        <v>0.000895708669962227</v>
      </c>
      <c r="W37" s="22" t="n">
        <v>0</v>
      </c>
      <c r="X37" s="22" t="n">
        <v>0</v>
      </c>
      <c r="Y37" s="27" t="str">
        <f aca="false">IFERROR(X37/W37*100,"N/A")</f>
        <v>N/A</v>
      </c>
      <c r="Z37" s="50" t="str">
        <f aca="false">IF(AND(Q37&gt;0, R37=0), IF(IFERROR(ROUND(V37,8),0)=0, "Group 9: Only Passed | Without variation (no var CV = 0)", "Group 10: Only Passed | With variation (with var CV &gt; 0)"), IF(AND(Q37=0, R37&gt;0), IF(IFERROR(ROUND(Y37,8),0)=0, "Group 11: Only Failed | Without variation (no var CV = 0)", "Group 12: Only Failed | With variation (with var CV &gt; 0)"), IF(AND(Q37&gt;0, R37&gt;0), IF(ROUND(T37,5)&lt;&gt;ROUND(W37,5), IF(AND(IFERROR(ROUND(V37,8),0)=0, IFERROR(ROUND(Y37,8),0)=0), "Group 1: Flaky | Passed (no variation: CV = 0) AND Failed (no variation: CV = 0) | Different Means", IF(AND(IFERROR(ROUND(V37,8),0)&gt;0, IFERROR(ROUND(Y37,8),0)&gt;0), "Group 2: Flaky | Passed (with variation: CV &gt; 0) AND Failed (with variation: CV &gt; 0) | Different Means", IF(AND(IFERROR(ROUND(V37,8),0)=0, IFERROR(ROUND(Y37,8),0)&gt;0), "Group 3: Flaky | Passed (no variation: CV = 0) AND Failed (with variation: CV &gt; 0) | Different Means", "Group 4: Flaky | Passed (with variation: CV &gt; 0) AND Failed (no variation: CV = 0) | Different Means"))), IF(AND(IFERROR(ROUND(V37,8),0)=0, IFERROR(ROUND(Y37,8),0)=0), "Group 5: Flaky | Passed (no var CV = 0) AND Failed (no var CV = 0) | Equal Means", IF(AND(IFERROR(ROUND(V37,8),0)&gt;0, IFERROR(ROUND(Y37,8),0)&gt;0), "Group 6: Flaky | Passed (with var CV &gt; 0) AND Failed (with var CV &gt; 0) | Equal Means", IF(AND(IFERROR(ROUND(V37,8),0)=0, IFERROR(ROUND(Y37,8),0)&gt;0),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7" s="29" t="n">
        <v>13.20447</v>
      </c>
      <c r="AB37" s="29" t="n">
        <v>0.038155</v>
      </c>
      <c r="AC37" s="29" t="n">
        <f aca="false">IFERROR(AB37/AA37*100,"N/A")</f>
        <v>0.288955179571766</v>
      </c>
      <c r="AD37" s="29" t="n">
        <v>0</v>
      </c>
      <c r="AE37" s="29" t="n">
        <v>0</v>
      </c>
      <c r="AF37" s="29" t="str">
        <f aca="false">IFERROR(AE37/AD37*100,"N/A")</f>
        <v>N/A</v>
      </c>
      <c r="AG37" s="51" t="str">
        <f aca="false">IF(AND(Q37&gt;0, R37=0), IF(IFERROR(ROUND(AC37,8),0)=0, "Group 9: Only Passed | Without variation (no var CV = 0)", "Group 10: Only Passed | With variation (with var CV &gt; 0)"), IF(AND(Q37=0, R37&gt;0), IF(IFERROR(ROUND(AF37,8),0)=0, "Group 11: Only Failed | Without variation (no var CV = 0)", "Group 12: Only Failed | With variation (with var CV &gt; 0)"), IF(AND(Q37&gt;0, R37&gt;0), IF(ROUND(AA37,5)&lt;&gt;ROUND(AD37,5), IF(AND(IFERROR(ROUND(AC37,8),0)=0, IFERROR(ROUND(AF37,8),0)=0), "Group 1: Flaky | Passed (no variation: CV = 0) AND Failed (no variation: CV = 0) | Different Means", IF(AND(IFERROR(ROUND(AC37,8),0)&gt;0, IFERROR(ROUND(AF37,8),0)&gt;0), "Group 2: Flaky | Passed (with variation: CV &gt; 0) AND Failed (with variation: CV &gt; 0) | Different Means", IF(AND(IFERROR(ROUND(AC37,8),0)=0, IFERROR(ROUND(AF37,8),0)&gt;0), "Group 3: Flaky | Passed (no variation: CV = 0) AND Failed (with variation: CV &gt; 0) | Different Means", "Group 4: Flaky | Passed (with variation: CV &gt; 0) AND Failed (no variation: CV = 0) | Different Means"))), IF(AND(IFERROR(ROUND(AC37,8),0)=0, IFERROR(ROUND(AF37,8),0)=0), "Group 5: Flaky | Passed (no var CV = 0) AND Failed (no var CV = 0) | Equal Means", IF(AND(IFERROR(ROUND(AC37,8),0)&gt;0, IFERROR(ROUND(AF37,8),0)&gt;0), "Group 6: Flaky | Passed (with var CV &gt; 0) AND Failed (with var CV &gt; 0) | Equal Means", IF(AND(IFERROR(ROUND(AC37,8),0)=0, IFERROR(ROUND(AF37,8),0)&gt;0),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7" s="22" t="n">
        <v>100</v>
      </c>
      <c r="AI37" s="17" t="n">
        <v>0</v>
      </c>
      <c r="AJ37" s="31" t="str">
        <f aca="false">IF(AND(AH37&gt;0, AI37&gt;0), "Observed Flaky Test", "Non-observed Flaky Test")</f>
        <v>Non-observed Flaky Test</v>
      </c>
      <c r="AK37" s="32" t="n">
        <v>95300</v>
      </c>
      <c r="AL37" s="32" t="n">
        <v>0</v>
      </c>
      <c r="AM37" s="33" t="n">
        <f aca="false">IFERROR(AL37/AK37*100,"N/A")</f>
        <v>0</v>
      </c>
      <c r="AN37" s="32" t="n">
        <v>0</v>
      </c>
      <c r="AO37" s="32" t="n">
        <v>0</v>
      </c>
      <c r="AP37" s="35" t="str">
        <f aca="false">IFERROR(AO37/AN37*100,"N/A")</f>
        <v>N/A</v>
      </c>
      <c r="AQ37" s="45" t="str">
        <f aca="false">IF(AND(AH37&gt;0, AI37&gt;0),
    IF(ROUND(N(AK37),5)&lt;&gt;ROUND(N(AN37),5),
        IF(AND(ROUND(N(AL37),8)=0, ROUND(N(AO37),8)=0), "Group 1: Flaky | Passed (no variation: SD = 0) AND Failed (no variation: SD = 0) | Different Means",
        IF(AND(ROUND(N(AL37),8)&gt;0, ROUND(N(AO37),8)&gt;0), "Group 2: Flaky | Passed (with variation: SD &gt; 0) AND Failed (with variation: SD &gt; 0) | Different Means",
        IF(AND(ROUND(N(AL37),8)=0, ROUND(N(AO37),8)&gt;0), "Group 3: Flaky | Passed (no variation: SD = 0) AND Failed (with variation: SD &gt; 0) | Different Means",
        "Group 4: Flaky | Passed (with variation: SD &gt; 0) AND Failed (no variation: SD = 0) | Different Means"))),
        IF(AND(ROUND(N(AL37),8)=0, ROUND(N(AO37),8)=0), "Group 5: Flaky | Passed (no var SD = 0) AND Failed (no var SD = 0) | Equal Means",
        IF(AND(ROUND(N(AL37),8)&gt;0, ROUND(N(AO37),8)&gt;0), "Group 6: Flaky | Passed (with var SD &gt; 0 ) AND Failed (with var SD &gt; 0) | Equal Means",
        IF(AND(ROUND(N(AL37),8)=0, ROUND(N(AO37),8)&gt;0), "Group 7: Flaky | Passed (no var SD = 0) AND Failed (with var SD &gt; 0) | Equal Means",
        "Group 8: Flaky | Passed (with var SD &gt; 0 ) AND Failed (no var SD = 0) | Equal Means")))
    ),
    IF(AH37&gt;0,
        IF(N(AL37)&gt;0, "Group 10: Only Passed | With variation (with var SD &gt; 0)", "Group 9: Only Passed | Without variation (no var SD = 0)"),
        IF(AI37&gt;0,
            IF(N(AO37)&gt;0,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7" s="37" t="str">
        <f aca="false">IF(OR(F37="Observed Flaky Test", I37="Observed Flaky Test", S37="Observed Flaky Test", AJ37="Observed Flaky Test"), "Observed Flaky Test", "Non-observed Flaky Test")</f>
        <v>Non-observed Flaky Test</v>
      </c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</row>
    <row r="38" customFormat="false" ht="15.75" hidden="false" customHeight="true" outlineLevel="0" collapsed="false">
      <c r="A38" s="13"/>
      <c r="B38" s="14" t="s">
        <v>98</v>
      </c>
      <c r="C38" s="14" t="s">
        <v>99</v>
      </c>
      <c r="D38" s="15" t="n">
        <v>100</v>
      </c>
      <c r="E38" s="15" t="n">
        <v>0</v>
      </c>
      <c r="F38" s="16" t="str">
        <f aca="false">IF(AND(D38&gt;0, E38&gt;0), "Observed Flaky Test", "Non-observed Flaky Test")</f>
        <v>Non-observed Flaky Test</v>
      </c>
      <c r="G38" s="17" t="n">
        <v>100</v>
      </c>
      <c r="H38" s="17" t="n">
        <v>0</v>
      </c>
      <c r="I38" s="16" t="str">
        <f aca="false">IF(AND(G38&gt;0, H38&gt;0), "Observed Flaky Test", "Non-observed Flaky Test")</f>
        <v>Non-observed Flaky Test</v>
      </c>
      <c r="J38" s="18" t="n">
        <v>4.34</v>
      </c>
      <c r="K38" s="18" t="n">
        <v>0</v>
      </c>
      <c r="L38" s="19" t="n">
        <f aca="false">IFERROR(K38/J38*100,"N/A")</f>
        <v>0</v>
      </c>
      <c r="M38" s="18" t="n">
        <v>0</v>
      </c>
      <c r="N38" s="18" t="n">
        <v>0</v>
      </c>
      <c r="O38" s="20" t="str">
        <f aca="false">IFERROR(N38/M38*100,"N/A")</f>
        <v>N/A</v>
      </c>
      <c r="P38" s="56" t="str">
        <f aca="false">IF(AND(G38&gt;0, H38=0), IF(ROUND(K38,8)=0, "Group 9: Only Passed | Without variation (SD Passed = 0)", "Group 10: Only Passed | With variation (SD Passed &gt; 0)"), IF(AND(G38=0, H38&gt;0), IF(ROUND(N38,8)=0, "Group 11: Only Failed | Without variation (SD Failed = 0)", "Group 12: Only Failed | With variation (SD Failed &gt; 0)"), IF(AND(G38&gt;0, H38&gt;0), IF(ROUND(J38,5)&lt;&gt;ROUND(M38,5), IF(AND(ROUND(K38,8)=0, ROUND(N38,8)=0), "Group 1: Flaky | Passed (no variation) AND Failed (no variation) | Different Means", IF(AND(ROUND(K38,8)&gt;0, ROUND(N38,8)&gt;0), "Group 2: Flaky | Passed (with variation) AND Failed (with variation) | Different Means", IF(AND(ROUND(K38,8)=0, ROUND(N38,8)&gt;0), "Group 3: Flaky | Passed (no variation) AND Failed (with variation) | Different Means", "Group 4: Flaky | Passed (with variation) AND Failed (no variation) | Different Means"))), IF(AND(ROUND(K38,8)=0, ROUND(N38,8)=0), "Group 5: Flaky | Passed (no variation) AND Failed (no variation) | Equal Means", IF(AND(ROUND(K38,8)&gt;0, ROUND(N38,8)&gt;0), "Group 6: Flaky | Passed (with variation) AND Failed (with variation) | Equal Means", IF(AND(ROUND(K38,8)=0, ROUND(N38,8)&gt;0),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8" s="22" t="n">
        <v>100</v>
      </c>
      <c r="R38" s="22" t="n">
        <v>0</v>
      </c>
      <c r="S38" s="23" t="str">
        <f aca="false">IF(AND(Q38&gt;0, R38&gt;0), "Observed Flaky Test", "Non-observed Flaky Test")</f>
        <v>Non-observed Flaky Test</v>
      </c>
      <c r="T38" s="22" t="n">
        <v>1872696.51</v>
      </c>
      <c r="U38" s="75" t="n">
        <v>14.9061</v>
      </c>
      <c r="V38" s="25" t="n">
        <f aca="false">IFERROR(U38/T38*100,"N/A")</f>
        <v>0.000795969871274017</v>
      </c>
      <c r="W38" s="22" t="n">
        <v>0</v>
      </c>
      <c r="X38" s="22" t="n">
        <v>0</v>
      </c>
      <c r="Y38" s="27" t="str">
        <f aca="false">IFERROR(X38/W38*100,"N/A")</f>
        <v>N/A</v>
      </c>
      <c r="Z38" s="50" t="str">
        <f aca="false">IF(AND(Q38&gt;0, R38=0), IF(IFERROR(ROUND(V38,8),0)=0, "Group 9: Only Passed | Without variation (no var CV = 0)", "Group 10: Only Passed | With variation (with var CV &gt; 0)"), IF(AND(Q38=0, R38&gt;0), IF(IFERROR(ROUND(Y38,8),0)=0, "Group 11: Only Failed | Without variation (no var CV = 0)", "Group 12: Only Failed | With variation (with var CV &gt; 0)"), IF(AND(Q38&gt;0, R38&gt;0), IF(ROUND(T38,5)&lt;&gt;ROUND(W38,5), IF(AND(IFERROR(ROUND(V38,8),0)=0, IFERROR(ROUND(Y38,8),0)=0), "Group 1: Flaky | Passed (no variation: CV = 0) AND Failed (no variation: CV = 0) | Different Means", IF(AND(IFERROR(ROUND(V38,8),0)&gt;0, IFERROR(ROUND(Y38,8),0)&gt;0), "Group 2: Flaky | Passed (with variation: CV &gt; 0) AND Failed (with variation: CV &gt; 0) | Different Means", IF(AND(IFERROR(ROUND(V38,8),0)=0, IFERROR(ROUND(Y38,8),0)&gt;0), "Group 3: Flaky | Passed (no variation: CV = 0) AND Failed (with variation: CV &gt; 0) | Different Means", "Group 4: Flaky | Passed (with variation: CV &gt; 0) AND Failed (no variation: CV = 0) | Different Means"))), IF(AND(IFERROR(ROUND(V38,8),0)=0, IFERROR(ROUND(Y38,8),0)=0), "Group 5: Flaky | Passed (no var CV = 0) AND Failed (no var CV = 0) | Equal Means", IF(AND(IFERROR(ROUND(V38,8),0)&gt;0, IFERROR(ROUND(Y38,8),0)&gt;0), "Group 6: Flaky | Passed (with var CV &gt; 0) AND Failed (with var CV &gt; 0) | Equal Means", IF(AND(IFERROR(ROUND(V38,8),0)=0, IFERROR(ROUND(Y38,8),0)&gt;0),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8" s="29" t="n">
        <v>3.142049</v>
      </c>
      <c r="AB38" s="29" t="n">
        <v>0.071607</v>
      </c>
      <c r="AC38" s="29" t="n">
        <f aca="false">IFERROR(AB38/AA38*100,"N/A")</f>
        <v>2.27899055679908</v>
      </c>
      <c r="AD38" s="29" t="n">
        <v>0</v>
      </c>
      <c r="AE38" s="29" t="n">
        <v>0</v>
      </c>
      <c r="AF38" s="29" t="str">
        <f aca="false">IFERROR(AE38/AD38*100,"N/A")</f>
        <v>N/A</v>
      </c>
      <c r="AG38" s="51" t="str">
        <f aca="false">IF(AND(Q38&gt;0, R38=0), IF(IFERROR(ROUND(AC38,8),0)=0, "Group 9: Only Passed | Without variation (no var CV = 0)", "Group 10: Only Passed | With variation (with var CV &gt; 0)"), IF(AND(Q38=0, R38&gt;0), IF(IFERROR(ROUND(AF38,8),0)=0, "Group 11: Only Failed | Without variation (no var CV = 0)", "Group 12: Only Failed | With variation (with var CV &gt; 0)"), IF(AND(Q38&gt;0, R38&gt;0), IF(ROUND(AA38,5)&lt;&gt;ROUND(AD38,5), IF(AND(IFERROR(ROUND(AC38,8),0)=0, IFERROR(ROUND(AF38,8),0)=0), "Group 1: Flaky | Passed (no variation: CV = 0) AND Failed (no variation: CV = 0) | Different Means", IF(AND(IFERROR(ROUND(AC38,8),0)&gt;0, IFERROR(ROUND(AF38,8),0)&gt;0), "Group 2: Flaky | Passed (with variation: CV &gt; 0) AND Failed (with variation: CV &gt; 0) | Different Means", IF(AND(IFERROR(ROUND(AC38,8),0)=0, IFERROR(ROUND(AF38,8),0)&gt;0), "Group 3: Flaky | Passed (no variation: CV = 0) AND Failed (with variation: CV &gt; 0) | Different Means", "Group 4: Flaky | Passed (with variation: CV &gt; 0) AND Failed (no variation: CV = 0) | Different Means"))), IF(AND(IFERROR(ROUND(AC38,8),0)=0, IFERROR(ROUND(AF38,8),0)=0), "Group 5: Flaky | Passed (no var CV = 0) AND Failed (no var CV = 0) | Equal Means", IF(AND(IFERROR(ROUND(AC38,8),0)&gt;0, IFERROR(ROUND(AF38,8),0)&gt;0), "Group 6: Flaky | Passed (with var CV &gt; 0) AND Failed (with var CV &gt; 0) | Equal Means", IF(AND(IFERROR(ROUND(AC38,8),0)=0, IFERROR(ROUND(AF38,8),0)&gt;0),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8" s="22" t="n">
        <v>100</v>
      </c>
      <c r="AI38" s="17" t="n">
        <v>0</v>
      </c>
      <c r="AJ38" s="31" t="str">
        <f aca="false">IF(AND(AH38&gt;0, AI38&gt;0), "Observed Flaky Test", "Non-observed Flaky Test")</f>
        <v>Non-observed Flaky Test</v>
      </c>
      <c r="AK38" s="32" t="n">
        <v>26294</v>
      </c>
      <c r="AL38" s="32" t="n">
        <v>0</v>
      </c>
      <c r="AM38" s="33" t="n">
        <f aca="false">IFERROR(AL38/AK38*100,"N/A")</f>
        <v>0</v>
      </c>
      <c r="AN38" s="32" t="n">
        <v>0</v>
      </c>
      <c r="AO38" s="32" t="n">
        <v>0</v>
      </c>
      <c r="AP38" s="35" t="str">
        <f aca="false">IFERROR(AO38/AN38*100,"N/A")</f>
        <v>N/A</v>
      </c>
      <c r="AQ38" s="45" t="str">
        <f aca="false">IF(AND(AH38&gt;0, AI38&gt;0),
    IF(ROUND(N(AK38),5)&lt;&gt;ROUND(N(AN38),5),
        IF(AND(ROUND(N(AL38),8)=0, ROUND(N(AO38),8)=0), "Group 1: Flaky | Passed (no variation: SD = 0) AND Failed (no variation: SD = 0) | Different Means",
        IF(AND(ROUND(N(AL38),8)&gt;0, ROUND(N(AO38),8)&gt;0), "Group 2: Flaky | Passed (with variation: SD &gt; 0) AND Failed (with variation: SD &gt; 0) | Different Means",
        IF(AND(ROUND(N(AL38),8)=0, ROUND(N(AO38),8)&gt;0), "Group 3: Flaky | Passed (no variation: SD = 0) AND Failed (with variation: SD &gt; 0) | Different Means",
        "Group 4: Flaky | Passed (with variation: SD &gt; 0) AND Failed (no variation: SD = 0) | Different Means"))),
        IF(AND(ROUND(N(AL38),8)=0, ROUND(N(AO38),8)=0), "Group 5: Flaky | Passed (no var SD = 0) AND Failed (no var SD = 0) | Equal Means",
        IF(AND(ROUND(N(AL38),8)&gt;0, ROUND(N(AO38),8)&gt;0), "Group 6: Flaky | Passed (with var SD &gt; 0 ) AND Failed (with var SD &gt; 0) | Equal Means",
        IF(AND(ROUND(N(AL38),8)=0, ROUND(N(AO38),8)&gt;0), "Group 7: Flaky | Passed (no var SD = 0) AND Failed (with var SD &gt; 0) | Equal Means",
        "Group 8: Flaky | Passed (with var SD &gt; 0 ) AND Failed (no var SD = 0) | Equal Means")))
    ),
    IF(AH38&gt;0,
        IF(N(AL38)&gt;0, "Group 10: Only Passed | With variation (with var SD &gt; 0)", "Group 9: Only Passed | Without variation (no var SD = 0)"),
        IF(AI38&gt;0,
            IF(N(AO38)&gt;0,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8" s="37" t="str">
        <f aca="false">IF(OR(F38="Observed Flaky Test", I38="Observed Flaky Test", S38="Observed Flaky Test", AJ38="Observed Flaky Test"), "Observed Flaky Test", "Non-observed Flaky Test")</f>
        <v>Non-observed Flaky Test</v>
      </c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</row>
    <row r="39" customFormat="false" ht="15.75" hidden="false" customHeight="true" outlineLevel="0" collapsed="false">
      <c r="A39" s="13"/>
      <c r="B39" s="14" t="s">
        <v>100</v>
      </c>
      <c r="C39" s="14" t="s">
        <v>101</v>
      </c>
      <c r="D39" s="15" t="n">
        <v>100</v>
      </c>
      <c r="E39" s="15" t="n">
        <v>0</v>
      </c>
      <c r="F39" s="16" t="str">
        <f aca="false">IF(AND(D39&gt;0, E39&gt;0), "Observed Flaky Test", "Non-observed Flaky Test")</f>
        <v>Non-observed Flaky Test</v>
      </c>
      <c r="G39" s="17" t="n">
        <v>100</v>
      </c>
      <c r="H39" s="17" t="n">
        <v>0</v>
      </c>
      <c r="I39" s="16" t="str">
        <f aca="false">IF(AND(G39&gt;0, H39&gt;0), "Observed Flaky Test", "Non-observed Flaky Test")</f>
        <v>Non-observed Flaky Test</v>
      </c>
      <c r="J39" s="18" t="n">
        <v>4.3</v>
      </c>
      <c r="K39" s="18" t="n">
        <v>0</v>
      </c>
      <c r="L39" s="19" t="n">
        <f aca="false">IFERROR(K39/J39*100,"N/A")</f>
        <v>0</v>
      </c>
      <c r="M39" s="18" t="n">
        <v>0</v>
      </c>
      <c r="N39" s="18" t="n">
        <v>0</v>
      </c>
      <c r="O39" s="20" t="str">
        <f aca="false">IFERROR(N39/M39*100,"N/A")</f>
        <v>N/A</v>
      </c>
      <c r="P39" s="56" t="str">
        <f aca="false">IF(AND(G39&gt;0, H39=0), IF(ROUND(K39,8)=0, "Group 9: Only Passed | Without variation (SD Passed = 0)", "Group 10: Only Passed | With variation (SD Passed &gt; 0)"), IF(AND(G39=0, H39&gt;0), IF(ROUND(N39,8)=0, "Group 11: Only Failed | Without variation (SD Failed = 0)", "Group 12: Only Failed | With variation (SD Failed &gt; 0)"), IF(AND(G39&gt;0, H39&gt;0), IF(ROUND(J39,5)&lt;&gt;ROUND(M39,5), IF(AND(ROUND(K39,8)=0, ROUND(N39,8)=0), "Group 1: Flaky | Passed (no variation) AND Failed (no variation) | Different Means", IF(AND(ROUND(K39,8)&gt;0, ROUND(N39,8)&gt;0), "Group 2: Flaky | Passed (with variation) AND Failed (with variation) | Different Means", IF(AND(ROUND(K39,8)=0, ROUND(N39,8)&gt;0), "Group 3: Flaky | Passed (no variation) AND Failed (with variation) | Different Means", "Group 4: Flaky | Passed (with variation) AND Failed (no variation) | Different Means"))), IF(AND(ROUND(K39,8)=0, ROUND(N39,8)=0), "Group 5: Flaky | Passed (no variation) AND Failed (no variation) | Equal Means", IF(AND(ROUND(K39,8)&gt;0, ROUND(N39,8)&gt;0), "Group 6: Flaky | Passed (with variation) AND Failed (with variation) | Equal Means", IF(AND(ROUND(K39,8)=0, ROUND(N39,8)&gt;0),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39" s="22" t="n">
        <v>100</v>
      </c>
      <c r="R39" s="22" t="n">
        <v>0</v>
      </c>
      <c r="S39" s="23" t="str">
        <f aca="false">IF(AND(Q39&gt;0, R39&gt;0), "Observed Flaky Test", "Non-observed Flaky Test")</f>
        <v>Non-observed Flaky Test</v>
      </c>
      <c r="T39" s="22" t="n">
        <v>3141307.61</v>
      </c>
      <c r="U39" s="24" t="n">
        <v>199.216085</v>
      </c>
      <c r="V39" s="25" t="n">
        <f aca="false">IFERROR(U39/T39*100,"N/A")</f>
        <v>0.00634182034149785</v>
      </c>
      <c r="W39" s="22" t="n">
        <v>0</v>
      </c>
      <c r="X39" s="22" t="n">
        <v>0</v>
      </c>
      <c r="Y39" s="27" t="str">
        <f aca="false">IFERROR(X39/W39*100,"N/A")</f>
        <v>N/A</v>
      </c>
      <c r="Z39" s="50" t="str">
        <f aca="false">IF(AND(Q39&gt;0, R39=0), IF(IFERROR(ROUND(V39,8),0)=0, "Group 9: Only Passed | Without variation (no var CV = 0)", "Group 10: Only Passed | With variation (with var CV &gt; 0)"), IF(AND(Q39=0, R39&gt;0), IF(IFERROR(ROUND(Y39,8),0)=0, "Group 11: Only Failed | Without variation (no var CV = 0)", "Group 12: Only Failed | With variation (with var CV &gt; 0)"), IF(AND(Q39&gt;0, R39&gt;0), IF(ROUND(T39,5)&lt;&gt;ROUND(W39,5), IF(AND(IFERROR(ROUND(V39,8),0)=0, IFERROR(ROUND(Y39,8),0)=0), "Group 1: Flaky | Passed (no variation: CV = 0) AND Failed (no variation: CV = 0) | Different Means", IF(AND(IFERROR(ROUND(V39,8),0)&gt;0, IFERROR(ROUND(Y39,8),0)&gt;0), "Group 2: Flaky | Passed (with variation: CV &gt; 0) AND Failed (with variation: CV &gt; 0) | Different Means", IF(AND(IFERROR(ROUND(V39,8),0)=0, IFERROR(ROUND(Y39,8),0)&gt;0), "Group 3: Flaky | Passed (no variation: CV = 0) AND Failed (with variation: CV &gt; 0) | Different Means", "Group 4: Flaky | Passed (with variation: CV &gt; 0) AND Failed (no variation: CV = 0) | Different Means"))), IF(AND(IFERROR(ROUND(V39,8),0)=0, IFERROR(ROUND(Y39,8),0)=0), "Group 5: Flaky | Passed (no var CV = 0) AND Failed (no var CV = 0) | Equal Means", IF(AND(IFERROR(ROUND(V39,8),0)&gt;0, IFERROR(ROUND(Y39,8),0)&gt;0), "Group 6: Flaky | Passed (with var CV &gt; 0) AND Failed (with var CV &gt; 0) | Equal Means", IF(AND(IFERROR(ROUND(V39,8),0)=0, IFERROR(ROUND(Y39,8),0)&gt;0),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39" s="29" t="n">
        <v>7.147675</v>
      </c>
      <c r="AB39" s="29" t="n">
        <v>0.092209</v>
      </c>
      <c r="AC39" s="29" t="n">
        <f aca="false">IFERROR(AB39/AA39*100,"N/A")</f>
        <v>1.29005585732424</v>
      </c>
      <c r="AD39" s="29" t="n">
        <v>0</v>
      </c>
      <c r="AE39" s="29" t="n">
        <v>0</v>
      </c>
      <c r="AF39" s="29" t="str">
        <f aca="false">IFERROR(AE39/AD39*100,"N/A")</f>
        <v>N/A</v>
      </c>
      <c r="AG39" s="51" t="str">
        <f aca="false">IF(AND(Q39&gt;0, R39=0), IF(IFERROR(ROUND(AC39,8),0)=0, "Group 9: Only Passed | Without variation (no var CV = 0)", "Group 10: Only Passed | With variation (with var CV &gt; 0)"), IF(AND(Q39=0, R39&gt;0), IF(IFERROR(ROUND(AF39,8),0)=0, "Group 11: Only Failed | Without variation (no var CV = 0)", "Group 12: Only Failed | With variation (with var CV &gt; 0)"), IF(AND(Q39&gt;0, R39&gt;0), IF(ROUND(AA39,5)&lt;&gt;ROUND(AD39,5), IF(AND(IFERROR(ROUND(AC39,8),0)=0, IFERROR(ROUND(AF39,8),0)=0), "Group 1: Flaky | Passed (no variation: CV = 0) AND Failed (no variation: CV = 0) | Different Means", IF(AND(IFERROR(ROUND(AC39,8),0)&gt;0, IFERROR(ROUND(AF39,8),0)&gt;0), "Group 2: Flaky | Passed (with variation: CV &gt; 0) AND Failed (with variation: CV &gt; 0) | Different Means", IF(AND(IFERROR(ROUND(AC39,8),0)=0, IFERROR(ROUND(AF39,8),0)&gt;0), "Group 3: Flaky | Passed (no variation: CV = 0) AND Failed (with variation: CV &gt; 0) | Different Means", "Group 4: Flaky | Passed (with variation: CV &gt; 0) AND Failed (no variation: CV = 0) | Different Means"))), IF(AND(IFERROR(ROUND(AC39,8),0)=0, IFERROR(ROUND(AF39,8),0)=0), "Group 5: Flaky | Passed (no var CV = 0) AND Failed (no var CV = 0) | Equal Means", IF(AND(IFERROR(ROUND(AC39,8),0)&gt;0, IFERROR(ROUND(AF39,8),0)&gt;0), "Group 6: Flaky | Passed (with var CV &gt; 0) AND Failed (with var CV &gt; 0) | Equal Means", IF(AND(IFERROR(ROUND(AC39,8),0)=0, IFERROR(ROUND(AF39,8),0)&gt;0),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39" s="22" t="n">
        <v>100</v>
      </c>
      <c r="AI39" s="17" t="n">
        <v>0</v>
      </c>
      <c r="AJ39" s="31" t="str">
        <f aca="false">IF(AND(AH39&gt;0, AI39&gt;0), "Observed Flaky Test", "Non-observed Flaky Test")</f>
        <v>Non-observed Flaky Test</v>
      </c>
      <c r="AK39" s="32" t="n">
        <v>7074</v>
      </c>
      <c r="AL39" s="32" t="n">
        <v>0</v>
      </c>
      <c r="AM39" s="33" t="n">
        <f aca="false">IFERROR(AL39/AK39*100,"N/A")</f>
        <v>0</v>
      </c>
      <c r="AN39" s="32" t="n">
        <v>0</v>
      </c>
      <c r="AO39" s="32" t="n">
        <v>0</v>
      </c>
      <c r="AP39" s="35" t="str">
        <f aca="false">IFERROR(AO39/AN39*100,"N/A")</f>
        <v>N/A</v>
      </c>
      <c r="AQ39" s="45" t="str">
        <f aca="false">IF(AND(AH39&gt;0, AI39&gt;0),
    IF(ROUND(N(AK39),5)&lt;&gt;ROUND(N(AN39),5),
        IF(AND(ROUND(N(AL39),8)=0, ROUND(N(AO39),8)=0), "Group 1: Flaky | Passed (no variation: SD = 0) AND Failed (no variation: SD = 0) | Different Means",
        IF(AND(ROUND(N(AL39),8)&gt;0, ROUND(N(AO39),8)&gt;0), "Group 2: Flaky | Passed (with variation: SD &gt; 0) AND Failed (with variation: SD &gt; 0) | Different Means",
        IF(AND(ROUND(N(AL39),8)=0, ROUND(N(AO39),8)&gt;0), "Group 3: Flaky | Passed (no variation: SD = 0) AND Failed (with variation: SD &gt; 0) | Different Means",
        "Group 4: Flaky | Passed (with variation: SD &gt; 0) AND Failed (no variation: SD = 0) | Different Means"))),
        IF(AND(ROUND(N(AL39),8)=0, ROUND(N(AO39),8)=0), "Group 5: Flaky | Passed (no var SD = 0) AND Failed (no var SD = 0) | Equal Means",
        IF(AND(ROUND(N(AL39),8)&gt;0, ROUND(N(AO39),8)&gt;0), "Group 6: Flaky | Passed (with var SD &gt; 0 ) AND Failed (with var SD &gt; 0) | Equal Means",
        IF(AND(ROUND(N(AL39),8)=0, ROUND(N(AO39),8)&gt;0), "Group 7: Flaky | Passed (no var SD = 0) AND Failed (with var SD &gt; 0) | Equal Means",
        "Group 8: Flaky | Passed (with var SD &gt; 0 ) AND Failed (no var SD = 0) | Equal Means")))
    ),
    IF(AH39&gt;0,
        IF(N(AL39)&gt;0, "Group 10: Only Passed | With variation (with var SD &gt; 0)", "Group 9: Only Passed | Without variation (no var SD = 0)"),
        IF(AI39&gt;0,
            IF(N(AO39)&gt;0,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39" s="37" t="str">
        <f aca="false">IF(OR(F39="Observed Flaky Test", I39="Observed Flaky Test", S39="Observed Flaky Test", AJ39="Observed Flaky Test"), "Observed Flaky Test", "Non-observed Flaky Test")</f>
        <v>Non-observed Flaky Test</v>
      </c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customFormat="false" ht="15.75" hidden="false" customHeight="true" outlineLevel="0" collapsed="false">
      <c r="A40" s="13"/>
      <c r="B40" s="14" t="s">
        <v>102</v>
      </c>
      <c r="C40" s="14" t="s">
        <v>103</v>
      </c>
      <c r="D40" s="15" t="n">
        <v>100</v>
      </c>
      <c r="E40" s="15" t="n">
        <v>0</v>
      </c>
      <c r="F40" s="16" t="str">
        <f aca="false">IF(AND(D40&gt;0, E40&gt;0), "Observed Flaky Test", "Non-observed Flaky Test")</f>
        <v>Non-observed Flaky Test</v>
      </c>
      <c r="G40" s="17" t="n">
        <v>100</v>
      </c>
      <c r="H40" s="17" t="n">
        <v>0</v>
      </c>
      <c r="I40" s="16" t="str">
        <f aca="false">IF(AND(G40&gt;0, H40&gt;0), "Observed Flaky Test", "Non-observed Flaky Test")</f>
        <v>Non-observed Flaky Test</v>
      </c>
      <c r="J40" s="18" t="n">
        <v>4.37</v>
      </c>
      <c r="K40" s="18" t="n">
        <v>0</v>
      </c>
      <c r="L40" s="19" t="n">
        <f aca="false">IFERROR(K40/J40*100,"N/A")</f>
        <v>0</v>
      </c>
      <c r="M40" s="18" t="n">
        <v>0</v>
      </c>
      <c r="N40" s="18" t="n">
        <v>0</v>
      </c>
      <c r="O40" s="20" t="str">
        <f aca="false">IFERROR(N40/M40*100,"N/A")</f>
        <v>N/A</v>
      </c>
      <c r="P40" s="56" t="str">
        <f aca="false">IF(AND(G40&gt;0, H40=0), IF(ROUND(K40,8)=0, "Group 9: Only Passed | Without variation (SD Passed = 0)", "Group 10: Only Passed | With variation (SD Passed &gt; 0)"), IF(AND(G40=0, H40&gt;0), IF(ROUND(N40,8)=0, "Group 11: Only Failed | Without variation (SD Failed = 0)", "Group 12: Only Failed | With variation (SD Failed &gt; 0)"), IF(AND(G40&gt;0, H40&gt;0), IF(ROUND(J40,5)&lt;&gt;ROUND(M40,5), IF(AND(ROUND(K40,8)=0, ROUND(N40,8)=0), "Group 1: Flaky | Passed (no variation) AND Failed (no variation) | Different Means", IF(AND(ROUND(K40,8)&gt;0, ROUND(N40,8)&gt;0), "Group 2: Flaky | Passed (with variation) AND Failed (with variation) | Different Means", IF(AND(ROUND(K40,8)=0, ROUND(N40,8)&gt;0), "Group 3: Flaky | Passed (no variation) AND Failed (with variation) | Different Means", "Group 4: Flaky | Passed (with variation) AND Failed (no variation) | Different Means"))), IF(AND(ROUND(K40,8)=0, ROUND(N40,8)=0), "Group 5: Flaky | Passed (no variation) AND Failed (no variation) | Equal Means", IF(AND(ROUND(K40,8)&gt;0, ROUND(N40,8)&gt;0), "Group 6: Flaky | Passed (with variation) AND Failed (with variation) | Equal Means", IF(AND(ROUND(K40,8)=0, ROUND(N40,8)&gt;0),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40" s="22" t="n">
        <v>100</v>
      </c>
      <c r="R40" s="22" t="n">
        <v>0</v>
      </c>
      <c r="S40" s="23" t="str">
        <f aca="false">IF(AND(Q40&gt;0, R40&gt;0), "Observed Flaky Test", "Non-observed Flaky Test")</f>
        <v>Non-observed Flaky Test</v>
      </c>
      <c r="T40" s="58" t="n">
        <v>3400625.49</v>
      </c>
      <c r="U40" s="24" t="n">
        <v>180.309806</v>
      </c>
      <c r="V40" s="25" t="n">
        <f aca="false">IFERROR(U40/T40*100,"N/A")</f>
        <v>0.00530225414501613</v>
      </c>
      <c r="W40" s="22" t="n">
        <v>0</v>
      </c>
      <c r="X40" s="22" t="n">
        <v>0</v>
      </c>
      <c r="Y40" s="27" t="str">
        <f aca="false">IFERROR(X40/W40*100,"N/A")</f>
        <v>N/A</v>
      </c>
      <c r="Z40" s="50" t="str">
        <f aca="false">IF(AND(Q40&gt;0, R40=0), IF(IFERROR(ROUND(V40,8),0)=0, "Group 9: Only Passed | Without variation (no var CV = 0)", "Group 10: Only Passed | With variation (with var CV &gt; 0)"), IF(AND(Q40=0, R40&gt;0), IF(IFERROR(ROUND(Y40,8),0)=0, "Group 11: Only Failed | Without variation (no var CV = 0)", "Group 12: Only Failed | With variation (with var CV &gt; 0)"), IF(AND(Q40&gt;0, R40&gt;0), IF(ROUND(T40,5)&lt;&gt;ROUND(W40,5), IF(AND(IFERROR(ROUND(V40,8),0)=0, IFERROR(ROUND(Y40,8),0)=0), "Group 1: Flaky | Passed (no variation: CV = 0) AND Failed (no variation: CV = 0) | Different Means", IF(AND(IFERROR(ROUND(V40,8),0)&gt;0, IFERROR(ROUND(Y40,8),0)&gt;0), "Group 2: Flaky | Passed (with variation: CV &gt; 0) AND Failed (with variation: CV &gt; 0) | Different Means", IF(AND(IFERROR(ROUND(V40,8),0)=0, IFERROR(ROUND(Y40,8),0)&gt;0), "Group 3: Flaky | Passed (no variation: CV = 0) AND Failed (with variation: CV &gt; 0) | Different Means", "Group 4: Flaky | Passed (with variation: CV &gt; 0) AND Failed (no variation: CV = 0) | Different Means"))), IF(AND(IFERROR(ROUND(V40,8),0)=0, IFERROR(ROUND(Y40,8),0)=0), "Group 5: Flaky | Passed (no var CV = 0) AND Failed (no var CV = 0) | Equal Means", IF(AND(IFERROR(ROUND(V40,8),0)&gt;0, IFERROR(ROUND(Y40,8),0)&gt;0), "Group 6: Flaky | Passed (with var CV &gt; 0) AND Failed (with var CV &gt; 0) | Equal Means", IF(AND(IFERROR(ROUND(V40,8),0)=0, IFERROR(ROUND(Y40,8),0)&gt;0),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40" s="29" t="n">
        <v>3.235573</v>
      </c>
      <c r="AB40" s="29" t="n">
        <v>0.082613</v>
      </c>
      <c r="AC40" s="29" t="n">
        <f aca="false">IFERROR(AB40/AA40*100,"N/A")</f>
        <v>2.55327263517158</v>
      </c>
      <c r="AD40" s="29" t="n">
        <v>0</v>
      </c>
      <c r="AE40" s="29" t="n">
        <v>0</v>
      </c>
      <c r="AF40" s="29" t="str">
        <f aca="false">IFERROR(AE40/AD40*100,"N/A")</f>
        <v>N/A</v>
      </c>
      <c r="AG40" s="51" t="str">
        <f aca="false">IF(AND(Q40&gt;0, R40=0), IF(IFERROR(ROUND(AC40,8),0)=0, "Group 9: Only Passed | Without variation (no var CV = 0)", "Group 10: Only Passed | With variation (with var CV &gt; 0)"), IF(AND(Q40=0, R40&gt;0), IF(IFERROR(ROUND(AF40,8),0)=0, "Group 11: Only Failed | Without variation (no var CV = 0)", "Group 12: Only Failed | With variation (with var CV &gt; 0)"), IF(AND(Q40&gt;0, R40&gt;0), IF(ROUND(AA40,5)&lt;&gt;ROUND(AD40,5), IF(AND(IFERROR(ROUND(AC40,8),0)=0, IFERROR(ROUND(AF40,8),0)=0), "Group 1: Flaky | Passed (no variation: CV = 0) AND Failed (no variation: CV = 0) | Different Means", IF(AND(IFERROR(ROUND(AC40,8),0)&gt;0, IFERROR(ROUND(AF40,8),0)&gt;0), "Group 2: Flaky | Passed (with variation: CV &gt; 0) AND Failed (with variation: CV &gt; 0) | Different Means", IF(AND(IFERROR(ROUND(AC40,8),0)=0, IFERROR(ROUND(AF40,8),0)&gt;0), "Group 3: Flaky | Passed (no variation: CV = 0) AND Failed (with variation: CV &gt; 0) | Different Means", "Group 4: Flaky | Passed (with variation: CV &gt; 0) AND Failed (no variation: CV = 0) | Different Means"))), IF(AND(IFERROR(ROUND(AC40,8),0)=0, IFERROR(ROUND(AF40,8),0)=0), "Group 5: Flaky | Passed (no var CV = 0) AND Failed (no var CV = 0) | Equal Means", IF(AND(IFERROR(ROUND(AC40,8),0)&gt;0, IFERROR(ROUND(AF40,8),0)&gt;0), "Group 6: Flaky | Passed (with var CV &gt; 0) AND Failed (with var CV &gt; 0) | Equal Means", IF(AND(IFERROR(ROUND(AC40,8),0)=0, IFERROR(ROUND(AF40,8),0)&gt;0),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40" s="22" t="n">
        <v>100</v>
      </c>
      <c r="AI40" s="17" t="n">
        <v>0</v>
      </c>
      <c r="AJ40" s="31" t="str">
        <f aca="false">IF(AND(AH40&gt;0, AI40&gt;0), "Observed Flaky Test", "Non-observed Flaky Test")</f>
        <v>Non-observed Flaky Test</v>
      </c>
      <c r="AK40" s="32" t="n">
        <v>34350</v>
      </c>
      <c r="AL40" s="32" t="n">
        <v>0</v>
      </c>
      <c r="AM40" s="33" t="n">
        <f aca="false">IFERROR(AL40/AK40*100,"N/A")</f>
        <v>0</v>
      </c>
      <c r="AN40" s="32" t="n">
        <v>0</v>
      </c>
      <c r="AO40" s="32" t="n">
        <v>0</v>
      </c>
      <c r="AP40" s="35" t="str">
        <f aca="false">IFERROR(AO40/AN40*100,"N/A")</f>
        <v>N/A</v>
      </c>
      <c r="AQ40" s="45" t="str">
        <f aca="false">IF(AND(AH40&gt;0, AI40&gt;0),
    IF(ROUND(N(AK40),5)&lt;&gt;ROUND(N(AN40),5),
        IF(AND(ROUND(N(AL40),8)=0, ROUND(N(AO40),8)=0), "Group 1: Flaky | Passed (no variation: SD = 0) AND Failed (no variation: SD = 0) | Different Means",
        IF(AND(ROUND(N(AL40),8)&gt;0, ROUND(N(AO40),8)&gt;0), "Group 2: Flaky | Passed (with variation: SD &gt; 0) AND Failed (with variation: SD &gt; 0) | Different Means",
        IF(AND(ROUND(N(AL40),8)=0, ROUND(N(AO40),8)&gt;0), "Group 3: Flaky | Passed (no variation: SD = 0) AND Failed (with variation: SD &gt; 0) | Different Means",
        "Group 4: Flaky | Passed (with variation: SD &gt; 0) AND Failed (no variation: SD = 0) | Different Means"))),
        IF(AND(ROUND(N(AL40),8)=0, ROUND(N(AO40),8)=0), "Group 5: Flaky | Passed (no var SD = 0) AND Failed (no var SD = 0) | Equal Means",
        IF(AND(ROUND(N(AL40),8)&gt;0, ROUND(N(AO40),8)&gt;0), "Group 6: Flaky | Passed (with var SD &gt; 0 ) AND Failed (with var SD &gt; 0) | Equal Means",
        IF(AND(ROUND(N(AL40),8)=0, ROUND(N(AO40),8)&gt;0), "Group 7: Flaky | Passed (no var SD = 0) AND Failed (with var SD &gt; 0) | Equal Means",
        "Group 8: Flaky | Passed (with var SD &gt; 0 ) AND Failed (no var SD = 0) | Equal Means")))
    ),
    IF(AH40&gt;0,
        IF(N(AL40)&gt;0, "Group 10: Only Passed | With variation (with var SD &gt; 0)", "Group 9: Only Passed | Without variation (no var SD = 0)"),
        IF(AI40&gt;0,
            IF(N(AO40)&gt;0,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40" s="37" t="str">
        <f aca="false">IF(OR(F40="Observed Flaky Test", I40="Observed Flaky Test", S40="Observed Flaky Test", AJ40="Observed Flaky Test"), "Observed Flaky Test", "Non-observed Flaky Test")</f>
        <v>Non-observed Flaky Test</v>
      </c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</row>
    <row r="41" customFormat="false" ht="15.75" hidden="false" customHeight="true" outlineLevel="0" collapsed="false">
      <c r="A41" s="13"/>
      <c r="B41" s="14" t="s">
        <v>104</v>
      </c>
      <c r="C41" s="14" t="s">
        <v>105</v>
      </c>
      <c r="D41" s="15" t="n">
        <v>100</v>
      </c>
      <c r="E41" s="15" t="n">
        <v>0</v>
      </c>
      <c r="F41" s="16" t="str">
        <f aca="false">IF(AND(D41&gt;0, E41&gt;0), "Observed Flaky Test", "Non-observed Flaky Test")</f>
        <v>Non-observed Flaky Test</v>
      </c>
      <c r="G41" s="17" t="n">
        <v>100</v>
      </c>
      <c r="H41" s="17" t="n">
        <v>0</v>
      </c>
      <c r="I41" s="16" t="str">
        <f aca="false">IF(AND(G41&gt;0, H41&gt;0), "Observed Flaky Test", "Non-observed Flaky Test")</f>
        <v>Non-observed Flaky Test</v>
      </c>
      <c r="J41" s="18" t="n">
        <v>4.36</v>
      </c>
      <c r="K41" s="18" t="n">
        <v>0</v>
      </c>
      <c r="L41" s="19" t="n">
        <f aca="false">IFERROR(K41/J41*100,"N/A")</f>
        <v>0</v>
      </c>
      <c r="M41" s="18" t="n">
        <v>0</v>
      </c>
      <c r="N41" s="18" t="n">
        <v>0</v>
      </c>
      <c r="O41" s="20" t="str">
        <f aca="false">IFERROR(N41/M41*100,"N/A")</f>
        <v>N/A</v>
      </c>
      <c r="P41" s="56" t="str">
        <f aca="false">IF(AND(G41&gt;0, H41=0), IF(ROUND(K41,8)=0, "Group 9: Only Passed | Without variation (SD Passed = 0)", "Group 10: Only Passed | With variation (SD Passed &gt; 0)"), IF(AND(G41=0, H41&gt;0), IF(ROUND(N41,8)=0, "Group 11: Only Failed | Without variation (SD Failed = 0)", "Group 12: Only Failed | With variation (SD Failed &gt; 0)"), IF(AND(G41&gt;0, H41&gt;0), IF(ROUND(J41,5)&lt;&gt;ROUND(M41,5), IF(AND(ROUND(K41,8)=0, ROUND(N41,8)=0), "Group 1: Flaky | Passed (no variation) AND Failed (no variation) | Different Means", IF(AND(ROUND(K41,8)&gt;0, ROUND(N41,8)&gt;0), "Group 2: Flaky | Passed (with variation) AND Failed (with variation) | Different Means", IF(AND(ROUND(K41,8)=0, ROUND(N41,8)&gt;0), "Group 3: Flaky | Passed (no variation) AND Failed (with variation) | Different Means", "Group 4: Flaky | Passed (with variation) AND Failed (no variation) | Different Means"))), IF(AND(ROUND(K41,8)=0, ROUND(N41,8)=0), "Group 5: Flaky | Passed (no variation) AND Failed (no variation) | Equal Means", IF(AND(ROUND(K41,8)&gt;0, ROUND(N41,8)&gt;0), "Group 6: Flaky | Passed (with variation) AND Failed (with variation) | Equal Means", IF(AND(ROUND(K41,8)=0, ROUND(N41,8)&gt;0),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41" s="22" t="n">
        <v>100</v>
      </c>
      <c r="R41" s="22" t="n">
        <v>0</v>
      </c>
      <c r="S41" s="23" t="str">
        <f aca="false">IF(AND(Q41&gt;0, R41&gt;0), "Observed Flaky Test", "Non-observed Flaky Test")</f>
        <v>Non-observed Flaky Test</v>
      </c>
      <c r="T41" s="22" t="n">
        <v>3348246.84</v>
      </c>
      <c r="U41" s="24" t="n">
        <v>192.002037</v>
      </c>
      <c r="V41" s="25" t="n">
        <f aca="false">IFERROR(U41/T41*100,"N/A")</f>
        <v>0.0057344050834675</v>
      </c>
      <c r="W41" s="22" t="n">
        <v>0</v>
      </c>
      <c r="X41" s="22" t="n">
        <v>0</v>
      </c>
      <c r="Y41" s="27" t="str">
        <f aca="false">IFERROR(X41/W41*100,"N/A")</f>
        <v>N/A</v>
      </c>
      <c r="Z41" s="50" t="str">
        <f aca="false">IF(AND(Q41&gt;0, R41=0), IF(IFERROR(ROUND(V41,8),0)=0, "Group 9: Only Passed | Without variation (no var CV = 0)", "Group 10: Only Passed | With variation (with var CV &gt; 0)"), IF(AND(Q41=0, R41&gt;0), IF(IFERROR(ROUND(Y41,8),0)=0, "Group 11: Only Failed | Without variation (no var CV = 0)", "Group 12: Only Failed | With variation (with var CV &gt; 0)"), IF(AND(Q41&gt;0, R41&gt;0), IF(ROUND(T41,5)&lt;&gt;ROUND(W41,5), IF(AND(IFERROR(ROUND(V41,8),0)=0, IFERROR(ROUND(Y41,8),0)=0), "Group 1: Flaky | Passed (no variation: CV = 0) AND Failed (no variation: CV = 0) | Different Means", IF(AND(IFERROR(ROUND(V41,8),0)&gt;0, IFERROR(ROUND(Y41,8),0)&gt;0), "Group 2: Flaky | Passed (with variation: CV &gt; 0) AND Failed (with variation: CV &gt; 0) | Different Means", IF(AND(IFERROR(ROUND(V41,8),0)=0, IFERROR(ROUND(Y41,8),0)&gt;0), "Group 3: Flaky | Passed (no variation: CV = 0) AND Failed (with variation: CV &gt; 0) | Different Means", "Group 4: Flaky | Passed (with variation: CV &gt; 0) AND Failed (no variation: CV = 0) | Different Means"))), IF(AND(IFERROR(ROUND(V41,8),0)=0, IFERROR(ROUND(Y41,8),0)=0), "Group 5: Flaky | Passed (no var CV = 0) AND Failed (no var CV = 0) | Equal Means", IF(AND(IFERROR(ROUND(V41,8),0)&gt;0, IFERROR(ROUND(Y41,8),0)&gt;0), "Group 6: Flaky | Passed (with var CV &gt; 0) AND Failed (with var CV &gt; 0) | Equal Means", IF(AND(IFERROR(ROUND(V41,8),0)=0, IFERROR(ROUND(Y41,8),0)&gt;0),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41" s="29" t="n">
        <v>3.262503</v>
      </c>
      <c r="AB41" s="29" t="n">
        <v>0.083441</v>
      </c>
      <c r="AC41" s="29" t="n">
        <f aca="false">IFERROR(AB41/AA41*100,"N/A")</f>
        <v>2.5575761922671</v>
      </c>
      <c r="AD41" s="29" t="n">
        <v>0</v>
      </c>
      <c r="AE41" s="29" t="n">
        <v>0</v>
      </c>
      <c r="AF41" s="29" t="str">
        <f aca="false">IFERROR(AE41/AD41*100,"N/A")</f>
        <v>N/A</v>
      </c>
      <c r="AG41" s="51" t="str">
        <f aca="false">IF(AND(Q41&gt;0, R41=0), IF(IFERROR(ROUND(AC41,8),0)=0, "Group 9: Only Passed | Without variation (no var CV = 0)", "Group 10: Only Passed | With variation (with var CV &gt; 0)"), IF(AND(Q41=0, R41&gt;0), IF(IFERROR(ROUND(AF41,8),0)=0, "Group 11: Only Failed | Without variation (no var CV = 0)", "Group 12: Only Failed | With variation (with var CV &gt; 0)"), IF(AND(Q41&gt;0, R41&gt;0), IF(ROUND(AA41,5)&lt;&gt;ROUND(AD41,5), IF(AND(IFERROR(ROUND(AC41,8),0)=0, IFERROR(ROUND(AF41,8),0)=0), "Group 1: Flaky | Passed (no variation: CV = 0) AND Failed (no variation: CV = 0) | Different Means", IF(AND(IFERROR(ROUND(AC41,8),0)&gt;0, IFERROR(ROUND(AF41,8),0)&gt;0), "Group 2: Flaky | Passed (with variation: CV &gt; 0) AND Failed (with variation: CV &gt; 0) | Different Means", IF(AND(IFERROR(ROUND(AC41,8),0)=0, IFERROR(ROUND(AF41,8),0)&gt;0), "Group 3: Flaky | Passed (no variation: CV = 0) AND Failed (with variation: CV &gt; 0) | Different Means", "Group 4: Flaky | Passed (with variation: CV &gt; 0) AND Failed (no variation: CV = 0) | Different Means"))), IF(AND(IFERROR(ROUND(AC41,8),0)=0, IFERROR(ROUND(AF41,8),0)=0), "Group 5: Flaky | Passed (no var CV = 0) AND Failed (no var CV = 0) | Equal Means", IF(AND(IFERROR(ROUND(AC41,8),0)&gt;0, IFERROR(ROUND(AF41,8),0)&gt;0), "Group 6: Flaky | Passed (with var CV &gt; 0) AND Failed (with var CV &gt; 0) | Equal Means", IF(AND(IFERROR(ROUND(AC41,8),0)=0, IFERROR(ROUND(AF41,8),0)&gt;0),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41" s="22" t="n">
        <v>100</v>
      </c>
      <c r="AI41" s="17" t="n">
        <v>0</v>
      </c>
      <c r="AJ41" s="31" t="str">
        <f aca="false">IF(AND(AH41&gt;0, AI41&gt;0), "Observed Flaky Test", "Non-observed Flaky Test")</f>
        <v>Non-observed Flaky Test</v>
      </c>
      <c r="AK41" s="32" t="n">
        <v>26871</v>
      </c>
      <c r="AL41" s="32" t="n">
        <v>0</v>
      </c>
      <c r="AM41" s="33" t="n">
        <f aca="false">IFERROR(AL41/AK41*100,"N/A")</f>
        <v>0</v>
      </c>
      <c r="AN41" s="32" t="n">
        <v>0</v>
      </c>
      <c r="AO41" s="32" t="n">
        <v>0</v>
      </c>
      <c r="AP41" s="35" t="str">
        <f aca="false">IFERROR(AO41/AN41*100,"N/A")</f>
        <v>N/A</v>
      </c>
      <c r="AQ41" s="45" t="str">
        <f aca="false">IF(AND(AH41&gt;0, AI41&gt;0),
    IF(ROUND(N(AK41),5)&lt;&gt;ROUND(N(AN41),5),
        IF(AND(ROUND(N(AL41),8)=0, ROUND(N(AO41),8)=0), "Group 1: Flaky | Passed (no variation: SD = 0) AND Failed (no variation: SD = 0) | Different Means",
        IF(AND(ROUND(N(AL41),8)&gt;0, ROUND(N(AO41),8)&gt;0), "Group 2: Flaky | Passed (with variation: SD &gt; 0) AND Failed (with variation: SD &gt; 0) | Different Means",
        IF(AND(ROUND(N(AL41),8)=0, ROUND(N(AO41),8)&gt;0), "Group 3: Flaky | Passed (no variation: SD = 0) AND Failed (with variation: SD &gt; 0) | Different Means",
        "Group 4: Flaky | Passed (with variation: SD &gt; 0) AND Failed (no variation: SD = 0) | Different Means"))),
        IF(AND(ROUND(N(AL41),8)=0, ROUND(N(AO41),8)=0), "Group 5: Flaky | Passed (no var SD = 0) AND Failed (no var SD = 0) | Equal Means",
        IF(AND(ROUND(N(AL41),8)&gt;0, ROUND(N(AO41),8)&gt;0), "Group 6: Flaky | Passed (with var SD &gt; 0 ) AND Failed (with var SD &gt; 0) | Equal Means",
        IF(AND(ROUND(N(AL41),8)=0, ROUND(N(AO41),8)&gt;0), "Group 7: Flaky | Passed (no var SD = 0) AND Failed (with var SD &gt; 0) | Equal Means",
        "Group 8: Flaky | Passed (with var SD &gt; 0 ) AND Failed (no var SD = 0) | Equal Means")))
    ),
    IF(AH41&gt;0,
        IF(N(AL41)&gt;0, "Group 10: Only Passed | With variation (with var SD &gt; 0)", "Group 9: Only Passed | Without variation (no var SD = 0)"),
        IF(AI41&gt;0,
            IF(N(AO41)&gt;0,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41" s="37" t="str">
        <f aca="false">IF(OR(F41="Observed Flaky Test", I41="Observed Flaky Test", S41="Observed Flaky Test", AJ41="Observed Flaky Test"), "Observed Flaky Test", "Non-observed Flaky Test")</f>
        <v>Non-observed Flaky Test</v>
      </c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</row>
    <row r="42" customFormat="false" ht="15.75" hidden="false" customHeight="true" outlineLevel="0" collapsed="false">
      <c r="A42" s="13"/>
      <c r="B42" s="14" t="s">
        <v>106</v>
      </c>
      <c r="C42" s="14" t="s">
        <v>107</v>
      </c>
      <c r="D42" s="15" t="n">
        <v>100</v>
      </c>
      <c r="E42" s="15" t="n">
        <v>0</v>
      </c>
      <c r="F42" s="16" t="str">
        <f aca="false">IF(AND(D42&gt;0, E42&gt;0), "Observed Flaky Test", "Non-observed Flaky Test")</f>
        <v>Non-observed Flaky Test</v>
      </c>
      <c r="G42" s="17" t="n">
        <v>93</v>
      </c>
      <c r="H42" s="17" t="n">
        <v>7</v>
      </c>
      <c r="I42" s="61" t="str">
        <f aca="false">IF(AND(G42&gt;0, H42&gt;0), "Observed Flaky Test", "Non-observed Flaky Test")</f>
        <v>Observed Flaky Test</v>
      </c>
      <c r="J42" s="53" t="n">
        <v>7.109677</v>
      </c>
      <c r="K42" s="53" t="n">
        <v>0.003094</v>
      </c>
      <c r="L42" s="19" t="n">
        <f aca="false">IFERROR(K42/J42*100,"N/A")</f>
        <v>0.0435181513871868</v>
      </c>
      <c r="M42" s="18" t="n">
        <v>6.9</v>
      </c>
      <c r="N42" s="53" t="n">
        <v>0.196105</v>
      </c>
      <c r="O42" s="20" t="n">
        <f aca="false">IFERROR(N42/M42*100,"N/A")</f>
        <v>2.84210144927536</v>
      </c>
      <c r="P42" s="62" t="str">
        <f aca="false">IF(AND(G42&gt;0, H42=0), IF(ROUND(K42,8)=0, "Group 9: Only Passed | Without variation (SD Passed = 0)", "Group 10: Only Passed | With variation (SD Passed &gt; 0)"), IF(AND(G42=0, H42&gt;0), IF(ROUND(N42,8)=0, "Group 11: Only Failed | Without variation (SD Failed = 0)", "Group 12: Only Failed | With variation (SD Failed &gt; 0)"), IF(AND(G42&gt;0, H42&gt;0), IF(ROUND(J42,5)&lt;&gt;ROUND(M42,5), IF(AND(ROUND(K42,8)=0, ROUND(N42,8)=0), "Group 1: Flaky | Passed (no variation) AND Failed (no variation) | Different Means", IF(AND(ROUND(K42,8)&gt;0, ROUND(N42,8)&gt;0), "Group 2: Flaky | Passed (with variation) AND Failed (with variation) | Different Means", IF(AND(ROUND(K42,8)=0, ROUND(N42,8)&gt;0), "Group 3: Flaky | Passed (no variation) AND Failed (with variation) | Different Means", "Group 4: Flaky | Passed (with variation) AND Failed (no variation) | Different Means"))), IF(AND(ROUND(K42,8)=0, ROUND(N42,8)=0), "Group 5: Flaky | Passed (no variation) AND Failed (no variation) | Equal Means", IF(AND(ROUND(K42,8)&gt;0, ROUND(N42,8)&gt;0), "Group 6: Flaky | Passed (with variation) AND Failed (with variation) | Equal Means", IF(AND(ROUND(K42,8)=0, ROUND(N42,8)&gt;0),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42" s="22" t="n">
        <v>95</v>
      </c>
      <c r="R42" s="22" t="n">
        <v>5</v>
      </c>
      <c r="S42" s="43" t="str">
        <f aca="false">IF(AND(Q42&gt;0, R42&gt;0), "Observed Flaky Test", "Non-observed Flaky Test")</f>
        <v>Observed Flaky Test</v>
      </c>
      <c r="T42" s="24" t="n">
        <v>2329728.505263</v>
      </c>
      <c r="U42" s="24" t="n">
        <v>207.138707</v>
      </c>
      <c r="V42" s="25" t="n">
        <f aca="false">IFERROR(U42/T42*100,"N/A")</f>
        <v>0.00889110926582479</v>
      </c>
      <c r="W42" s="58" t="n">
        <v>3047850</v>
      </c>
      <c r="X42" s="24" t="n">
        <v>195.671919</v>
      </c>
      <c r="Y42" s="27" t="n">
        <f aca="false">IFERROR(X42/W42*100,"N/A")</f>
        <v>0.00641999832668931</v>
      </c>
      <c r="Z42" s="68" t="str">
        <f aca="false">IF(AND(Q42&gt;0, R42=0), IF(IFERROR(ROUND(V42,8),0)=0, "Group 9: Only Passed | Without variation (no var CV = 0)", "Group 10: Only Passed | With variation (with var CV &gt; 0)"), IF(AND(Q42=0, R42&gt;0), IF(IFERROR(ROUND(Y42,8),0)=0, "Group 11: Only Failed | Without variation (no var CV = 0)", "Group 12: Only Failed | With variation (with var CV &gt; 0)"), IF(AND(Q42&gt;0, R42&gt;0), IF(ROUND(T42,5)&lt;&gt;ROUND(W42,5), IF(AND(IFERROR(ROUND(V42,8),0)=0, IFERROR(ROUND(Y42,8),0)=0), "Group 1: Flaky | Passed (no variation: CV = 0) AND Failed (no variation: CV = 0) | Different Means", IF(AND(IFERROR(ROUND(V42,8),0)&gt;0, IFERROR(ROUND(Y42,8),0)&gt;0), "Group 2: Flaky | Passed (with variation: CV &gt; 0) AND Failed (with variation: CV &gt; 0) | Different Means", IF(AND(IFERROR(ROUND(V42,8),0)=0, IFERROR(ROUND(Y42,8),0)&gt;0), "Group 3: Flaky | Passed (no variation: CV = 0) AND Failed (with variation: CV &gt; 0) | Different Means", "Group 4: Flaky | Passed (with variation: CV &gt; 0) AND Failed (no variation: CV = 0) | Different Means"))), IF(AND(IFERROR(ROUND(V42,8),0)=0, IFERROR(ROUND(Y42,8),0)=0), "Group 5: Flaky | Passed (no var CV = 0) AND Failed (no var CV = 0) | Equal Means", IF(AND(IFERROR(ROUND(V42,8),0)&gt;0, IFERROR(ROUND(Y42,8),0)&gt;0), "Group 6: Flaky | Passed (with var CV &gt; 0) AND Failed (with var CV &gt; 0) | Equal Means", IF(AND(IFERROR(ROUND(V42,8),0)=0, IFERROR(ROUND(Y42,8),0)&gt;0),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2" s="29" t="n">
        <v>13.420972</v>
      </c>
      <c r="AB42" s="29" t="n">
        <v>0.059535</v>
      </c>
      <c r="AC42" s="29" t="n">
        <f aca="false">IFERROR(AB42/AA42*100,"N/A")</f>
        <v>0.443596782706945</v>
      </c>
      <c r="AD42" s="29" t="n">
        <v>1.756829</v>
      </c>
      <c r="AE42" s="29" t="n">
        <v>0.1158</v>
      </c>
      <c r="AF42" s="29" t="n">
        <f aca="false">IFERROR(AE42/AD42*100,"N/A")</f>
        <v>6.59142124816929</v>
      </c>
      <c r="AG42" s="36" t="str">
        <f aca="false">IF(AND(Q42&gt;0, R42=0), IF(IFERROR(ROUND(AC42,8),0)=0, "Group 9: Only Passed | Without variation (no var CV = 0)", "Group 10: Only Passed | With variation (with var CV &gt; 0)"), IF(AND(Q42=0, R42&gt;0), IF(IFERROR(ROUND(AF42,8),0)=0, "Group 11: Only Failed | Without variation (no var CV = 0)", "Group 12: Only Failed | With variation (with var CV &gt; 0)"), IF(AND(Q42&gt;0, R42&gt;0), IF(ROUND(AA42,5)&lt;&gt;ROUND(AD42,5), IF(AND(IFERROR(ROUND(AC42,8),0)=0, IFERROR(ROUND(AF42,8),0)=0), "Group 1: Flaky | Passed (no variation: CV = 0) AND Failed (no variation: CV = 0) | Different Means", IF(AND(IFERROR(ROUND(AC42,8),0)&gt;0, IFERROR(ROUND(AF42,8),0)&gt;0), "Group 2: Flaky | Passed (with variation: CV &gt; 0) AND Failed (with variation: CV &gt; 0) | Different Means", IF(AND(IFERROR(ROUND(AC42,8),0)=0, IFERROR(ROUND(AF42,8),0)&gt;0), "Group 3: Flaky | Passed (no variation: CV = 0) AND Failed (with variation: CV &gt; 0) | Different Means", "Group 4: Flaky | Passed (with variation: CV &gt; 0) AND Failed (no variation: CV = 0) | Different Means"))), IF(AND(IFERROR(ROUND(AC42,8),0)=0, IFERROR(ROUND(AF42,8),0)=0), "Group 5: Flaky | Passed (no var CV = 0) AND Failed (no var CV = 0) | Equal Means", IF(AND(IFERROR(ROUND(AC42,8),0)&gt;0, IFERROR(ROUND(AF42,8),0)&gt;0), "Group 6: Flaky | Passed (with var CV &gt; 0) AND Failed (with var CV &gt; 0) | Equal Means", IF(AND(IFERROR(ROUND(AC42,8),0)=0, IFERROR(ROUND(AF42,8),0)&gt;0),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2" s="22" t="n">
        <v>1</v>
      </c>
      <c r="AI42" s="17" t="n">
        <v>99</v>
      </c>
      <c r="AJ42" s="39" t="str">
        <f aca="false">IF(AND(AH42&gt;0, AI42&gt;0), "Observed Flaky Test", "Non-observed Flaky Test")</f>
        <v>Observed Flaky Test</v>
      </c>
      <c r="AK42" s="32" t="n">
        <v>997480</v>
      </c>
      <c r="AL42" s="32" t="n">
        <v>0</v>
      </c>
      <c r="AM42" s="33" t="n">
        <f aca="false">IFERROR(AL42/AK42*100,"N/A")</f>
        <v>0</v>
      </c>
      <c r="AN42" s="71" t="n">
        <v>530785.424242424</v>
      </c>
      <c r="AO42" s="34" t="n">
        <v>160.895586050051</v>
      </c>
      <c r="AP42" s="35" t="n">
        <f aca="false">IFERROR(AO42/AN42*100,"N/A")</f>
        <v>0.0303127363151867</v>
      </c>
      <c r="AQ42" s="41" t="str">
        <f aca="false">IF(AND(AH42&gt;0, AI42&gt;0),
    IF(ROUND(N(AK42),5)&lt;&gt;ROUND(N(AN42),5),
        IF(AND(ROUND(N(AL42),8)=0, ROUND(N(AO42),8)=0), "Group 1: Flaky | Passed (no variation: SD = 0) AND Failed (no variation: SD = 0) | Different Means",
        IF(AND(ROUND(N(AL42),8)&gt;0, ROUND(N(AO42),8)&gt;0), "Group 2: Flaky | Passed (with variation: SD &gt; 0) AND Failed (with variation: SD &gt; 0) | Different Means",
        IF(AND(ROUND(N(AL42),8)=0, ROUND(N(AO42),8)&gt;0), "Group 3: Flaky | Passed (no variation: SD = 0) AND Failed (with variation: SD &gt; 0) | Different Means",
        "Group 4: Flaky | Passed (with variation: SD &gt; 0) AND Failed (no variation: SD = 0) | Different Means"))),
        IF(AND(ROUND(N(AL42),8)=0, ROUND(N(AO42),8)=0), "Group 5: Flaky | Passed (no var SD = 0) AND Failed (no var SD = 0) | Equal Means",
        IF(AND(ROUND(N(AL42),8)&gt;0, ROUND(N(AO42),8)&gt;0), "Group 6: Flaky | Passed (with var SD &gt; 0 ) AND Failed (with var SD &gt; 0) | Equal Means",
        IF(AND(ROUND(N(AL42),8)=0, ROUND(N(AO42),8)&gt;0), "Group 7: Flaky | Passed (no var SD = 0) AND Failed (with var SD &gt; 0) | Equal Means",
        "Group 8: Flaky | Passed (with var SD &gt; 0 ) AND Failed (no var SD = 0) | Equal Means")))
    ),
    IF(AH42&gt;0,
        IF(N(AL42)&gt;0, "Group 10: Only Passed | With variation (with var SD &gt; 0)", "Group 9: Only Passed | Without variation (no var SD = 0)"),
        IF(AI42&gt;0,
            IF(N(AO42)&gt;0,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42" s="42" t="str">
        <f aca="false">IF(OR(F42="Observed Flaky Test", I42="Observed Flaky Test", S42="Observed Flaky Test", AJ42="Observed Flaky Test"), "Observed Flaky Test", "Non-observed Flaky Test")</f>
        <v>Observed Flaky Test</v>
      </c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customFormat="false" ht="15.75" hidden="false" customHeight="true" outlineLevel="0" collapsed="false">
      <c r="A43" s="13"/>
      <c r="B43" s="14" t="s">
        <v>108</v>
      </c>
      <c r="C43" s="14" t="s">
        <v>109</v>
      </c>
      <c r="D43" s="15" t="n">
        <v>100</v>
      </c>
      <c r="E43" s="15" t="n">
        <v>0</v>
      </c>
      <c r="F43" s="16" t="str">
        <f aca="false">IF(AND(D43&gt;0, E43&gt;0), "Observed Flaky Test", "Non-observed Flaky Test")</f>
        <v>Non-observed Flaky Test</v>
      </c>
      <c r="G43" s="17" t="n">
        <v>59</v>
      </c>
      <c r="H43" s="17" t="n">
        <v>41</v>
      </c>
      <c r="I43" s="61" t="str">
        <f aca="false">IF(AND(G43&gt;0, H43&gt;0), "Observed Flaky Test", "Non-observed Flaky Test")</f>
        <v>Observed Flaky Test</v>
      </c>
      <c r="J43" s="18" t="n">
        <v>6.65</v>
      </c>
      <c r="K43" s="18" t="n">
        <v>0</v>
      </c>
      <c r="L43" s="19" t="n">
        <f aca="false">IFERROR(K43/J43*100,"N/A")</f>
        <v>0</v>
      </c>
      <c r="M43" s="53" t="n">
        <v>6.609512</v>
      </c>
      <c r="N43" s="53" t="n">
        <v>0.099559</v>
      </c>
      <c r="O43" s="20" t="n">
        <f aca="false">IFERROR(N43/M43*100,"N/A")</f>
        <v>1.5062988008797</v>
      </c>
      <c r="P43" s="67" t="str">
        <f aca="false">IF(AND(G43&gt;0, H43=0), IF(ROUND(K43,8)=0, "Group 9: Only Passed | Without variation (SD Passed = 0)", "Group 10: Only Passed | With variation (SD Passed &gt; 0)"), IF(AND(G43=0, H43&gt;0), IF(ROUND(N43,8)=0, "Group 11: Only Failed | Without variation (SD Failed = 0)", "Group 12: Only Failed | With variation (SD Failed &gt; 0)"), IF(AND(G43&gt;0, H43&gt;0), IF(ROUND(J43,5)&lt;&gt;ROUND(M43,5), IF(AND(ROUND(K43,8)=0, ROUND(N43,8)=0), "Group 1: Flaky | Passed (no variation) AND Failed (no variation) | Different Means", IF(AND(ROUND(K43,8)&gt;0, ROUND(N43,8)&gt;0), "Group 2: Flaky | Passed (with variation) AND Failed (with variation) | Different Means", IF(AND(ROUND(K43,8)=0, ROUND(N43,8)&gt;0), "Group 3: Flaky | Passed (no variation) AND Failed (with variation) | Different Means", "Group 4: Flaky | Passed (with variation) AND Failed (no variation) | Different Means"))), IF(AND(ROUND(K43,8)=0, ROUND(N43,8)=0), "Group 5: Flaky | Passed (no variation) AND Failed (no variation) | Equal Means", IF(AND(ROUND(K43,8)&gt;0, ROUND(N43,8)&gt;0), "Group 6: Flaky | Passed (with variation) AND Failed (with variation) | Equal Means", IF(AND(ROUND(K43,8)=0, ROUND(N43,8)&gt;0),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43" s="22" t="n">
        <v>97</v>
      </c>
      <c r="R43" s="22" t="n">
        <v>3</v>
      </c>
      <c r="S43" s="43" t="str">
        <f aca="false">IF(AND(Q43&gt;0, R43&gt;0), "Observed Flaky Test", "Non-observed Flaky Test")</f>
        <v>Observed Flaky Test</v>
      </c>
      <c r="T43" s="24" t="n">
        <v>2387170.154639</v>
      </c>
      <c r="U43" s="24" t="n">
        <v>42898.137065</v>
      </c>
      <c r="V43" s="25" t="n">
        <f aca="false">IFERROR(U43/T43*100,"N/A")</f>
        <v>1.79702887880178</v>
      </c>
      <c r="W43" s="24" t="n">
        <v>3129921.666667</v>
      </c>
      <c r="X43" s="24" t="n">
        <v>717934.162267</v>
      </c>
      <c r="Y43" s="27" t="n">
        <f aca="false">IFERROR(X43/W43*100,"N/A")</f>
        <v>22.9377677375394</v>
      </c>
      <c r="Z43" s="68" t="str">
        <f aca="false">IF(AND(Q43&gt;0, R43=0), IF(IFERROR(ROUND(V43,8),0)=0, "Group 9: Only Passed | Without variation (no var CV = 0)", "Group 10: Only Passed | With variation (with var CV &gt; 0)"), IF(AND(Q43=0, R43&gt;0), IF(IFERROR(ROUND(Y43,8),0)=0, "Group 11: Only Failed | Without variation (no var CV = 0)", "Group 12: Only Failed | With variation (with var CV &gt; 0)"), IF(AND(Q43&gt;0, R43&gt;0), IF(ROUND(T43,5)&lt;&gt;ROUND(W43,5), IF(AND(IFERROR(ROUND(V43,8),0)=0, IFERROR(ROUND(Y43,8),0)=0), "Group 1: Flaky | Passed (no variation: CV = 0) AND Failed (no variation: CV = 0) | Different Means", IF(AND(IFERROR(ROUND(V43,8),0)&gt;0, IFERROR(ROUND(Y43,8),0)&gt;0), "Group 2: Flaky | Passed (with variation: CV &gt; 0) AND Failed (with variation: CV &gt; 0) | Different Means", IF(AND(IFERROR(ROUND(V43,8),0)=0, IFERROR(ROUND(Y43,8),0)&gt;0), "Group 3: Flaky | Passed (no variation: CV = 0) AND Failed (with variation: CV &gt; 0) | Different Means", "Group 4: Flaky | Passed (with variation: CV &gt; 0) AND Failed (no variation: CV = 0) | Different Means"))), IF(AND(IFERROR(ROUND(V43,8),0)=0, IFERROR(ROUND(Y43,8),0)=0), "Group 5: Flaky | Passed (no var CV = 0) AND Failed (no var CV = 0) | Equal Means", IF(AND(IFERROR(ROUND(V43,8),0)&gt;0, IFERROR(ROUND(Y43,8),0)&gt;0), "Group 6: Flaky | Passed (with var CV &gt; 0) AND Failed (with var CV &gt; 0) | Equal Means", IF(AND(IFERROR(ROUND(V43,8),0)=0, IFERROR(ROUND(Y43,8),0)&gt;0),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3" s="29" t="n">
        <v>1.545578</v>
      </c>
      <c r="AB43" s="29" t="n">
        <v>0.073997</v>
      </c>
      <c r="AC43" s="29" t="n">
        <f aca="false">IFERROR(AB43/AA43*100,"N/A")</f>
        <v>4.78765872702639</v>
      </c>
      <c r="AD43" s="29" t="n">
        <v>1.780998</v>
      </c>
      <c r="AE43" s="29" t="n">
        <v>0.279327</v>
      </c>
      <c r="AF43" s="29" t="n">
        <f aca="false">IFERROR(AE43/AD43*100,"N/A")</f>
        <v>15.6837346251933</v>
      </c>
      <c r="AG43" s="36" t="str">
        <f aca="false">IF(AND(Q43&gt;0, R43=0), IF(IFERROR(ROUND(AC43,8),0)=0, "Group 9: Only Passed | Without variation (no var CV = 0)", "Group 10: Only Passed | With variation (with var CV &gt; 0)"), IF(AND(Q43=0, R43&gt;0), IF(IFERROR(ROUND(AF43,8),0)=0, "Group 11: Only Failed | Without variation (no var CV = 0)", "Group 12: Only Failed | With variation (with var CV &gt; 0)"), IF(AND(Q43&gt;0, R43&gt;0), IF(ROUND(AA43,5)&lt;&gt;ROUND(AD43,5), IF(AND(IFERROR(ROUND(AC43,8),0)=0, IFERROR(ROUND(AF43,8),0)=0), "Group 1: Flaky | Passed (no variation: CV = 0) AND Failed (no variation: CV = 0) | Different Means", IF(AND(IFERROR(ROUND(AC43,8),0)&gt;0, IFERROR(ROUND(AF43,8),0)&gt;0), "Group 2: Flaky | Passed (with variation: CV &gt; 0) AND Failed (with variation: CV &gt; 0) | Different Means", IF(AND(IFERROR(ROUND(AC43,8),0)=0, IFERROR(ROUND(AF43,8),0)&gt;0), "Group 3: Flaky | Passed (no variation: CV = 0) AND Failed (with variation: CV &gt; 0) | Different Means", "Group 4: Flaky | Passed (with variation: CV &gt; 0) AND Failed (no variation: CV = 0) | Different Means"))), IF(AND(IFERROR(ROUND(AC43,8),0)=0, IFERROR(ROUND(AF43,8),0)=0), "Group 5: Flaky | Passed (no var CV = 0) AND Failed (no var CV = 0) | Equal Means", IF(AND(IFERROR(ROUND(AC43,8),0)&gt;0, IFERROR(ROUND(AF43,8),0)&gt;0), "Group 6: Flaky | Passed (with var CV &gt; 0) AND Failed (with var CV &gt; 0) | Equal Means", IF(AND(IFERROR(ROUND(AC43,8),0)=0, IFERROR(ROUND(AF43,8),0)&gt;0),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3" s="22" t="n">
        <v>39</v>
      </c>
      <c r="AI43" s="17" t="n">
        <v>61</v>
      </c>
      <c r="AJ43" s="39" t="str">
        <f aca="false">IF(AND(AH43&gt;0, AI43&gt;0), "Observed Flaky Test", "Non-observed Flaky Test")</f>
        <v>Observed Flaky Test</v>
      </c>
      <c r="AK43" s="71" t="n">
        <v>703291.384615384</v>
      </c>
      <c r="AL43" s="33" t="n">
        <v>14129.5228503922</v>
      </c>
      <c r="AM43" s="33" t="n">
        <f aca="false">IFERROR(AL43/AK43*100,"N/A")</f>
        <v>2.00905672378162</v>
      </c>
      <c r="AN43" s="71" t="n">
        <v>239646.409836065</v>
      </c>
      <c r="AO43" s="71" t="n">
        <v>202106.822235616</v>
      </c>
      <c r="AP43" s="35" t="n">
        <f aca="false">IFERROR(AO43/AN43*100,"N/A")</f>
        <v>84.3354266704314</v>
      </c>
      <c r="AQ43" s="63" t="str">
        <f aca="false">IF(AND(AH43&gt;0, AI43&gt;0),
    IF(ROUND(N(AK43),5)&lt;&gt;ROUND(N(AN43),5),
        IF(AND(ROUND(N(AL43),8)=0, ROUND(N(AO43),8)=0), "Group 1: Flaky | Passed (no variation: SD = 0) AND Failed (no variation: SD = 0) | Different Means",
        IF(AND(ROUND(N(AL43),8)&gt;0, ROUND(N(AO43),8)&gt;0), "Group 2: Flaky | Passed (with variation: SD &gt; 0) AND Failed (with variation: SD &gt; 0) | Different Means",
        IF(AND(ROUND(N(AL43),8)=0, ROUND(N(AO43),8)&gt;0), "Group 3: Flaky | Passed (no variation: SD = 0) AND Failed (with variation: SD &gt; 0) | Different Means",
        "Group 4: Flaky | Passed (with variation: SD &gt; 0) AND Failed (no variation: SD = 0) | Different Means"))),
        IF(AND(ROUND(N(AL43),8)=0, ROUND(N(AO43),8)=0), "Group 5: Flaky | Passed (no var SD = 0) AND Failed (no var SD = 0) | Equal Means",
        IF(AND(ROUND(N(AL43),8)&gt;0, ROUND(N(AO43),8)&gt;0), "Group 6: Flaky | Passed (with var SD &gt; 0 ) AND Failed (with var SD &gt; 0) | Equal Means",
        IF(AND(ROUND(N(AL43),8)=0, ROUND(N(AO43),8)&gt;0), "Group 7: Flaky | Passed (no var SD = 0) AND Failed (with var SD &gt; 0) | Equal Means",
        "Group 8: Flaky | Passed (with var SD &gt; 0 ) AND Failed (no var SD = 0) | Equal Means")))
    ),
    IF(AH43&gt;0,
        IF(N(AL43)&gt;0, "Group 10: Only Passed | With variation (with var SD &gt; 0)", "Group 9: Only Passed | Without variation (no var SD = 0)"),
        IF(AI43&gt;0,
            IF(N(AO43)&gt;0,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3" s="42" t="str">
        <f aca="false">IF(OR(F43="Observed Flaky Test", I43="Observed Flaky Test", S43="Observed Flaky Test", AJ43="Observed Flaky Test"), "Observed Flaky Test", "Non-observed Flaky Test")</f>
        <v>Observed Flaky Test</v>
      </c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customFormat="false" ht="15.75" hidden="false" customHeight="true" outlineLevel="0" collapsed="false">
      <c r="A44" s="13"/>
      <c r="B44" s="14" t="s">
        <v>110</v>
      </c>
      <c r="C44" s="14" t="s">
        <v>111</v>
      </c>
      <c r="D44" s="15" t="n">
        <v>100</v>
      </c>
      <c r="E44" s="15" t="n">
        <v>0</v>
      </c>
      <c r="F44" s="16" t="str">
        <f aca="false">IF(AND(D44&gt;0, E44&gt;0), "Observed Flaky Test", "Non-observed Flaky Test")</f>
        <v>Non-observed Flaky Test</v>
      </c>
      <c r="G44" s="17" t="n">
        <v>56</v>
      </c>
      <c r="H44" s="17" t="n">
        <v>44</v>
      </c>
      <c r="I44" s="61" t="str">
        <f aca="false">IF(AND(G44&gt;0, H44&gt;0), "Observed Flaky Test", "Non-observed Flaky Test")</f>
        <v>Observed Flaky Test</v>
      </c>
      <c r="J44" s="53" t="n">
        <v>7.570357</v>
      </c>
      <c r="K44" s="53" t="n">
        <v>0.001856</v>
      </c>
      <c r="L44" s="19" t="n">
        <f aca="false">IFERROR(K44/J44*100,"N/A")</f>
        <v>0.0245166773508832</v>
      </c>
      <c r="M44" s="53" t="n">
        <v>7.575455</v>
      </c>
      <c r="N44" s="53" t="n">
        <v>0.005821</v>
      </c>
      <c r="O44" s="20" t="n">
        <f aca="false">IFERROR(N44/M44*100,"N/A")</f>
        <v>0.0768402690003439</v>
      </c>
      <c r="P44" s="62" t="str">
        <f aca="false">IF(AND(G44&gt;0, H44=0), IF(ROUND(K44,8)=0, "Group 9: Only Passed | Without variation (SD Passed = 0)", "Group 10: Only Passed | With variation (SD Passed &gt; 0)"), IF(AND(G44=0, H44&gt;0), IF(ROUND(N44,8)=0, "Group 11: Only Failed | Without variation (SD Failed = 0)", "Group 12: Only Failed | With variation (SD Failed &gt; 0)"), IF(AND(G44&gt;0, H44&gt;0), IF(ROUND(J44,5)&lt;&gt;ROUND(M44,5), IF(AND(ROUND(K44,8)=0, ROUND(N44,8)=0), "Group 1: Flaky | Passed (no variation) AND Failed (no variation) | Different Means", IF(AND(ROUND(K44,8)&gt;0, ROUND(N44,8)&gt;0), "Group 2: Flaky | Passed (with variation) AND Failed (with variation) | Different Means", IF(AND(ROUND(K44,8)=0, ROUND(N44,8)&gt;0), "Group 3: Flaky | Passed (no variation) AND Failed (with variation) | Different Means", "Group 4: Flaky | Passed (with variation) AND Failed (no variation) | Different Means"))), IF(AND(ROUND(K44,8)=0, ROUND(N44,8)=0), "Group 5: Flaky | Passed (no variation) AND Failed (no variation) | Equal Means", IF(AND(ROUND(K44,8)&gt;0, ROUND(N44,8)&gt;0), "Group 6: Flaky | Passed (with variation) AND Failed (with variation) | Equal Means", IF(AND(ROUND(K44,8)=0, ROUND(N44,8)&gt;0),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44" s="22" t="n">
        <v>66</v>
      </c>
      <c r="R44" s="22" t="n">
        <v>34</v>
      </c>
      <c r="S44" s="43" t="str">
        <f aca="false">IF(AND(Q44&gt;0, R44&gt;0), "Observed Flaky Test", "Non-observed Flaky Test")</f>
        <v>Observed Flaky Test</v>
      </c>
      <c r="T44" s="24" t="n">
        <v>3446025.060606</v>
      </c>
      <c r="U44" s="24" t="n">
        <v>24083.872045</v>
      </c>
      <c r="V44" s="25" t="n">
        <f aca="false">IFERROR(U44/T44*100,"N/A")</f>
        <v>0.698888476474537</v>
      </c>
      <c r="W44" s="24" t="n">
        <v>3666405.147059</v>
      </c>
      <c r="X44" s="24" t="n">
        <v>28614.691623</v>
      </c>
      <c r="Y44" s="27" t="n">
        <f aca="false">IFERROR(X44/W44*100,"N/A")</f>
        <v>0.78045634552835</v>
      </c>
      <c r="Z44" s="68" t="str">
        <f aca="false">IF(AND(Q44&gt;0, R44=0), IF(IFERROR(ROUND(V44,8),0)=0, "Group 9: Only Passed | Without variation (no var CV = 0)", "Group 10: Only Passed | With variation (with var CV &gt; 0)"), IF(AND(Q44=0, R44&gt;0), IF(IFERROR(ROUND(Y44,8),0)=0, "Group 11: Only Failed | Without variation (no var CV = 0)", "Group 12: Only Failed | With variation (with var CV &gt; 0)"), IF(AND(Q44&gt;0, R44&gt;0), IF(ROUND(T44,5)&lt;&gt;ROUND(W44,5), IF(AND(IFERROR(ROUND(V44,8),0)=0, IFERROR(ROUND(Y44,8),0)=0), "Group 1: Flaky | Passed (no variation: CV = 0) AND Failed (no variation: CV = 0) | Different Means", IF(AND(IFERROR(ROUND(V44,8),0)&gt;0, IFERROR(ROUND(Y44,8),0)&gt;0), "Group 2: Flaky | Passed (with variation: CV &gt; 0) AND Failed (with variation: CV &gt; 0) | Different Means", IF(AND(IFERROR(ROUND(V44,8),0)=0, IFERROR(ROUND(Y44,8),0)&gt;0), "Group 3: Flaky | Passed (no variation: CV = 0) AND Failed (with variation: CV &gt; 0) | Different Means", "Group 4: Flaky | Passed (with variation: CV &gt; 0) AND Failed (no variation: CV = 0) | Different Means"))), IF(AND(IFERROR(ROUND(V44,8),0)=0, IFERROR(ROUND(Y44,8),0)=0), "Group 5: Flaky | Passed (no var CV = 0) AND Failed (no var CV = 0) | Equal Means", IF(AND(IFERROR(ROUND(V44,8),0)&gt;0, IFERROR(ROUND(Y44,8),0)&gt;0), "Group 6: Flaky | Passed (with var CV &gt; 0) AND Failed (with var CV &gt; 0) | Equal Means", IF(AND(IFERROR(ROUND(V44,8),0)=0, IFERROR(ROUND(Y44,8),0)&gt;0),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4" s="29" t="n">
        <v>2.2375</v>
      </c>
      <c r="AB44" s="29" t="n">
        <v>0.090974</v>
      </c>
      <c r="AC44" s="29" t="n">
        <f aca="false">IFERROR(AB44/AA44*100,"N/A")</f>
        <v>4.06587709497207</v>
      </c>
      <c r="AD44" s="29" t="n">
        <v>2.450964</v>
      </c>
      <c r="AE44" s="29" t="n">
        <v>0.109999</v>
      </c>
      <c r="AF44" s="29" t="n">
        <f aca="false">IFERROR(AE44/AD44*100,"N/A")</f>
        <v>4.48798921567188</v>
      </c>
      <c r="AG44" s="36" t="str">
        <f aca="false">IF(AND(Q44&gt;0, R44=0), IF(IFERROR(ROUND(AC44,8),0)=0, "Group 9: Only Passed | Without variation (no var CV = 0)", "Group 10: Only Passed | With variation (with var CV &gt; 0)"), IF(AND(Q44=0, R44&gt;0), IF(IFERROR(ROUND(AF44,8),0)=0, "Group 11: Only Failed | Without variation (no var CV = 0)", "Group 12: Only Failed | With variation (with var CV &gt; 0)"), IF(AND(Q44&gt;0, R44&gt;0), IF(ROUND(AA44,5)&lt;&gt;ROUND(AD44,5), IF(AND(IFERROR(ROUND(AC44,8),0)=0, IFERROR(ROUND(AF44,8),0)=0), "Group 1: Flaky | Passed (no variation: CV = 0) AND Failed (no variation: CV = 0) | Different Means", IF(AND(IFERROR(ROUND(AC44,8),0)&gt;0, IFERROR(ROUND(AF44,8),0)&gt;0), "Group 2: Flaky | Passed (with variation: CV &gt; 0) AND Failed (with variation: CV &gt; 0) | Different Means", IF(AND(IFERROR(ROUND(AC44,8),0)=0, IFERROR(ROUND(AF44,8),0)&gt;0), "Group 3: Flaky | Passed (no variation: CV = 0) AND Failed (with variation: CV &gt; 0) | Different Means", "Group 4: Flaky | Passed (with variation: CV &gt; 0) AND Failed (no variation: CV = 0) | Different Means"))), IF(AND(IFERROR(ROUND(AC44,8),0)=0, IFERROR(ROUND(AF44,8),0)=0), "Group 5: Flaky | Passed (no var CV = 0) AND Failed (no var CV = 0) | Equal Means", IF(AND(IFERROR(ROUND(AC44,8),0)&gt;0, IFERROR(ROUND(AF44,8),0)&gt;0), "Group 6: Flaky | Passed (with var CV &gt; 0) AND Failed (with var CV &gt; 0) | Equal Means", IF(AND(IFERROR(ROUND(AC44,8),0)=0, IFERROR(ROUND(AF44,8),0)&gt;0),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4" s="22" t="n">
        <v>67</v>
      </c>
      <c r="AI44" s="17" t="n">
        <v>33</v>
      </c>
      <c r="AJ44" s="39" t="str">
        <f aca="false">IF(AND(AH44&gt;0, AI44&gt;0), "Observed Flaky Test", "Non-observed Flaky Test")</f>
        <v>Observed Flaky Test</v>
      </c>
      <c r="AK44" s="59" t="n">
        <v>1928650.05970149</v>
      </c>
      <c r="AL44" s="33" t="n">
        <v>76573.0219101409</v>
      </c>
      <c r="AM44" s="33" t="n">
        <f aca="false">IFERROR(AL44/AK44*100,"N/A")</f>
        <v>3.97029111242672</v>
      </c>
      <c r="AN44" s="59" t="n">
        <v>1866283.45454545</v>
      </c>
      <c r="AO44" s="33" t="n">
        <v>46500.9920197212</v>
      </c>
      <c r="AP44" s="35" t="n">
        <f aca="false">IFERROR(AO44/AN44*100,"N/A")</f>
        <v>2.49163608595817</v>
      </c>
      <c r="AQ44" s="63" t="str">
        <f aca="false">IF(AND(AH44&gt;0, AI44&gt;0),
    IF(ROUND(N(AK44),5)&lt;&gt;ROUND(N(AN44),5),
        IF(AND(ROUND(N(AL44),8)=0, ROUND(N(AO44),8)=0), "Group 1: Flaky | Passed (no variation: SD = 0) AND Failed (no variation: SD = 0) | Different Means",
        IF(AND(ROUND(N(AL44),8)&gt;0, ROUND(N(AO44),8)&gt;0), "Group 2: Flaky | Passed (with variation: SD &gt; 0) AND Failed (with variation: SD &gt; 0) | Different Means",
        IF(AND(ROUND(N(AL44),8)=0, ROUND(N(AO44),8)&gt;0), "Group 3: Flaky | Passed (no variation: SD = 0) AND Failed (with variation: SD &gt; 0) | Different Means",
        "Group 4: Flaky | Passed (with variation: SD &gt; 0) AND Failed (no variation: SD = 0) | Different Means"))),
        IF(AND(ROUND(N(AL44),8)=0, ROUND(N(AO44),8)=0), "Group 5: Flaky | Passed (no var SD = 0) AND Failed (no var SD = 0) | Equal Means",
        IF(AND(ROUND(N(AL44),8)&gt;0, ROUND(N(AO44),8)&gt;0), "Group 6: Flaky | Passed (with var SD &gt; 0 ) AND Failed (with var SD &gt; 0) | Equal Means",
        IF(AND(ROUND(N(AL44),8)=0, ROUND(N(AO44),8)&gt;0), "Group 7: Flaky | Passed (no var SD = 0) AND Failed (with var SD &gt; 0) | Equal Means",
        "Group 8: Flaky | Passed (with var SD &gt; 0 ) AND Failed (no var SD = 0) | Equal Means")))
    ),
    IF(AH44&gt;0,
        IF(N(AL44)&gt;0, "Group 10: Only Passed | With variation (with var SD &gt; 0)", "Group 9: Only Passed | Without variation (no var SD = 0)"),
        IF(AI44&gt;0,
            IF(N(AO44)&gt;0,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4" s="42" t="str">
        <f aca="false">IF(OR(F44="Observed Flaky Test", I44="Observed Flaky Test", S44="Observed Flaky Test", AJ44="Observed Flaky Test"), "Observed Flaky Test", "Non-observed Flaky Test")</f>
        <v>Observed Flaky Test</v>
      </c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</row>
    <row r="45" customFormat="false" ht="15.75" hidden="false" customHeight="true" outlineLevel="0" collapsed="false">
      <c r="A45" s="13"/>
      <c r="B45" s="14" t="s">
        <v>112</v>
      </c>
      <c r="C45" s="14" t="s">
        <v>113</v>
      </c>
      <c r="D45" s="15" t="n">
        <v>100</v>
      </c>
      <c r="E45" s="15" t="n">
        <v>0</v>
      </c>
      <c r="F45" s="16" t="str">
        <f aca="false">IF(AND(D45&gt;0, E45&gt;0), "Observed Flaky Test", "Non-observed Flaky Test")</f>
        <v>Non-observed Flaky Test</v>
      </c>
      <c r="G45" s="17" t="n">
        <v>60</v>
      </c>
      <c r="H45" s="17" t="n">
        <v>40</v>
      </c>
      <c r="I45" s="61" t="str">
        <f aca="false">IF(AND(G45&gt;0, H45&gt;0), "Observed Flaky Test", "Non-observed Flaky Test")</f>
        <v>Observed Flaky Test</v>
      </c>
      <c r="J45" s="53" t="n">
        <v>7.566833</v>
      </c>
      <c r="K45" s="53" t="n">
        <v>0.004652</v>
      </c>
      <c r="L45" s="19" t="n">
        <f aca="false">IFERROR(K45/J45*100,"N/A")</f>
        <v>0.0614788247606363</v>
      </c>
      <c r="M45" s="47" t="n">
        <v>7.56775</v>
      </c>
      <c r="N45" s="53" t="n">
        <v>0.005695</v>
      </c>
      <c r="O45" s="20" t="n">
        <f aca="false">IFERROR(N45/M45*100,"N/A")</f>
        <v>0.0752535429949457</v>
      </c>
      <c r="P45" s="62" t="str">
        <f aca="false">IF(AND(G45&gt;0, H45=0), IF(ROUND(K45,8)=0, "Group 9: Only Passed | Without variation (SD Passed = 0)", "Group 10: Only Passed | With variation (SD Passed &gt; 0)"), IF(AND(G45=0, H45&gt;0), IF(ROUND(N45,8)=0, "Group 11: Only Failed | Without variation (SD Failed = 0)", "Group 12: Only Failed | With variation (SD Failed &gt; 0)"), IF(AND(G45&gt;0, H45&gt;0), IF(ROUND(J45,5)&lt;&gt;ROUND(M45,5), IF(AND(ROUND(K45,8)=0, ROUND(N45,8)=0), "Group 1: Flaky | Passed (no variation) AND Failed (no variation) | Different Means", IF(AND(ROUND(K45,8)&gt;0, ROUND(N45,8)&gt;0), "Group 2: Flaky | Passed (with variation) AND Failed (with variation) | Different Means", IF(AND(ROUND(K45,8)=0, ROUND(N45,8)&gt;0), "Group 3: Flaky | Passed (no variation) AND Failed (with variation) | Different Means", "Group 4: Flaky | Passed (with variation) AND Failed (no variation) | Different Means"))), IF(AND(ROUND(K45,8)=0, ROUND(N45,8)=0), "Group 5: Flaky | Passed (no variation) AND Failed (no variation) | Equal Means", IF(AND(ROUND(K45,8)&gt;0, ROUND(N45,8)&gt;0), "Group 6: Flaky | Passed (with variation) AND Failed (with variation) | Equal Means", IF(AND(ROUND(K45,8)=0, ROUND(N45,8)&gt;0),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45" s="22" t="n">
        <v>62</v>
      </c>
      <c r="R45" s="22" t="n">
        <v>38</v>
      </c>
      <c r="S45" s="43" t="str">
        <f aca="false">IF(AND(Q45&gt;0, R45&gt;0), "Observed Flaky Test", "Non-observed Flaky Test")</f>
        <v>Observed Flaky Test</v>
      </c>
      <c r="T45" s="24" t="n">
        <v>3394333.225806</v>
      </c>
      <c r="U45" s="24" t="n">
        <v>31200.238767</v>
      </c>
      <c r="V45" s="25" t="n">
        <f aca="false">IFERROR(U45/T45*100,"N/A")</f>
        <v>0.919186087264351</v>
      </c>
      <c r="W45" s="24" t="n">
        <v>3606663.263158</v>
      </c>
      <c r="X45" s="24" t="n">
        <v>24561.47632</v>
      </c>
      <c r="Y45" s="27" t="n">
        <f aca="false">IFERROR(X45/W45*100,"N/A")</f>
        <v>0.681002758724249</v>
      </c>
      <c r="Z45" s="68" t="str">
        <f aca="false">IF(AND(Q45&gt;0, R45=0), IF(IFERROR(ROUND(V45,8),0)=0, "Group 9: Only Passed | Without variation (no var CV = 0)", "Group 10: Only Passed | With variation (with var CV &gt; 0)"), IF(AND(Q45=0, R45&gt;0), IF(IFERROR(ROUND(Y45,8),0)=0, "Group 11: Only Failed | Without variation (no var CV = 0)", "Group 12: Only Failed | With variation (with var CV &gt; 0)"), IF(AND(Q45&gt;0, R45&gt;0), IF(ROUND(T45,5)&lt;&gt;ROUND(W45,5), IF(AND(IFERROR(ROUND(V45,8),0)=0, IFERROR(ROUND(Y45,8),0)=0), "Group 1: Flaky | Passed (no variation: CV = 0) AND Failed (no variation: CV = 0) | Different Means", IF(AND(IFERROR(ROUND(V45,8),0)&gt;0, IFERROR(ROUND(Y45,8),0)&gt;0), "Group 2: Flaky | Passed (with variation: CV &gt; 0) AND Failed (with variation: CV &gt; 0) | Different Means", IF(AND(IFERROR(ROUND(V45,8),0)=0, IFERROR(ROUND(Y45,8),0)&gt;0), "Group 3: Flaky | Passed (no variation: CV = 0) AND Failed (with variation: CV &gt; 0) | Different Means", "Group 4: Flaky | Passed (with variation: CV &gt; 0) AND Failed (no variation: CV = 0) | Different Means"))), IF(AND(IFERROR(ROUND(V45,8),0)=0, IFERROR(ROUND(Y45,8),0)=0), "Group 5: Flaky | Passed (no var CV = 0) AND Failed (no var CV = 0) | Equal Means", IF(AND(IFERROR(ROUND(V45,8),0)&gt;0, IFERROR(ROUND(Y45,8),0)&gt;0), "Group 6: Flaky | Passed (with var CV &gt; 0) AND Failed (with var CV &gt; 0) | Equal Means", IF(AND(IFERROR(ROUND(V45,8),0)=0, IFERROR(ROUND(Y45,8),0)&gt;0),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5" s="29" t="n">
        <v>2.197369</v>
      </c>
      <c r="AB45" s="29" t="n">
        <v>0.129485</v>
      </c>
      <c r="AC45" s="29" t="n">
        <f aca="false">IFERROR(AB45/AA45*100,"N/A")</f>
        <v>5.89272898634685</v>
      </c>
      <c r="AD45" s="29" t="n">
        <v>2.349349</v>
      </c>
      <c r="AE45" s="29" t="n">
        <v>0.077302</v>
      </c>
      <c r="AF45" s="29" t="n">
        <f aca="false">IFERROR(AE45/AD45*100,"N/A")</f>
        <v>3.29035830776951</v>
      </c>
      <c r="AG45" s="36" t="str">
        <f aca="false">IF(AND(Q45&gt;0, R45=0), IF(IFERROR(ROUND(AC45,8),0)=0, "Group 9: Only Passed | Without variation (no var CV = 0)", "Group 10: Only Passed | With variation (with var CV &gt; 0)"), IF(AND(Q45=0, R45&gt;0), IF(IFERROR(ROUND(AF45,8),0)=0, "Group 11: Only Failed | Without variation (no var CV = 0)", "Group 12: Only Failed | With variation (with var CV &gt; 0)"), IF(AND(Q45&gt;0, R45&gt;0), IF(ROUND(AA45,5)&lt;&gt;ROUND(AD45,5), IF(AND(IFERROR(ROUND(AC45,8),0)=0, IFERROR(ROUND(AF45,8),0)=0), "Group 1: Flaky | Passed (no variation: CV = 0) AND Failed (no variation: CV = 0) | Different Means", IF(AND(IFERROR(ROUND(AC45,8),0)&gt;0, IFERROR(ROUND(AF45,8),0)&gt;0), "Group 2: Flaky | Passed (with variation: CV &gt; 0) AND Failed (with variation: CV &gt; 0) | Different Means", IF(AND(IFERROR(ROUND(AC45,8),0)=0, IFERROR(ROUND(AF45,8),0)&gt;0), "Group 3: Flaky | Passed (no variation: CV = 0) AND Failed (with variation: CV &gt; 0) | Different Means", "Group 4: Flaky | Passed (with variation: CV &gt; 0) AND Failed (no variation: CV = 0) | Different Means"))), IF(AND(IFERROR(ROUND(AC45,8),0)=0, IFERROR(ROUND(AF45,8),0)=0), "Group 5: Flaky | Passed (no var CV = 0) AND Failed (no var CV = 0) | Equal Means", IF(AND(IFERROR(ROUND(AC45,8),0)&gt;0, IFERROR(ROUND(AF45,8),0)&gt;0), "Group 6: Flaky | Passed (with var CV &gt; 0) AND Failed (with var CV &gt; 0) | Equal Means", IF(AND(IFERROR(ROUND(AC45,8),0)=0, IFERROR(ROUND(AF45,8),0)&gt;0),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5" s="22" t="n">
        <v>59</v>
      </c>
      <c r="AI45" s="17" t="n">
        <v>41</v>
      </c>
      <c r="AJ45" s="39" t="str">
        <f aca="false">IF(AND(AH45&gt;0, AI45&gt;0), "Observed Flaky Test", "Non-observed Flaky Test")</f>
        <v>Observed Flaky Test</v>
      </c>
      <c r="AK45" s="76" t="n">
        <v>1740249.3898305</v>
      </c>
      <c r="AL45" s="33" t="n">
        <v>53642.2245193084</v>
      </c>
      <c r="AM45" s="33" t="n">
        <f aca="false">IFERROR(AL45/AK45*100,"N/A")</f>
        <v>3.08244466757337</v>
      </c>
      <c r="AN45" s="59" t="n">
        <v>1669687.75609756</v>
      </c>
      <c r="AO45" s="33" t="n">
        <v>46327.0606496788</v>
      </c>
      <c r="AP45" s="35" t="n">
        <f aca="false">IFERROR(AO45/AN45*100,"N/A")</f>
        <v>2.7745942605434</v>
      </c>
      <c r="AQ45" s="63" t="str">
        <f aca="false">IF(AND(AH45&gt;0, AI45&gt;0),
    IF(ROUND(N(AK45),5)&lt;&gt;ROUND(N(AN45),5),
        IF(AND(ROUND(N(AL45),8)=0, ROUND(N(AO45),8)=0), "Group 1: Flaky | Passed (no variation: SD = 0) AND Failed (no variation: SD = 0) | Different Means",
        IF(AND(ROUND(N(AL45),8)&gt;0, ROUND(N(AO45),8)&gt;0), "Group 2: Flaky | Passed (with variation: SD &gt; 0) AND Failed (with variation: SD &gt; 0) | Different Means",
        IF(AND(ROUND(N(AL45),8)=0, ROUND(N(AO45),8)&gt;0), "Group 3: Flaky | Passed (no variation: SD = 0) AND Failed (with variation: SD &gt; 0) | Different Means",
        "Group 4: Flaky | Passed (with variation: SD &gt; 0) AND Failed (no variation: SD = 0) | Different Means"))),
        IF(AND(ROUND(N(AL45),8)=0, ROUND(N(AO45),8)=0), "Group 5: Flaky | Passed (no var SD = 0) AND Failed (no var SD = 0) | Equal Means",
        IF(AND(ROUND(N(AL45),8)&gt;0, ROUND(N(AO45),8)&gt;0), "Group 6: Flaky | Passed (with var SD &gt; 0 ) AND Failed (with var SD &gt; 0) | Equal Means",
        IF(AND(ROUND(N(AL45),8)=0, ROUND(N(AO45),8)&gt;0), "Group 7: Flaky | Passed (no var SD = 0) AND Failed (with var SD &gt; 0) | Equal Means",
        "Group 8: Flaky | Passed (with var SD &gt; 0 ) AND Failed (no var SD = 0) | Equal Means")))
    ),
    IF(AH45&gt;0,
        IF(N(AL45)&gt;0, "Group 10: Only Passed | With variation (with var SD &gt; 0)", "Group 9: Only Passed | Without variation (no var SD = 0)"),
        IF(AI45&gt;0,
            IF(N(AO45)&gt;0,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5" s="42" t="str">
        <f aca="false">IF(OR(F45="Observed Flaky Test", I45="Observed Flaky Test", S45="Observed Flaky Test", AJ45="Observed Flaky Test"), "Observed Flaky Test", "Non-observed Flaky Test")</f>
        <v>Observed Flaky Test</v>
      </c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customFormat="false" ht="15.75" hidden="false" customHeight="true" outlineLevel="0" collapsed="false">
      <c r="A46" s="13"/>
      <c r="B46" s="14" t="s">
        <v>114</v>
      </c>
      <c r="C46" s="14" t="s">
        <v>115</v>
      </c>
      <c r="D46" s="15" t="n">
        <v>100</v>
      </c>
      <c r="E46" s="15" t="n">
        <v>0</v>
      </c>
      <c r="F46" s="16" t="str">
        <f aca="false">IF(AND(D46&gt;0, E46&gt;0), "Observed Flaky Test", "Non-observed Flaky Test")</f>
        <v>Non-observed Flaky Test</v>
      </c>
      <c r="G46" s="17" t="n">
        <v>54</v>
      </c>
      <c r="H46" s="17" t="n">
        <v>46</v>
      </c>
      <c r="I46" s="61" t="str">
        <f aca="false">IF(AND(G46&gt;0, H46&gt;0), "Observed Flaky Test", "Non-observed Flaky Test")</f>
        <v>Observed Flaky Test</v>
      </c>
      <c r="J46" s="53" t="n">
        <v>7.578519</v>
      </c>
      <c r="K46" s="53" t="n">
        <v>0.004475</v>
      </c>
      <c r="L46" s="19" t="n">
        <f aca="false">IFERROR(K46/J46*100,"N/A")</f>
        <v>0.0590484763579797</v>
      </c>
      <c r="M46" s="53" t="n">
        <v>7.576739</v>
      </c>
      <c r="N46" s="53" t="n">
        <v>0.008611</v>
      </c>
      <c r="O46" s="20" t="n">
        <f aca="false">IFERROR(N46/M46*100,"N/A")</f>
        <v>0.11365047680803</v>
      </c>
      <c r="P46" s="62" t="str">
        <f aca="false">IF(AND(G46&gt;0, H46=0), IF(ROUND(K46,8)=0, "Group 9: Only Passed | Without variation (SD Passed = 0)", "Group 10: Only Passed | With variation (SD Passed &gt; 0)"), IF(AND(G46=0, H46&gt;0), IF(ROUND(N46,8)=0, "Group 11: Only Failed | Without variation (SD Failed = 0)", "Group 12: Only Failed | With variation (SD Failed &gt; 0)"), IF(AND(G46&gt;0, H46&gt;0), IF(ROUND(J46,5)&lt;&gt;ROUND(M46,5), IF(AND(ROUND(K46,8)=0, ROUND(N46,8)=0), "Group 1: Flaky | Passed (no variation) AND Failed (no variation) | Different Means", IF(AND(ROUND(K46,8)&gt;0, ROUND(N46,8)&gt;0), "Group 2: Flaky | Passed (with variation) AND Failed (with variation) | Different Means", IF(AND(ROUND(K46,8)=0, ROUND(N46,8)&gt;0), "Group 3: Flaky | Passed (no variation) AND Failed (with variation) | Different Means", "Group 4: Flaky | Passed (with variation) AND Failed (no variation) | Different Means"))), IF(AND(ROUND(K46,8)=0, ROUND(N46,8)=0), "Group 5: Flaky | Passed (no variation) AND Failed (no variation) | Equal Means", IF(AND(ROUND(K46,8)&gt;0, ROUND(N46,8)&gt;0), "Group 6: Flaky | Passed (with variation) AND Failed (with variation) | Equal Means", IF(AND(ROUND(K46,8)=0, ROUND(N46,8)&gt;0),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46" s="22" t="n">
        <v>74</v>
      </c>
      <c r="R46" s="22" t="n">
        <v>26</v>
      </c>
      <c r="S46" s="43" t="str">
        <f aca="false">IF(AND(Q46&gt;0, R46&gt;0), "Observed Flaky Test", "Non-observed Flaky Test")</f>
        <v>Observed Flaky Test</v>
      </c>
      <c r="T46" s="26" t="n">
        <v>3510756.27027</v>
      </c>
      <c r="U46" s="24" t="n">
        <v>30802.252131</v>
      </c>
      <c r="V46" s="25" t="n">
        <f aca="false">IFERROR(U46/T46*100,"N/A")</f>
        <v>0.87736800164231</v>
      </c>
      <c r="W46" s="24" t="n">
        <v>3734594.923077</v>
      </c>
      <c r="X46" s="24" t="n">
        <v>46289.610388</v>
      </c>
      <c r="Y46" s="27" t="n">
        <f aca="false">IFERROR(X46/W46*100,"N/A")</f>
        <v>1.23948142546772</v>
      </c>
      <c r="Z46" s="68" t="str">
        <f aca="false">IF(AND(Q46&gt;0, R46=0), IF(IFERROR(ROUND(V46,8),0)=0, "Group 9: Only Passed | Without variation (no var CV = 0)", "Group 10: Only Passed | With variation (with var CV &gt; 0)"), IF(AND(Q46=0, R46&gt;0), IF(IFERROR(ROUND(Y46,8),0)=0, "Group 11: Only Failed | Without variation (no var CV = 0)", "Group 12: Only Failed | With variation (with var CV &gt; 0)"), IF(AND(Q46&gt;0, R46&gt;0), IF(ROUND(T46,5)&lt;&gt;ROUND(W46,5), IF(AND(IFERROR(ROUND(V46,8),0)=0, IFERROR(ROUND(Y46,8),0)=0), "Group 1: Flaky | Passed (no variation: CV = 0) AND Failed (no variation: CV = 0) | Different Means", IF(AND(IFERROR(ROUND(V46,8),0)&gt;0, IFERROR(ROUND(Y46,8),0)&gt;0), "Group 2: Flaky | Passed (with variation: CV &gt; 0) AND Failed (with variation: CV &gt; 0) | Different Means", IF(AND(IFERROR(ROUND(V46,8),0)=0, IFERROR(ROUND(Y46,8),0)&gt;0), "Group 3: Flaky | Passed (no variation: CV = 0) AND Failed (with variation: CV &gt; 0) | Different Means", "Group 4: Flaky | Passed (with variation: CV &gt; 0) AND Failed (no variation: CV = 0) | Different Means"))), IF(AND(IFERROR(ROUND(V46,8),0)=0, IFERROR(ROUND(Y46,8),0)=0), "Group 5: Flaky | Passed (no var CV = 0) AND Failed (no var CV = 0) | Equal Means", IF(AND(IFERROR(ROUND(V46,8),0)&gt;0, IFERROR(ROUND(Y46,8),0)&gt;0), "Group 6: Flaky | Passed (with var CV &gt; 0) AND Failed (with var CV &gt; 0) | Equal Means", IF(AND(IFERROR(ROUND(V46,8),0)=0, IFERROR(ROUND(Y46,8),0)&gt;0),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6" s="29" t="n">
        <v>2.425263</v>
      </c>
      <c r="AB46" s="29" t="n">
        <v>0.112124</v>
      </c>
      <c r="AC46" s="29" t="n">
        <f aca="false">IFERROR(AB46/AA46*100,"N/A")</f>
        <v>4.62316870376532</v>
      </c>
      <c r="AD46" s="29" t="n">
        <v>2.729061</v>
      </c>
      <c r="AE46" s="29" t="n">
        <v>0.192485</v>
      </c>
      <c r="AF46" s="29" t="n">
        <f aca="false">IFERROR(AE46/AD46*100,"N/A")</f>
        <v>7.05315857725423</v>
      </c>
      <c r="AG46" s="36" t="str">
        <f aca="false">IF(AND(Q46&gt;0, R46=0), IF(IFERROR(ROUND(AC46,8),0)=0, "Group 9: Only Passed | Without variation (no var CV = 0)", "Group 10: Only Passed | With variation (with var CV &gt; 0)"), IF(AND(Q46=0, R46&gt;0), IF(IFERROR(ROUND(AF46,8),0)=0, "Group 11: Only Failed | Without variation (no var CV = 0)", "Group 12: Only Failed | With variation (with var CV &gt; 0)"), IF(AND(Q46&gt;0, R46&gt;0), IF(ROUND(AA46,5)&lt;&gt;ROUND(AD46,5), IF(AND(IFERROR(ROUND(AC46,8),0)=0, IFERROR(ROUND(AF46,8),0)=0), "Group 1: Flaky | Passed (no variation: CV = 0) AND Failed (no variation: CV = 0) | Different Means", IF(AND(IFERROR(ROUND(AC46,8),0)&gt;0, IFERROR(ROUND(AF46,8),0)&gt;0), "Group 2: Flaky | Passed (with variation: CV &gt; 0) AND Failed (with variation: CV &gt; 0) | Different Means", IF(AND(IFERROR(ROUND(AC46,8),0)=0, IFERROR(ROUND(AF46,8),0)&gt;0), "Group 3: Flaky | Passed (no variation: CV = 0) AND Failed (with variation: CV &gt; 0) | Different Means", "Group 4: Flaky | Passed (with variation: CV &gt; 0) AND Failed (no variation: CV = 0) | Different Means"))), IF(AND(IFERROR(ROUND(AC46,8),0)=0, IFERROR(ROUND(AF46,8),0)=0), "Group 5: Flaky | Passed (no var CV = 0) AND Failed (no var CV = 0) | Equal Means", IF(AND(IFERROR(ROUND(AC46,8),0)&gt;0, IFERROR(ROUND(AF46,8),0)&gt;0), "Group 6: Flaky | Passed (with var CV &gt; 0) AND Failed (with var CV &gt; 0) | Equal Means", IF(AND(IFERROR(ROUND(AC46,8),0)=0, IFERROR(ROUND(AF46,8),0)&gt;0),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6" s="22" t="n">
        <v>47</v>
      </c>
      <c r="AI46" s="17" t="n">
        <v>53</v>
      </c>
      <c r="AJ46" s="39" t="str">
        <f aca="false">IF(AND(AH46&gt;0, AI46&gt;0), "Observed Flaky Test", "Non-observed Flaky Test")</f>
        <v>Observed Flaky Test</v>
      </c>
      <c r="AK46" s="59" t="n">
        <v>2094692.44680851</v>
      </c>
      <c r="AL46" s="33" t="n">
        <v>94065.4888359604</v>
      </c>
      <c r="AM46" s="33" t="n">
        <f aca="false">IFERROR(AL46/AK46*100,"N/A")</f>
        <v>4.49065871122414</v>
      </c>
      <c r="AN46" s="59" t="n">
        <v>1989123.90566037</v>
      </c>
      <c r="AO46" s="33" t="n">
        <v>87439.2711873754</v>
      </c>
      <c r="AP46" s="35" t="n">
        <f aca="false">IFERROR(AO46/AN46*100,"N/A")</f>
        <v>4.39586849962202</v>
      </c>
      <c r="AQ46" s="63" t="str">
        <f aca="false">IF(AND(AH46&gt;0, AI46&gt;0),
    IF(ROUND(N(AK46),5)&lt;&gt;ROUND(N(AN46),5),
        IF(AND(ROUND(N(AL46),8)=0, ROUND(N(AO46),8)=0), "Group 1: Flaky | Passed (no variation: SD = 0) AND Failed (no variation: SD = 0) | Different Means",
        IF(AND(ROUND(N(AL46),8)&gt;0, ROUND(N(AO46),8)&gt;0), "Group 2: Flaky | Passed (with variation: SD &gt; 0) AND Failed (with variation: SD &gt; 0) | Different Means",
        IF(AND(ROUND(N(AL46),8)=0, ROUND(N(AO46),8)&gt;0), "Group 3: Flaky | Passed (no variation: SD = 0) AND Failed (with variation: SD &gt; 0) | Different Means",
        "Group 4: Flaky | Passed (with variation: SD &gt; 0) AND Failed (no variation: SD = 0) | Different Means"))),
        IF(AND(ROUND(N(AL46),8)=0, ROUND(N(AO46),8)=0), "Group 5: Flaky | Passed (no var SD = 0) AND Failed (no var SD = 0) | Equal Means",
        IF(AND(ROUND(N(AL46),8)&gt;0, ROUND(N(AO46),8)&gt;0), "Group 6: Flaky | Passed (with var SD &gt; 0 ) AND Failed (with var SD &gt; 0) | Equal Means",
        IF(AND(ROUND(N(AL46),8)=0, ROUND(N(AO46),8)&gt;0), "Group 7: Flaky | Passed (no var SD = 0) AND Failed (with var SD &gt; 0) | Equal Means",
        "Group 8: Flaky | Passed (with var SD &gt; 0 ) AND Failed (no var SD = 0) | Equal Means")))
    ),
    IF(AH46&gt;0,
        IF(N(AL46)&gt;0, "Group 10: Only Passed | With variation (with var SD &gt; 0)", "Group 9: Only Passed | Without variation (no var SD = 0)"),
        IF(AI46&gt;0,
            IF(N(AO46)&gt;0,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6" s="42" t="str">
        <f aca="false">IF(OR(F46="Observed Flaky Test", I46="Observed Flaky Test", S46="Observed Flaky Test", AJ46="Observed Flaky Test"), "Observed Flaky Test", "Non-observed Flaky Test")</f>
        <v>Observed Flaky Test</v>
      </c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customFormat="false" ht="15.75" hidden="false" customHeight="true" outlineLevel="0" collapsed="false">
      <c r="A47" s="13"/>
      <c r="B47" s="14" t="s">
        <v>116</v>
      </c>
      <c r="C47" s="14" t="s">
        <v>117</v>
      </c>
      <c r="D47" s="15" t="n">
        <v>100</v>
      </c>
      <c r="E47" s="15" t="n">
        <v>0</v>
      </c>
      <c r="F47" s="16" t="str">
        <f aca="false">IF(AND(D47&gt;0, E47&gt;0), "Observed Flaky Test", "Non-observed Flaky Test")</f>
        <v>Non-observed Flaky Test</v>
      </c>
      <c r="G47" s="17" t="n">
        <v>100</v>
      </c>
      <c r="H47" s="17" t="n">
        <v>0</v>
      </c>
      <c r="I47" s="16" t="str">
        <f aca="false">IF(AND(G47&gt;0, H47&gt;0), "Observed Flaky Test", "Non-observed Flaky Test")</f>
        <v>Non-observed Flaky Test</v>
      </c>
      <c r="J47" s="66" t="n">
        <v>7.572</v>
      </c>
      <c r="K47" s="53" t="n">
        <v>0.006633</v>
      </c>
      <c r="L47" s="19" t="n">
        <f aca="false">IFERROR(K47/J47*100,"N/A")</f>
        <v>0.0875990491283677</v>
      </c>
      <c r="M47" s="18" t="n">
        <v>0</v>
      </c>
      <c r="N47" s="18" t="n">
        <v>0</v>
      </c>
      <c r="O47" s="20" t="str">
        <f aca="false">IFERROR(N47/M47*100,"N/A")</f>
        <v>N/A</v>
      </c>
      <c r="P47" s="48" t="str">
        <f aca="false">IF(AND(G47&gt;0, H47=0), IF(ROUND(K47,8)=0, "Group 9: Only Passed | Without variation (SD Passed = 0)", "Group 10: Only Passed | With variation (SD Passed &gt; 0)"), IF(AND(G47=0, H47&gt;0), IF(ROUND(N47,8)=0, "Group 11: Only Failed | Without variation (SD Failed = 0)", "Group 12: Only Failed | With variation (SD Failed &gt; 0)"), IF(AND(G47&gt;0, H47&gt;0), IF(ROUND(J47,5)&lt;&gt;ROUND(M47,5), IF(AND(ROUND(K47,8)=0, ROUND(N47,8)=0), "Group 1: Flaky | Passed (no variation) AND Failed (no variation) | Different Means", IF(AND(ROUND(K47,8)&gt;0, ROUND(N47,8)&gt;0), "Group 2: Flaky | Passed (with variation) AND Failed (with variation) | Different Means", IF(AND(ROUND(K47,8)=0, ROUND(N47,8)&gt;0), "Group 3: Flaky | Passed (no variation) AND Failed (with variation) | Different Means", "Group 4: Flaky | Passed (with variation) AND Failed (no variation) | Different Means"))), IF(AND(ROUND(K47,8)=0, ROUND(N47,8)=0), "Group 5: Flaky | Passed (no variation) AND Failed (no variation) | Equal Means", IF(AND(ROUND(K47,8)&gt;0, ROUND(N47,8)&gt;0), "Group 6: Flaky | Passed (with variation) AND Failed (with variation) | Equal Means", IF(AND(ROUND(K47,8)=0, ROUND(N47,8)&gt;0),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47" s="22" t="n">
        <v>91</v>
      </c>
      <c r="R47" s="22" t="n">
        <v>9</v>
      </c>
      <c r="S47" s="43" t="str">
        <f aca="false">IF(AND(Q47&gt;0, R47&gt;0), "Observed Flaky Test", "Non-observed Flaky Test")</f>
        <v>Observed Flaky Test</v>
      </c>
      <c r="T47" s="24" t="n">
        <v>3484420.846154</v>
      </c>
      <c r="U47" s="24" t="n">
        <v>36142.954891</v>
      </c>
      <c r="V47" s="25" t="n">
        <f aca="false">IFERROR(U47/T47*100,"N/A")</f>
        <v>1.03727294970392</v>
      </c>
      <c r="W47" s="26" t="n">
        <v>3760226.888889</v>
      </c>
      <c r="X47" s="24" t="n">
        <v>40934.454645</v>
      </c>
      <c r="Y47" s="27" t="n">
        <f aca="false">IFERROR(X47/W47*100,"N/A")</f>
        <v>1.08861661422496</v>
      </c>
      <c r="Z47" s="68" t="str">
        <f aca="false">IF(AND(Q47&gt;0, R47=0), IF(IFERROR(ROUND(V47,8),0)=0, "Group 9: Only Passed | Without variation (no var CV = 0)", "Group 10: Only Passed | With variation (with var CV &gt; 0)"), IF(AND(Q47=0, R47&gt;0), IF(IFERROR(ROUND(Y47,8),0)=0, "Group 11: Only Failed | Without variation (no var CV = 0)", "Group 12: Only Failed | With variation (with var CV &gt; 0)"), IF(AND(Q47&gt;0, R47&gt;0), IF(ROUND(T47,5)&lt;&gt;ROUND(W47,5), IF(AND(IFERROR(ROUND(V47,8),0)=0, IFERROR(ROUND(Y47,8),0)=0), "Group 1: Flaky | Passed (no variation: CV = 0) AND Failed (no variation: CV = 0) | Different Means", IF(AND(IFERROR(ROUND(V47,8),0)&gt;0, IFERROR(ROUND(Y47,8),0)&gt;0), "Group 2: Flaky | Passed (with variation: CV &gt; 0) AND Failed (with variation: CV &gt; 0) | Different Means", IF(AND(IFERROR(ROUND(V47,8),0)=0, IFERROR(ROUND(Y47,8),0)&gt;0), "Group 3: Flaky | Passed (no variation: CV = 0) AND Failed (with variation: CV &gt; 0) | Different Means", "Group 4: Flaky | Passed (with variation: CV &gt; 0) AND Failed (no variation: CV = 0) | Different Means"))), IF(AND(IFERROR(ROUND(V47,8),0)=0, IFERROR(ROUND(Y47,8),0)=0), "Group 5: Flaky | Passed (no var CV = 0) AND Failed (no var CV = 0) | Equal Means", IF(AND(IFERROR(ROUND(V47,8),0)&gt;0, IFERROR(ROUND(Y47,8),0)&gt;0), "Group 6: Flaky | Passed (with var CV &gt; 0) AND Failed (with var CV &gt; 0) | Equal Means", IF(AND(IFERROR(ROUND(V47,8),0)=0, IFERROR(ROUND(Y47,8),0)&gt;0),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7" s="29" t="n">
        <v>2.502918</v>
      </c>
      <c r="AB47" s="29" t="n">
        <v>0.150412</v>
      </c>
      <c r="AC47" s="29" t="n">
        <f aca="false">IFERROR(AB47/AA47*100,"N/A")</f>
        <v>6.00946575157476</v>
      </c>
      <c r="AD47" s="29" t="n">
        <v>2.698863</v>
      </c>
      <c r="AE47" s="29" t="n">
        <v>0.143496</v>
      </c>
      <c r="AF47" s="29" t="n">
        <f aca="false">IFERROR(AE47/AD47*100,"N/A")</f>
        <v>5.31690567472302</v>
      </c>
      <c r="AG47" s="36" t="str">
        <f aca="false">IF(AND(Q47&gt;0, R47=0), IF(IFERROR(ROUND(AC47,8),0)=0, "Group 9: Only Passed | Without variation (no var CV = 0)", "Group 10: Only Passed | With variation (with var CV &gt; 0)"), IF(AND(Q47=0, R47&gt;0), IF(IFERROR(ROUND(AF47,8),0)=0, "Group 11: Only Failed | Without variation (no var CV = 0)", "Group 12: Only Failed | With variation (with var CV &gt; 0)"), IF(AND(Q47&gt;0, R47&gt;0), IF(ROUND(AA47,5)&lt;&gt;ROUND(AD47,5), IF(AND(IFERROR(ROUND(AC47,8),0)=0, IFERROR(ROUND(AF47,8),0)=0), "Group 1: Flaky | Passed (no variation: CV = 0) AND Failed (no variation: CV = 0) | Different Means", IF(AND(IFERROR(ROUND(AC47,8),0)&gt;0, IFERROR(ROUND(AF47,8),0)&gt;0), "Group 2: Flaky | Passed (with variation: CV &gt; 0) AND Failed (with variation: CV &gt; 0) | Different Means", IF(AND(IFERROR(ROUND(AC47,8),0)=0, IFERROR(ROUND(AF47,8),0)&gt;0), "Group 3: Flaky | Passed (no variation: CV = 0) AND Failed (with variation: CV &gt; 0) | Different Means", "Group 4: Flaky | Passed (with variation: CV &gt; 0) AND Failed (no variation: CV = 0) | Different Means"))), IF(AND(IFERROR(ROUND(AC47,8),0)=0, IFERROR(ROUND(AF47,8),0)=0), "Group 5: Flaky | Passed (no var CV = 0) AND Failed (no var CV = 0) | Equal Means", IF(AND(IFERROR(ROUND(AC47,8),0)&gt;0, IFERROR(ROUND(AF47,8),0)&gt;0), "Group 6: Flaky | Passed (with var CV &gt; 0) AND Failed (with var CV &gt; 0) | Equal Means", IF(AND(IFERROR(ROUND(AC47,8),0)=0, IFERROR(ROUND(AF47,8),0)&gt;0),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7" s="22" t="n">
        <v>83</v>
      </c>
      <c r="AI47" s="17" t="n">
        <v>17</v>
      </c>
      <c r="AJ47" s="39" t="str">
        <f aca="false">IF(AND(AH47&gt;0, AI47&gt;0), "Observed Flaky Test", "Non-observed Flaky Test")</f>
        <v>Observed Flaky Test</v>
      </c>
      <c r="AK47" s="59" t="n">
        <v>2066959.78313253</v>
      </c>
      <c r="AL47" s="33" t="n">
        <v>99320.7824925277</v>
      </c>
      <c r="AM47" s="33" t="n">
        <f aca="false">IFERROR(AL47/AK47*100,"N/A")</f>
        <v>4.80516279528209</v>
      </c>
      <c r="AN47" s="59" t="n">
        <v>2061184.64705882</v>
      </c>
      <c r="AO47" s="59" t="n">
        <v>89396.28463822</v>
      </c>
      <c r="AP47" s="35" t="n">
        <f aca="false">IFERROR(AO47/AN47*100,"N/A")</f>
        <v>4.33713130775464</v>
      </c>
      <c r="AQ47" s="63" t="str">
        <f aca="false">IF(AND(AH47&gt;0, AI47&gt;0),
    IF(ROUND(N(AK47),5)&lt;&gt;ROUND(N(AN47),5),
        IF(AND(ROUND(N(AL47),8)=0, ROUND(N(AO47),8)=0), "Group 1: Flaky | Passed (no variation: SD = 0) AND Failed (no variation: SD = 0) | Different Means",
        IF(AND(ROUND(N(AL47),8)&gt;0, ROUND(N(AO47),8)&gt;0), "Group 2: Flaky | Passed (with variation: SD &gt; 0) AND Failed (with variation: SD &gt; 0) | Different Means",
        IF(AND(ROUND(N(AL47),8)=0, ROUND(N(AO47),8)&gt;0), "Group 3: Flaky | Passed (no variation: SD = 0) AND Failed (with variation: SD &gt; 0) | Different Means",
        "Group 4: Flaky | Passed (with variation: SD &gt; 0) AND Failed (no variation: SD = 0) | Different Means"))),
        IF(AND(ROUND(N(AL47),8)=0, ROUND(N(AO47),8)=0), "Group 5: Flaky | Passed (no var SD = 0) AND Failed (no var SD = 0) | Equal Means",
        IF(AND(ROUND(N(AL47),8)&gt;0, ROUND(N(AO47),8)&gt;0), "Group 6: Flaky | Passed (with var SD &gt; 0 ) AND Failed (with var SD &gt; 0) | Equal Means",
        IF(AND(ROUND(N(AL47),8)=0, ROUND(N(AO47),8)&gt;0), "Group 7: Flaky | Passed (no var SD = 0) AND Failed (with var SD &gt; 0) | Equal Means",
        "Group 8: Flaky | Passed (with var SD &gt; 0 ) AND Failed (no var SD = 0) | Equal Means")))
    ),
    IF(AH47&gt;0,
        IF(N(AL47)&gt;0, "Group 10: Only Passed | With variation (with var SD &gt; 0)", "Group 9: Only Passed | Without variation (no var SD = 0)"),
        IF(AI47&gt;0,
            IF(N(AO47)&gt;0,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7" s="42" t="str">
        <f aca="false">IF(OR(F47="Observed Flaky Test", I47="Observed Flaky Test", S47="Observed Flaky Test", AJ47="Observed Flaky Test"), "Observed Flaky Test", "Non-observed Flaky Test")</f>
        <v>Observed Flaky Test</v>
      </c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customFormat="false" ht="15.75" hidden="false" customHeight="true" outlineLevel="0" collapsed="false">
      <c r="A48" s="13"/>
      <c r="B48" s="14" t="s">
        <v>118</v>
      </c>
      <c r="C48" s="14" t="s">
        <v>119</v>
      </c>
      <c r="D48" s="15" t="n">
        <v>100</v>
      </c>
      <c r="E48" s="15" t="n">
        <v>0</v>
      </c>
      <c r="F48" s="16" t="str">
        <f aca="false">IF(AND(D48&gt;0, E48&gt;0), "Observed Flaky Test", "Non-observed Flaky Test")</f>
        <v>Non-observed Flaky Test</v>
      </c>
      <c r="G48" s="17" t="n">
        <v>98</v>
      </c>
      <c r="H48" s="17" t="n">
        <v>2</v>
      </c>
      <c r="I48" s="61" t="str">
        <f aca="false">IF(AND(G48&gt;0, H48&gt;0), "Observed Flaky Test", "Non-observed Flaky Test")</f>
        <v>Observed Flaky Test</v>
      </c>
      <c r="J48" s="53" t="n">
        <v>7.572653</v>
      </c>
      <c r="K48" s="53" t="n">
        <v>0.008024</v>
      </c>
      <c r="L48" s="19" t="n">
        <f aca="false">IFERROR(K48/J48*100,"N/A")</f>
        <v>0.105960222923195</v>
      </c>
      <c r="M48" s="18" t="n">
        <v>7.57</v>
      </c>
      <c r="N48" s="18" t="n">
        <v>0</v>
      </c>
      <c r="O48" s="20" t="n">
        <f aca="false">IFERROR(N48/M48*100,"N/A")</f>
        <v>0</v>
      </c>
      <c r="P48" s="77" t="str">
        <f aca="false">IF(AND(G48&gt;0, H48=0), IF(ROUND(K48,8)=0, "Group 9: Only Passed | Without variation (SD Passed = 0)", "Group 10: Only Passed | With variation (SD Passed &gt; 0)"), IF(AND(G48=0, H48&gt;0), IF(ROUND(N48,8)=0, "Group 11: Only Failed | Without variation (SD Failed = 0)", "Group 12: Only Failed | With variation (SD Failed &gt; 0)"), IF(AND(G48&gt;0, H48&gt;0), IF(ROUND(J48,5)&lt;&gt;ROUND(M48,5), IF(AND(ROUND(K48,8)=0, ROUND(N48,8)=0), "Group 1: Flaky | Passed (no variation) AND Failed (no variation) | Different Means", IF(AND(ROUND(K48,8)&gt;0, ROUND(N48,8)&gt;0), "Group 2: Flaky | Passed (with variation) AND Failed (with variation) | Different Means", IF(AND(ROUND(K48,8)=0, ROUND(N48,8)&gt;0), "Group 3: Flaky | Passed (no variation) AND Failed (with variation) | Different Means", "Group 4: Flaky | Passed (with variation) AND Failed (no variation) | Different Means"))), IF(AND(ROUND(K48,8)=0, ROUND(N48,8)=0), "Group 5: Flaky | Passed (no variation) AND Failed (no variation) | Equal Means", IF(AND(ROUND(K48,8)&gt;0, ROUND(N48,8)&gt;0), "Group 6: Flaky | Passed (with variation) AND Failed (with variation) | Equal Means", IF(AND(ROUND(K48,8)=0, ROUND(N48,8)&gt;0),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48" s="22" t="n">
        <v>95</v>
      </c>
      <c r="R48" s="22" t="n">
        <v>5</v>
      </c>
      <c r="S48" s="43" t="str">
        <f aca="false">IF(AND(Q48&gt;0, R48&gt;0), "Observed Flaky Test", "Non-observed Flaky Test")</f>
        <v>Observed Flaky Test</v>
      </c>
      <c r="T48" s="26" t="n">
        <v>3424709.242105</v>
      </c>
      <c r="U48" s="26" t="n">
        <v>29740.46965</v>
      </c>
      <c r="V48" s="25" t="n">
        <f aca="false">IFERROR(U48/T48*100,"N/A")</f>
        <v>0.868408601943679</v>
      </c>
      <c r="W48" s="58" t="n">
        <v>3689167</v>
      </c>
      <c r="X48" s="24" t="n">
        <v>11560.111829</v>
      </c>
      <c r="Y48" s="27" t="n">
        <f aca="false">IFERROR(X48/W48*100,"N/A")</f>
        <v>0.313352901318916</v>
      </c>
      <c r="Z48" s="68" t="str">
        <f aca="false">IF(AND(Q48&gt;0, R48=0), IF(IFERROR(ROUND(V48,8),0)=0, "Group 9: Only Passed | Without variation (no var CV = 0)", "Group 10: Only Passed | With variation (with var CV &gt; 0)"), IF(AND(Q48=0, R48&gt;0), IF(IFERROR(ROUND(Y48,8),0)=0, "Group 11: Only Failed | Without variation (no var CV = 0)", "Group 12: Only Failed | With variation (with var CV &gt; 0)"), IF(AND(Q48&gt;0, R48&gt;0), IF(ROUND(T48,5)&lt;&gt;ROUND(W48,5), IF(AND(IFERROR(ROUND(V48,8),0)=0, IFERROR(ROUND(Y48,8),0)=0), "Group 1: Flaky | Passed (no variation: CV = 0) AND Failed (no variation: CV = 0) | Different Means", IF(AND(IFERROR(ROUND(V48,8),0)&gt;0, IFERROR(ROUND(Y48,8),0)&gt;0), "Group 2: Flaky | Passed (with variation: CV &gt; 0) AND Failed (with variation: CV &gt; 0) | Different Means", IF(AND(IFERROR(ROUND(V48,8),0)=0, IFERROR(ROUND(Y48,8),0)&gt;0), "Group 3: Flaky | Passed (no variation: CV = 0) AND Failed (with variation: CV &gt; 0) | Different Means", "Group 4: Flaky | Passed (with variation: CV &gt; 0) AND Failed (no variation: CV = 0) | Different Means"))), IF(AND(IFERROR(ROUND(V48,8),0)=0, IFERROR(ROUND(Y48,8),0)=0), "Group 5: Flaky | Passed (no var CV = 0) AND Failed (no var CV = 0) | Equal Means", IF(AND(IFERROR(ROUND(V48,8),0)&gt;0, IFERROR(ROUND(Y48,8),0)&gt;0), "Group 6: Flaky | Passed (with var CV &gt; 0) AND Failed (with var CV &gt; 0) | Equal Means", IF(AND(IFERROR(ROUND(V48,8),0)=0, IFERROR(ROUND(Y48,8),0)&gt;0),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8" s="29" t="n">
        <v>2.326498</v>
      </c>
      <c r="AB48" s="29" t="n">
        <v>0.143211</v>
      </c>
      <c r="AC48" s="29" t="n">
        <f aca="false">IFERROR(AB48/AA48*100,"N/A")</f>
        <v>6.15564681336498</v>
      </c>
      <c r="AD48" s="29" t="n">
        <v>2.609588</v>
      </c>
      <c r="AE48" s="29" t="n">
        <v>0.193016</v>
      </c>
      <c r="AF48" s="29" t="n">
        <f aca="false">IFERROR(AE48/AD48*100,"N/A")</f>
        <v>7.39641659909534</v>
      </c>
      <c r="AG48" s="36" t="str">
        <f aca="false">IF(AND(Q48&gt;0, R48=0), IF(IFERROR(ROUND(AC48,8),0)=0, "Group 9: Only Passed | Without variation (no var CV = 0)", "Group 10: Only Passed | With variation (with var CV &gt; 0)"), IF(AND(Q48=0, R48&gt;0), IF(IFERROR(ROUND(AF48,8),0)=0, "Group 11: Only Failed | Without variation (no var CV = 0)", "Group 12: Only Failed | With variation (with var CV &gt; 0)"), IF(AND(Q48&gt;0, R48&gt;0), IF(ROUND(AA48,5)&lt;&gt;ROUND(AD48,5), IF(AND(IFERROR(ROUND(AC48,8),0)=0, IFERROR(ROUND(AF48,8),0)=0), "Group 1: Flaky | Passed (no variation: CV = 0) AND Failed (no variation: CV = 0) | Different Means", IF(AND(IFERROR(ROUND(AC48,8),0)&gt;0, IFERROR(ROUND(AF48,8),0)&gt;0), "Group 2: Flaky | Passed (with variation: CV &gt; 0) AND Failed (with variation: CV &gt; 0) | Different Means", IF(AND(IFERROR(ROUND(AC48,8),0)=0, IFERROR(ROUND(AF48,8),0)&gt;0), "Group 3: Flaky | Passed (no variation: CV = 0) AND Failed (with variation: CV &gt; 0) | Different Means", "Group 4: Flaky | Passed (with variation: CV &gt; 0) AND Failed (no variation: CV = 0) | Different Means"))), IF(AND(IFERROR(ROUND(AC48,8),0)=0, IFERROR(ROUND(AF48,8),0)=0), "Group 5: Flaky | Passed (no var CV = 0) AND Failed (no var CV = 0) | Equal Means", IF(AND(IFERROR(ROUND(AC48,8),0)&gt;0, IFERROR(ROUND(AF48,8),0)&gt;0), "Group 6: Flaky | Passed (with var CV &gt; 0) AND Failed (with var CV &gt; 0) | Equal Means", IF(AND(IFERROR(ROUND(AC48,8),0)=0, IFERROR(ROUND(AF48,8),0)&gt;0),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8" s="22" t="n">
        <v>94</v>
      </c>
      <c r="AI48" s="17" t="n">
        <v>6</v>
      </c>
      <c r="AJ48" s="39" t="str">
        <f aca="false">IF(AND(AH48&gt;0, AI48&gt;0), "Observed Flaky Test", "Non-observed Flaky Test")</f>
        <v>Observed Flaky Test</v>
      </c>
      <c r="AK48" s="59" t="n">
        <v>1877679.70212765</v>
      </c>
      <c r="AL48" s="33" t="n">
        <v>63020.8077750515</v>
      </c>
      <c r="AM48" s="33" t="n">
        <f aca="false">IFERROR(AL48/AK48*100,"N/A")</f>
        <v>3.35631299116888</v>
      </c>
      <c r="AN48" s="59" t="n">
        <v>1893021.83333333</v>
      </c>
      <c r="AO48" s="33" t="n">
        <v>26437.7618600112</v>
      </c>
      <c r="AP48" s="35" t="n">
        <f aca="false">IFERROR(AO48/AN48*100,"N/A")</f>
        <v>1.3965904351699</v>
      </c>
      <c r="AQ48" s="63" t="str">
        <f aca="false">IF(AND(AH48&gt;0, AI48&gt;0),
    IF(ROUND(N(AK48),5)&lt;&gt;ROUND(N(AN48),5),
        IF(AND(ROUND(N(AL48),8)=0, ROUND(N(AO48),8)=0), "Group 1: Flaky | Passed (no variation: SD = 0) AND Failed (no variation: SD = 0) | Different Means",
        IF(AND(ROUND(N(AL48),8)&gt;0, ROUND(N(AO48),8)&gt;0), "Group 2: Flaky | Passed (with variation: SD &gt; 0) AND Failed (with variation: SD &gt; 0) | Different Means",
        IF(AND(ROUND(N(AL48),8)=0, ROUND(N(AO48),8)&gt;0), "Group 3: Flaky | Passed (no variation: SD = 0) AND Failed (with variation: SD &gt; 0) | Different Means",
        "Group 4: Flaky | Passed (with variation: SD &gt; 0) AND Failed (no variation: SD = 0) | Different Means"))),
        IF(AND(ROUND(N(AL48),8)=0, ROUND(N(AO48),8)=0), "Group 5: Flaky | Passed (no var SD = 0) AND Failed (no var SD = 0) | Equal Means",
        IF(AND(ROUND(N(AL48),8)&gt;0, ROUND(N(AO48),8)&gt;0), "Group 6: Flaky | Passed (with var SD &gt; 0 ) AND Failed (with var SD &gt; 0) | Equal Means",
        IF(AND(ROUND(N(AL48),8)=0, ROUND(N(AO48),8)&gt;0), "Group 7: Flaky | Passed (no var SD = 0) AND Failed (with var SD &gt; 0) | Equal Means",
        "Group 8: Flaky | Passed (with var SD &gt; 0 ) AND Failed (no var SD = 0) | Equal Means")))
    ),
    IF(AH48&gt;0,
        IF(N(AL48)&gt;0, "Group 10: Only Passed | With variation (with var SD &gt; 0)", "Group 9: Only Passed | Without variation (no var SD = 0)"),
        IF(AI48&gt;0,
            IF(N(AO48)&gt;0,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8" s="42" t="str">
        <f aca="false">IF(OR(F48="Observed Flaky Test", I48="Observed Flaky Test", S48="Observed Flaky Test", AJ48="Observed Flaky Test"), "Observed Flaky Test", "Non-observed Flaky Test")</f>
        <v>Observed Flaky Test</v>
      </c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customFormat="false" ht="15.75" hidden="false" customHeight="true" outlineLevel="0" collapsed="false">
      <c r="A49" s="13"/>
      <c r="B49" s="14" t="s">
        <v>120</v>
      </c>
      <c r="C49" s="14" t="s">
        <v>121</v>
      </c>
      <c r="D49" s="15" t="n">
        <v>100</v>
      </c>
      <c r="E49" s="15" t="n">
        <v>0</v>
      </c>
      <c r="F49" s="16" t="str">
        <f aca="false">IF(AND(D49&gt;0, E49&gt;0), "Observed Flaky Test", "Non-observed Flaky Test")</f>
        <v>Non-observed Flaky Test</v>
      </c>
      <c r="G49" s="17" t="n">
        <v>59</v>
      </c>
      <c r="H49" s="17" t="n">
        <v>41</v>
      </c>
      <c r="I49" s="61" t="str">
        <f aca="false">IF(AND(G49&gt;0, H49&gt;0), "Observed Flaky Test", "Non-observed Flaky Test")</f>
        <v>Observed Flaky Test</v>
      </c>
      <c r="J49" s="53" t="n">
        <v>7.984915</v>
      </c>
      <c r="K49" s="53" t="n">
        <v>0.004999</v>
      </c>
      <c r="L49" s="19" t="n">
        <f aca="false">IFERROR(K49/J49*100,"N/A")</f>
        <v>0.0626055505913338</v>
      </c>
      <c r="M49" s="53" t="n">
        <v>7.773171</v>
      </c>
      <c r="N49" s="53" t="n">
        <v>0.112779</v>
      </c>
      <c r="O49" s="20" t="n">
        <f aca="false">IFERROR(N49/M49*100,"N/A")</f>
        <v>1.45087506758825</v>
      </c>
      <c r="P49" s="62" t="str">
        <f aca="false">IF(AND(G49&gt;0, H49=0), IF(ROUND(K49,8)=0, "Group 9: Only Passed | Without variation (SD Passed = 0)", "Group 10: Only Passed | With variation (SD Passed &gt; 0)"), IF(AND(G49=0, H49&gt;0), IF(ROUND(N49,8)=0, "Group 11: Only Failed | Without variation (SD Failed = 0)", "Group 12: Only Failed | With variation (SD Failed &gt; 0)"), IF(AND(G49&gt;0, H49&gt;0), IF(ROUND(J49,5)&lt;&gt;ROUND(M49,5), IF(AND(ROUND(K49,8)=0, ROUND(N49,8)=0), "Group 1: Flaky | Passed (no variation) AND Failed (no variation) | Different Means", IF(AND(ROUND(K49,8)&gt;0, ROUND(N49,8)&gt;0), "Group 2: Flaky | Passed (with variation) AND Failed (with variation) | Different Means", IF(AND(ROUND(K49,8)=0, ROUND(N49,8)&gt;0), "Group 3: Flaky | Passed (no variation) AND Failed (with variation) | Different Means", "Group 4: Flaky | Passed (with variation) AND Failed (no variation) | Different Means"))), IF(AND(ROUND(K49,8)=0, ROUND(N49,8)=0), "Group 5: Flaky | Passed (no variation) AND Failed (no variation) | Equal Means", IF(AND(ROUND(K49,8)&gt;0, ROUND(N49,8)&gt;0), "Group 6: Flaky | Passed (with variation) AND Failed (with variation) | Equal Means", IF(AND(ROUND(K49,8)=0, ROUND(N49,8)&gt;0),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49" s="22" t="n">
        <v>35</v>
      </c>
      <c r="R49" s="22" t="n">
        <v>65</v>
      </c>
      <c r="S49" s="43" t="str">
        <f aca="false">IF(AND(Q49&gt;0, R49&gt;0), "Observed Flaky Test", "Non-observed Flaky Test")</f>
        <v>Observed Flaky Test</v>
      </c>
      <c r="T49" s="24" t="n">
        <v>3512384.885714</v>
      </c>
      <c r="U49" s="24" t="n">
        <v>36053.22425</v>
      </c>
      <c r="V49" s="25" t="n">
        <f aca="false">IFERROR(U49/T49*100,"N/A")</f>
        <v>1.02645995308316</v>
      </c>
      <c r="W49" s="24" t="n">
        <v>3736308.384615</v>
      </c>
      <c r="X49" s="24" t="n">
        <v>303754.525814</v>
      </c>
      <c r="Y49" s="27" t="n">
        <f aca="false">IFERROR(X49/W49*100,"N/A")</f>
        <v>8.12980339269559</v>
      </c>
      <c r="Z49" s="68" t="str">
        <f aca="false">IF(AND(Q49&gt;0, R49=0), IF(IFERROR(ROUND(V49,8),0)=0, "Group 9: Only Passed | Without variation (no var CV = 0)", "Group 10: Only Passed | With variation (with var CV &gt; 0)"), IF(AND(Q49=0, R49&gt;0), IF(IFERROR(ROUND(Y49,8),0)=0, "Group 11: Only Failed | Without variation (no var CV = 0)", "Group 12: Only Failed | With variation (with var CV &gt; 0)"), IF(AND(Q49&gt;0, R49&gt;0), IF(ROUND(T49,5)&lt;&gt;ROUND(W49,5), IF(AND(IFERROR(ROUND(V49,8),0)=0, IFERROR(ROUND(Y49,8),0)=0), "Group 1: Flaky | Passed (no variation: CV = 0) AND Failed (no variation: CV = 0) | Different Means", IF(AND(IFERROR(ROUND(V49,8),0)&gt;0, IFERROR(ROUND(Y49,8),0)&gt;0), "Group 2: Flaky | Passed (with variation: CV &gt; 0) AND Failed (with variation: CV &gt; 0) | Different Means", IF(AND(IFERROR(ROUND(V49,8),0)=0, IFERROR(ROUND(Y49,8),0)&gt;0), "Group 3: Flaky | Passed (no variation: CV = 0) AND Failed (with variation: CV &gt; 0) | Different Means", "Group 4: Flaky | Passed (with variation: CV &gt; 0) AND Failed (no variation: CV = 0) | Different Means"))), IF(AND(IFERROR(ROUND(V49,8),0)=0, IFERROR(ROUND(Y49,8),0)=0), "Group 5: Flaky | Passed (no var CV = 0) AND Failed (no var CV = 0) | Equal Means", IF(AND(IFERROR(ROUND(V49,8),0)&gt;0, IFERROR(ROUND(Y49,8),0)&gt;0), "Group 6: Flaky | Passed (with var CV &gt; 0) AND Failed (with var CV &gt; 0) | Equal Means", IF(AND(IFERROR(ROUND(V49,8),0)=0, IFERROR(ROUND(Y49,8),0)&gt;0),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49" s="29" t="n">
        <v>2.30288</v>
      </c>
      <c r="AB49" s="29" t="n">
        <v>0.138978</v>
      </c>
      <c r="AC49" s="29" t="n">
        <f aca="false">IFERROR(AB49/AA49*100,"N/A")</f>
        <v>6.03496491349962</v>
      </c>
      <c r="AD49" s="29" t="n">
        <v>2.607819</v>
      </c>
      <c r="AE49" s="29" t="n">
        <v>0.248025</v>
      </c>
      <c r="AF49" s="29" t="n">
        <f aca="false">IFERROR(AE49/AD49*100,"N/A")</f>
        <v>9.5108211114345</v>
      </c>
      <c r="AG49" s="36" t="str">
        <f aca="false">IF(AND(Q49&gt;0, R49=0), IF(IFERROR(ROUND(AC49,8),0)=0, "Group 9: Only Passed | Without variation (no var CV = 0)", "Group 10: Only Passed | With variation (with var CV &gt; 0)"), IF(AND(Q49=0, R49&gt;0), IF(IFERROR(ROUND(AF49,8),0)=0, "Group 11: Only Failed | Without variation (no var CV = 0)", "Group 12: Only Failed | With variation (with var CV &gt; 0)"), IF(AND(Q49&gt;0, R49&gt;0), IF(ROUND(AA49,5)&lt;&gt;ROUND(AD49,5), IF(AND(IFERROR(ROUND(AC49,8),0)=0, IFERROR(ROUND(AF49,8),0)=0), "Group 1: Flaky | Passed (no variation: CV = 0) AND Failed (no variation: CV = 0) | Different Means", IF(AND(IFERROR(ROUND(AC49,8),0)&gt;0, IFERROR(ROUND(AF49,8),0)&gt;0), "Group 2: Flaky | Passed (with variation: CV &gt; 0) AND Failed (with variation: CV &gt; 0) | Different Means", IF(AND(IFERROR(ROUND(AC49,8),0)=0, IFERROR(ROUND(AF49,8),0)&gt;0), "Group 3: Flaky | Passed (no variation: CV = 0) AND Failed (with variation: CV &gt; 0) | Different Means", "Group 4: Flaky | Passed (with variation: CV &gt; 0) AND Failed (no variation: CV = 0) | Different Means"))), IF(AND(IFERROR(ROUND(AC49,8),0)=0, IFERROR(ROUND(AF49,8),0)=0), "Group 5: Flaky | Passed (no var CV = 0) AND Failed (no var CV = 0) | Equal Means", IF(AND(IFERROR(ROUND(AC49,8),0)&gt;0, IFERROR(ROUND(AF49,8),0)&gt;0), "Group 6: Flaky | Passed (with var CV &gt; 0) AND Failed (with var CV &gt; 0) | Equal Means", IF(AND(IFERROR(ROUND(AC49,8),0)=0, IFERROR(ROUND(AF49,8),0)&gt;0),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49" s="22" t="n">
        <v>20</v>
      </c>
      <c r="AI49" s="17" t="n">
        <v>80</v>
      </c>
      <c r="AJ49" s="39" t="str">
        <f aca="false">IF(AND(AH49&gt;0, AI49&gt;0), "Observed Flaky Test", "Non-observed Flaky Test")</f>
        <v>Observed Flaky Test</v>
      </c>
      <c r="AK49" s="32" t="n">
        <v>2109837.75</v>
      </c>
      <c r="AL49" s="71" t="n">
        <v>134148.496869729</v>
      </c>
      <c r="AM49" s="33" t="n">
        <f aca="false">IFERROR(AL49/AK49*100,"N/A")</f>
        <v>6.35823758816189</v>
      </c>
      <c r="AN49" s="32" t="n">
        <v>1835533.15</v>
      </c>
      <c r="AO49" s="71" t="n">
        <v>153326.499762253</v>
      </c>
      <c r="AP49" s="35" t="n">
        <f aca="false">IFERROR(AO49/AN49*100,"N/A")</f>
        <v>8.35324057003563</v>
      </c>
      <c r="AQ49" s="63" t="str">
        <f aca="false">IF(AND(AH49&gt;0, AI49&gt;0),
    IF(ROUND(N(AK49),5)&lt;&gt;ROUND(N(AN49),5),
        IF(AND(ROUND(N(AL49),8)=0, ROUND(N(AO49),8)=0), "Group 1: Flaky | Passed (no variation: SD = 0) AND Failed (no variation: SD = 0) | Different Means",
        IF(AND(ROUND(N(AL49),8)&gt;0, ROUND(N(AO49),8)&gt;0), "Group 2: Flaky | Passed (with variation: SD &gt; 0) AND Failed (with variation: SD &gt; 0) | Different Means",
        IF(AND(ROUND(N(AL49),8)=0, ROUND(N(AO49),8)&gt;0), "Group 3: Flaky | Passed (no variation: SD = 0) AND Failed (with variation: SD &gt; 0) | Different Means",
        "Group 4: Flaky | Passed (with variation: SD &gt; 0) AND Failed (no variation: SD = 0) | Different Means"))),
        IF(AND(ROUND(N(AL49),8)=0, ROUND(N(AO49),8)=0), "Group 5: Flaky | Passed (no var SD = 0) AND Failed (no var SD = 0) | Equal Means",
        IF(AND(ROUND(N(AL49),8)&gt;0, ROUND(N(AO49),8)&gt;0), "Group 6: Flaky | Passed (with var SD &gt; 0 ) AND Failed (with var SD &gt; 0) | Equal Means",
        IF(AND(ROUND(N(AL49),8)=0, ROUND(N(AO49),8)&gt;0), "Group 7: Flaky | Passed (no var SD = 0) AND Failed (with var SD &gt; 0) | Equal Means",
        "Group 8: Flaky | Passed (with var SD &gt; 0 ) AND Failed (no var SD = 0) | Equal Means")))
    ),
    IF(AH49&gt;0,
        IF(N(AL49)&gt;0, "Group 10: Only Passed | With variation (with var SD &gt; 0)", "Group 9: Only Passed | Without variation (no var SD = 0)"),
        IF(AI49&gt;0,
            IF(N(AO49)&gt;0,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49" s="42" t="str">
        <f aca="false">IF(OR(F49="Observed Flaky Test", I49="Observed Flaky Test", S49="Observed Flaky Test", AJ49="Observed Flaky Test"), "Observed Flaky Test", "Non-observed Flaky Test")</f>
        <v>Observed Flaky Test</v>
      </c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customFormat="false" ht="15.75" hidden="false" customHeight="true" outlineLevel="0" collapsed="false">
      <c r="A50" s="13"/>
      <c r="B50" s="14" t="s">
        <v>122</v>
      </c>
      <c r="C50" s="14" t="s">
        <v>123</v>
      </c>
      <c r="D50" s="15" t="n">
        <v>100</v>
      </c>
      <c r="E50" s="15" t="n">
        <v>0</v>
      </c>
      <c r="F50" s="16" t="str">
        <f aca="false">IF(AND(D50&gt;0, E50&gt;0), "Observed Flaky Test", "Non-observed Flaky Test")</f>
        <v>Non-observed Flaky Test</v>
      </c>
      <c r="G50" s="17" t="n">
        <v>49</v>
      </c>
      <c r="H50" s="17" t="n">
        <v>51</v>
      </c>
      <c r="I50" s="61" t="str">
        <f aca="false">IF(AND(G50&gt;0, H50&gt;0), "Observed Flaky Test", "Non-observed Flaky Test")</f>
        <v>Observed Flaky Test</v>
      </c>
      <c r="J50" s="53" t="n">
        <v>7.935714</v>
      </c>
      <c r="K50" s="53" t="n">
        <v>0.008571</v>
      </c>
      <c r="L50" s="19" t="n">
        <f aca="false">IFERROR(K50/J50*100,"N/A")</f>
        <v>0.108005404428637</v>
      </c>
      <c r="M50" s="53" t="n">
        <v>7.777059</v>
      </c>
      <c r="N50" s="53" t="n">
        <v>0.113229</v>
      </c>
      <c r="O50" s="20" t="n">
        <f aca="false">IFERROR(N50/M50*100,"N/A")</f>
        <v>1.45593597785487</v>
      </c>
      <c r="P50" s="62" t="str">
        <f aca="false">IF(AND(G50&gt;0, H50=0), IF(ROUND(K50,8)=0, "Group 9: Only Passed | Without variation (SD Passed = 0)", "Group 10: Only Passed | With variation (SD Passed &gt; 0)"), IF(AND(G50=0, H50&gt;0), IF(ROUND(N50,8)=0, "Group 11: Only Failed | Without variation (SD Failed = 0)", "Group 12: Only Failed | With variation (SD Failed &gt; 0)"), IF(AND(G50&gt;0, H50&gt;0), IF(ROUND(J50,5)&lt;&gt;ROUND(M50,5), IF(AND(ROUND(K50,8)=0, ROUND(N50,8)=0), "Group 1: Flaky | Passed (no variation) AND Failed (no variation) | Different Means", IF(AND(ROUND(K50,8)&gt;0, ROUND(N50,8)&gt;0), "Group 2: Flaky | Passed (with variation) AND Failed (with variation) | Different Means", IF(AND(ROUND(K50,8)=0, ROUND(N50,8)&gt;0), "Group 3: Flaky | Passed (no variation) AND Failed (with variation) | Different Means", "Group 4: Flaky | Passed (with variation) AND Failed (no variation) | Different Means"))), IF(AND(ROUND(K50,8)=0, ROUND(N50,8)=0), "Group 5: Flaky | Passed (no variation) AND Failed (no variation) | Equal Means", IF(AND(ROUND(K50,8)&gt;0, ROUND(N50,8)&gt;0), "Group 6: Flaky | Passed (with variation) AND Failed (with variation) | Equal Means", IF(AND(ROUND(K50,8)=0, ROUND(N50,8)&gt;0),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0" s="22" t="n">
        <v>68</v>
      </c>
      <c r="R50" s="22" t="n">
        <v>32</v>
      </c>
      <c r="S50" s="43" t="str">
        <f aca="false">IF(AND(Q50&gt;0, R50&gt;0), "Observed Flaky Test", "Non-observed Flaky Test")</f>
        <v>Observed Flaky Test</v>
      </c>
      <c r="T50" s="24" t="n">
        <v>3637350.117647</v>
      </c>
      <c r="U50" s="24" t="n">
        <v>69090.799102</v>
      </c>
      <c r="V50" s="25" t="n">
        <f aca="false">IFERROR(U50/T50*100,"N/A")</f>
        <v>1.89948167944566</v>
      </c>
      <c r="W50" s="26" t="n">
        <v>3771809.84375</v>
      </c>
      <c r="X50" s="24" t="n">
        <v>106429.360465</v>
      </c>
      <c r="Y50" s="27" t="n">
        <f aca="false">IFERROR(X50/W50*100,"N/A")</f>
        <v>2.821705358274</v>
      </c>
      <c r="Z50" s="68" t="str">
        <f aca="false">IF(AND(Q50&gt;0, R50=0), IF(IFERROR(ROUND(V50,8),0)=0, "Group 9: Only Passed | Without variation (no var CV = 0)", "Group 10: Only Passed | With variation (with var CV &gt; 0)"), IF(AND(Q50=0, R50&gt;0), IF(IFERROR(ROUND(Y50,8),0)=0, "Group 11: Only Failed | Without variation (no var CV = 0)", "Group 12: Only Failed | With variation (with var CV &gt; 0)"), IF(AND(Q50&gt;0, R50&gt;0), IF(ROUND(T50,5)&lt;&gt;ROUND(W50,5), IF(AND(IFERROR(ROUND(V50,8),0)=0, IFERROR(ROUND(Y50,8),0)=0), "Group 1: Flaky | Passed (no variation: CV = 0) AND Failed (no variation: CV = 0) | Different Means", IF(AND(IFERROR(ROUND(V50,8),0)&gt;0, IFERROR(ROUND(Y50,8),0)&gt;0), "Group 2: Flaky | Passed (with variation: CV &gt; 0) AND Failed (with variation: CV &gt; 0) | Different Means", IF(AND(IFERROR(ROUND(V50,8),0)=0, IFERROR(ROUND(Y50,8),0)&gt;0), "Group 3: Flaky | Passed (no variation: CV = 0) AND Failed (with variation: CV &gt; 0) | Different Means", "Group 4: Flaky | Passed (with variation: CV &gt; 0) AND Failed (no variation: CV = 0) | Different Means"))), IF(AND(IFERROR(ROUND(V50,8),0)=0, IFERROR(ROUND(Y50,8),0)=0), "Group 5: Flaky | Passed (no var CV = 0) AND Failed (no var CV = 0) | Equal Means", IF(AND(IFERROR(ROUND(V50,8),0)&gt;0, IFERROR(ROUND(Y50,8),0)&gt;0), "Group 6: Flaky | Passed (with var CV &gt; 0) AND Failed (with var CV &gt; 0) | Equal Means", IF(AND(IFERROR(ROUND(V50,8),0)=0, IFERROR(ROUND(Y50,8),0)&gt;0),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50" s="29" t="n">
        <v>2.624347</v>
      </c>
      <c r="AB50" s="29" t="n">
        <v>0.196595</v>
      </c>
      <c r="AC50" s="29" t="n">
        <f aca="false">IFERROR(AB50/AA50*100,"N/A")</f>
        <v>7.49119685773261</v>
      </c>
      <c r="AD50" s="29" t="n">
        <v>2.668504</v>
      </c>
      <c r="AE50" s="29" t="n">
        <v>0.316083</v>
      </c>
      <c r="AF50" s="29" t="n">
        <f aca="false">IFERROR(AE50/AD50*100,"N/A")</f>
        <v>11.8449513285346</v>
      </c>
      <c r="AG50" s="36" t="str">
        <f aca="false">IF(AND(Q50&gt;0, R50=0), IF(IFERROR(ROUND(AC50,8),0)=0, "Group 9: Only Passed | Without variation (no var CV = 0)", "Group 10: Only Passed | With variation (with var CV &gt; 0)"), IF(AND(Q50=0, R50&gt;0), IF(IFERROR(ROUND(AF50,8),0)=0, "Group 11: Only Failed | Without variation (no var CV = 0)", "Group 12: Only Failed | With variation (with var CV &gt; 0)"), IF(AND(Q50&gt;0, R50&gt;0), IF(ROUND(AA50,5)&lt;&gt;ROUND(AD50,5), IF(AND(IFERROR(ROUND(AC50,8),0)=0, IFERROR(ROUND(AF50,8),0)=0), "Group 1: Flaky | Passed (no variation: CV = 0) AND Failed (no variation: CV = 0) | Different Means", IF(AND(IFERROR(ROUND(AC50,8),0)&gt;0, IFERROR(ROUND(AF50,8),0)&gt;0), "Group 2: Flaky | Passed (with variation: CV &gt; 0) AND Failed (with variation: CV &gt; 0) | Different Means", IF(AND(IFERROR(ROUND(AC50,8),0)=0, IFERROR(ROUND(AF50,8),0)&gt;0), "Group 3: Flaky | Passed (no variation: CV = 0) AND Failed (with variation: CV &gt; 0) | Different Means", "Group 4: Flaky | Passed (with variation: CV &gt; 0) AND Failed (no variation: CV = 0) | Different Means"))), IF(AND(IFERROR(ROUND(AC50,8),0)=0, IFERROR(ROUND(AF50,8),0)=0), "Group 5: Flaky | Passed (no var CV = 0) AND Failed (no var CV = 0) | Equal Means", IF(AND(IFERROR(ROUND(AC50,8),0)&gt;0, IFERROR(ROUND(AF50,8),0)&gt;0), "Group 6: Flaky | Passed (with var CV &gt; 0) AND Failed (with var CV &gt; 0) | Equal Means", IF(AND(IFERROR(ROUND(AC50,8),0)=0, IFERROR(ROUND(AF50,8),0)&gt;0),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50" s="22" t="n">
        <v>10</v>
      </c>
      <c r="AI50" s="17" t="n">
        <v>90</v>
      </c>
      <c r="AJ50" s="39" t="str">
        <f aca="false">IF(AND(AH50&gt;0, AI50&gt;0), "Observed Flaky Test", "Non-observed Flaky Test")</f>
        <v>Observed Flaky Test</v>
      </c>
      <c r="AK50" s="32" t="n">
        <v>2514013.4</v>
      </c>
      <c r="AL50" s="71" t="n">
        <v>221748.294700796</v>
      </c>
      <c r="AM50" s="33" t="n">
        <f aca="false">IFERROR(AL50/AK50*100,"N/A")</f>
        <v>8.82048976750864</v>
      </c>
      <c r="AN50" s="59" t="n">
        <v>2010165.72222222</v>
      </c>
      <c r="AO50" s="71" t="n">
        <v>356841.737582565</v>
      </c>
      <c r="AP50" s="35" t="n">
        <f aca="false">IFERROR(AO50/AN50*100,"N/A")</f>
        <v>17.751856657275</v>
      </c>
      <c r="AQ50" s="63" t="str">
        <f aca="false">IF(AND(AH50&gt;0, AI50&gt;0),
    IF(ROUND(N(AK50),5)&lt;&gt;ROUND(N(AN50),5),
        IF(AND(ROUND(N(AL50),8)=0, ROUND(N(AO50),8)=0), "Group 1: Flaky | Passed (no variation: SD = 0) AND Failed (no variation: SD = 0) | Different Means",
        IF(AND(ROUND(N(AL50),8)&gt;0, ROUND(N(AO50),8)&gt;0), "Group 2: Flaky | Passed (with variation: SD &gt; 0) AND Failed (with variation: SD &gt; 0) | Different Means",
        IF(AND(ROUND(N(AL50),8)=0, ROUND(N(AO50),8)&gt;0), "Group 3: Flaky | Passed (no variation: SD = 0) AND Failed (with variation: SD &gt; 0) | Different Means",
        "Group 4: Flaky | Passed (with variation: SD &gt; 0) AND Failed (no variation: SD = 0) | Different Means"))),
        IF(AND(ROUND(N(AL50),8)=0, ROUND(N(AO50),8)=0), "Group 5: Flaky | Passed (no var SD = 0) AND Failed (no var SD = 0) | Equal Means",
        IF(AND(ROUND(N(AL50),8)&gt;0, ROUND(N(AO50),8)&gt;0), "Group 6: Flaky | Passed (with var SD &gt; 0 ) AND Failed (with var SD &gt; 0) | Equal Means",
        IF(AND(ROUND(N(AL50),8)=0, ROUND(N(AO50),8)&gt;0), "Group 7: Flaky | Passed (no var SD = 0) AND Failed (with var SD &gt; 0) | Equal Means",
        "Group 8: Flaky | Passed (with var SD &gt; 0 ) AND Failed (no var SD = 0) | Equal Means")))
    ),
    IF(AH50&gt;0,
        IF(N(AL50)&gt;0, "Group 10: Only Passed | With variation (with var SD &gt; 0)", "Group 9: Only Passed | Without variation (no var SD = 0)"),
        IF(AI50&gt;0,
            IF(N(AO50)&gt;0,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0" s="42" t="str">
        <f aca="false">IF(OR(F50="Observed Flaky Test", I50="Observed Flaky Test", S50="Observed Flaky Test", AJ50="Observed Flaky Test"), "Observed Flaky Test", "Non-observed Flaky Test")</f>
        <v>Observed Flaky Test</v>
      </c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customFormat="false" ht="15.75" hidden="false" customHeight="true" outlineLevel="0" collapsed="false">
      <c r="A51" s="13"/>
      <c r="B51" s="14" t="s">
        <v>124</v>
      </c>
      <c r="C51" s="14" t="s">
        <v>125</v>
      </c>
      <c r="D51" s="15" t="n">
        <v>100</v>
      </c>
      <c r="E51" s="15" t="n">
        <v>0</v>
      </c>
      <c r="F51" s="16" t="str">
        <f aca="false">IF(AND(D51&gt;0, E51&gt;0), "Observed Flaky Test", "Non-observed Flaky Test")</f>
        <v>Non-observed Flaky Test</v>
      </c>
      <c r="G51" s="17" t="n">
        <v>100</v>
      </c>
      <c r="H51" s="17" t="n">
        <v>0</v>
      </c>
      <c r="I51" s="16" t="str">
        <f aca="false">IF(AND(G51&gt;0, H51&gt;0), "Observed Flaky Test", "Non-observed Flaky Test")</f>
        <v>Non-observed Flaky Test</v>
      </c>
      <c r="J51" s="46" t="n">
        <v>7.6302</v>
      </c>
      <c r="K51" s="46" t="n">
        <v>0.0014</v>
      </c>
      <c r="L51" s="19" t="n">
        <f aca="false">IFERROR(K51/J51*100,"N/A")</f>
        <v>0.0183481429058216</v>
      </c>
      <c r="M51" s="18" t="n">
        <v>0</v>
      </c>
      <c r="N51" s="18" t="n">
        <v>0</v>
      </c>
      <c r="O51" s="20" t="str">
        <f aca="false">IFERROR(N51/M51*100,"N/A")</f>
        <v>N/A</v>
      </c>
      <c r="P51" s="48" t="str">
        <f aca="false">IF(AND(G51&gt;0, H51=0), IF(ROUND(K51,8)=0, "Group 9: Only Passed | Without variation (SD Passed = 0)", "Group 10: Only Passed | With variation (SD Passed &gt; 0)"), IF(AND(G51=0, H51&gt;0), IF(ROUND(N51,8)=0, "Group 11: Only Failed | Without variation (SD Failed = 0)", "Group 12: Only Failed | With variation (SD Failed &gt; 0)"), IF(AND(G51&gt;0, H51&gt;0), IF(ROUND(J51,5)&lt;&gt;ROUND(M51,5), IF(AND(ROUND(K51,8)=0, ROUND(N51,8)=0), "Group 1: Flaky | Passed (no variation) AND Failed (no variation) | Different Means", IF(AND(ROUND(K51,8)&gt;0, ROUND(N51,8)&gt;0), "Group 2: Flaky | Passed (with variation) AND Failed (with variation) | Different Means", IF(AND(ROUND(K51,8)=0, ROUND(N51,8)&gt;0), "Group 3: Flaky | Passed (no variation) AND Failed (with variation) | Different Means", "Group 4: Flaky | Passed (with variation) AND Failed (no variation) | Different Means"))), IF(AND(ROUND(K51,8)=0, ROUND(N51,8)=0), "Group 5: Flaky | Passed (no variation) AND Failed (no variation) | Equal Means", IF(AND(ROUND(K51,8)&gt;0, ROUND(N51,8)&gt;0), "Group 6: Flaky | Passed (with variation) AND Failed (with variation) | Equal Means", IF(AND(ROUND(K51,8)=0, ROUND(N51,8)&gt;0),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51" s="22" t="n">
        <v>100</v>
      </c>
      <c r="R51" s="22" t="n">
        <v>0</v>
      </c>
      <c r="S51" s="23" t="str">
        <f aca="false">IF(AND(Q51&gt;0, R51&gt;0), "Observed Flaky Test", "Non-observed Flaky Test")</f>
        <v>Non-observed Flaky Test</v>
      </c>
      <c r="T51" s="22" t="n">
        <v>3633557.57</v>
      </c>
      <c r="U51" s="24" t="n">
        <v>17304.819646</v>
      </c>
      <c r="V51" s="25" t="n">
        <f aca="false">IFERROR(U51/T51*100,"N/A")</f>
        <v>0.476250047305567</v>
      </c>
      <c r="W51" s="22" t="n">
        <v>0</v>
      </c>
      <c r="X51" s="22" t="n">
        <v>0</v>
      </c>
      <c r="Y51" s="27" t="str">
        <f aca="false">IFERROR(X51/W51*100,"N/A")</f>
        <v>N/A</v>
      </c>
      <c r="Z51" s="50" t="str">
        <f aca="false">IF(AND(Q51&gt;0, R51=0), IF(IFERROR(ROUND(V51,8),0)=0, "Group 9: Only Passed | Without variation (no var CV = 0)", "Group 10: Only Passed | With variation (with var CV &gt; 0)"), IF(AND(Q51=0, R51&gt;0), IF(IFERROR(ROUND(Y51,8),0)=0, "Group 11: Only Failed | Without variation (no var CV = 0)", "Group 12: Only Failed | With variation (with var CV &gt; 0)"), IF(AND(Q51&gt;0, R51&gt;0), IF(ROUND(T51,5)&lt;&gt;ROUND(W51,5), IF(AND(IFERROR(ROUND(V51,8),0)=0, IFERROR(ROUND(Y51,8),0)=0), "Group 1: Flaky | Passed (no variation: CV = 0) AND Failed (no variation: CV = 0) | Different Means", IF(AND(IFERROR(ROUND(V51,8),0)&gt;0, IFERROR(ROUND(Y51,8),0)&gt;0), "Group 2: Flaky | Passed (with variation: CV &gt; 0) AND Failed (with variation: CV &gt; 0) | Different Means", IF(AND(IFERROR(ROUND(V51,8),0)=0, IFERROR(ROUND(Y51,8),0)&gt;0), "Group 3: Flaky | Passed (no variation: CV = 0) AND Failed (with variation: CV &gt; 0) | Different Means", "Group 4: Flaky | Passed (with variation: CV &gt; 0) AND Failed (no variation: CV = 0) | Different Means"))), IF(AND(IFERROR(ROUND(V51,8),0)=0, IFERROR(ROUND(Y51,8),0)=0), "Group 5: Flaky | Passed (no var CV = 0) AND Failed (no var CV = 0) | Equal Means", IF(AND(IFERROR(ROUND(V51,8),0)&gt;0, IFERROR(ROUND(Y51,8),0)&gt;0), "Group 6: Flaky | Passed (with var CV &gt; 0) AND Failed (with var CV &gt; 0) | Equal Means", IF(AND(IFERROR(ROUND(V51,8),0)=0, IFERROR(ROUND(Y51,8),0)&gt;0),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51" s="29" t="n">
        <v>12.38705</v>
      </c>
      <c r="AB51" s="29" t="n">
        <v>1.459136</v>
      </c>
      <c r="AC51" s="29" t="n">
        <f aca="false">IFERROR(AB51/AA51*100,"N/A")</f>
        <v>11.7795278133212</v>
      </c>
      <c r="AD51" s="29" t="n">
        <v>0</v>
      </c>
      <c r="AE51" s="29" t="n">
        <v>0</v>
      </c>
      <c r="AF51" s="29" t="str">
        <f aca="false">IFERROR(AE51/AD51*100,"N/A")</f>
        <v>N/A</v>
      </c>
      <c r="AG51" s="51" t="str">
        <f aca="false">IF(AND(Q51&gt;0, R51=0), IF(IFERROR(ROUND(AC51,8),0)=0, "Group 9: Only Passed | Without variation (no var CV = 0)", "Group 10: Only Passed | With variation (with var CV &gt; 0)"), IF(AND(Q51=0, R51&gt;0), IF(IFERROR(ROUND(AF51,8),0)=0, "Group 11: Only Failed | Without variation (no var CV = 0)", "Group 12: Only Failed | With variation (with var CV &gt; 0)"), IF(AND(Q51&gt;0, R51&gt;0), IF(ROUND(AA51,5)&lt;&gt;ROUND(AD51,5), IF(AND(IFERROR(ROUND(AC51,8),0)=0, IFERROR(ROUND(AF51,8),0)=0), "Group 1: Flaky | Passed (no variation: CV = 0) AND Failed (no variation: CV = 0) | Different Means", IF(AND(IFERROR(ROUND(AC51,8),0)&gt;0, IFERROR(ROUND(AF51,8),0)&gt;0), "Group 2: Flaky | Passed (with variation: CV &gt; 0) AND Failed (with variation: CV &gt; 0) | Different Means", IF(AND(IFERROR(ROUND(AC51,8),0)=0, IFERROR(ROUND(AF51,8),0)&gt;0), "Group 3: Flaky | Passed (no variation: CV = 0) AND Failed (with variation: CV &gt; 0) | Different Means", "Group 4: Flaky | Passed (with variation: CV &gt; 0) AND Failed (no variation: CV = 0) | Different Means"))), IF(AND(IFERROR(ROUND(AC51,8),0)=0, IFERROR(ROUND(AF51,8),0)=0), "Group 5: Flaky | Passed (no var CV = 0) AND Failed (no var CV = 0) | Equal Means", IF(AND(IFERROR(ROUND(AC51,8),0)&gt;0, IFERROR(ROUND(AF51,8),0)&gt;0), "Group 6: Flaky | Passed (with var CV &gt; 0) AND Failed (with var CV &gt; 0) | Equal Means", IF(AND(IFERROR(ROUND(AC51,8),0)=0, IFERROR(ROUND(AF51,8),0)&gt;0),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51" s="22" t="n">
        <v>100</v>
      </c>
      <c r="AI51" s="17" t="n">
        <v>0</v>
      </c>
      <c r="AJ51" s="31" t="str">
        <f aca="false">IF(AND(AH51&gt;0, AI51&gt;0), "Observed Flaky Test", "Non-observed Flaky Test")</f>
        <v>Non-observed Flaky Test</v>
      </c>
      <c r="AK51" s="32" t="n">
        <v>7821941.04</v>
      </c>
      <c r="AL51" s="71" t="n">
        <v>195519.334228846</v>
      </c>
      <c r="AM51" s="33" t="n">
        <f aca="false">IFERROR(AL51/AK51*100,"N/A")</f>
        <v>2.49962679632837</v>
      </c>
      <c r="AN51" s="32" t="n">
        <v>0</v>
      </c>
      <c r="AO51" s="32" t="n">
        <v>0</v>
      </c>
      <c r="AP51" s="35" t="str">
        <f aca="false">IFERROR(AO51/AN51*100,"N/A")</f>
        <v>N/A</v>
      </c>
      <c r="AQ51" s="52" t="str">
        <f aca="false">IF(AND(AH51&gt;0, AI51&gt;0),
    IF(ROUND(N(AK51),5)&lt;&gt;ROUND(N(AN51),5),
        IF(AND(ROUND(N(AL51),8)=0, ROUND(N(AO51),8)=0), "Group 1: Flaky | Passed (no variation: SD = 0) AND Failed (no variation: SD = 0) | Different Means",
        IF(AND(ROUND(N(AL51),8)&gt;0, ROUND(N(AO51),8)&gt;0), "Group 2: Flaky | Passed (with variation: SD &gt; 0) AND Failed (with variation: SD &gt; 0) | Different Means",
        IF(AND(ROUND(N(AL51),8)=0, ROUND(N(AO51),8)&gt;0), "Group 3: Flaky | Passed (no variation: SD = 0) AND Failed (with variation: SD &gt; 0) | Different Means",
        "Group 4: Flaky | Passed (with variation: SD &gt; 0) AND Failed (no variation: SD = 0) | Different Means"))),
        IF(AND(ROUND(N(AL51),8)=0, ROUND(N(AO51),8)=0), "Group 5: Flaky | Passed (no var SD = 0) AND Failed (no var SD = 0) | Equal Means",
        IF(AND(ROUND(N(AL51),8)&gt;0, ROUND(N(AO51),8)&gt;0), "Group 6: Flaky | Passed (with var SD &gt; 0 ) AND Failed (with var SD &gt; 0) | Equal Means",
        IF(AND(ROUND(N(AL51),8)=0, ROUND(N(AO51),8)&gt;0), "Group 7: Flaky | Passed (no var SD = 0) AND Failed (with var SD &gt; 0) | Equal Means",
        "Group 8: Flaky | Passed (with var SD &gt; 0 ) AND Failed (no var SD = 0) | Equal Means")))
    ),
    IF(AH51&gt;0,
        IF(N(AL51)&gt;0, "Group 10: Only Passed | With variation (with var SD &gt; 0)", "Group 9: Only Passed | Without variation (no var SD = 0)"),
        IF(AI51&gt;0,
            IF(N(AO51)&gt;0,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51" s="37" t="str">
        <f aca="false">IF(OR(F51="Observed Flaky Test", I51="Observed Flaky Test", S51="Observed Flaky Test", AJ51="Observed Flaky Test"), "Observed Flaky Test", "Non-observed Flaky Test")</f>
        <v>Non-observed Flaky Test</v>
      </c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customFormat="false" ht="15.75" hidden="false" customHeight="true" outlineLevel="0" collapsed="false">
      <c r="A52" s="13"/>
      <c r="B52" s="14" t="s">
        <v>126</v>
      </c>
      <c r="C52" s="14" t="s">
        <v>127</v>
      </c>
      <c r="D52" s="15" t="n">
        <v>100</v>
      </c>
      <c r="E52" s="15" t="n">
        <v>0</v>
      </c>
      <c r="F52" s="16" t="str">
        <f aca="false">IF(AND(D52&gt;0, E52&gt;0), "Observed Flaky Test", "Non-observed Flaky Test")</f>
        <v>Non-observed Flaky Test</v>
      </c>
      <c r="G52" s="17" t="n">
        <v>96</v>
      </c>
      <c r="H52" s="17" t="n">
        <v>4</v>
      </c>
      <c r="I52" s="61" t="str">
        <f aca="false">IF(AND(G52&gt;0, H52&gt;0), "Observed Flaky Test", "Non-observed Flaky Test")</f>
        <v>Observed Flaky Test</v>
      </c>
      <c r="J52" s="18" t="n">
        <v>5.31</v>
      </c>
      <c r="K52" s="18" t="n">
        <v>0</v>
      </c>
      <c r="L52" s="19" t="n">
        <f aca="false">IFERROR(K52/J52*100,"N/A")</f>
        <v>0</v>
      </c>
      <c r="M52" s="18" t="n">
        <v>5.28</v>
      </c>
      <c r="N52" s="18" t="n">
        <v>0</v>
      </c>
      <c r="O52" s="20" t="n">
        <f aca="false">IFERROR(N52/M52*100,"N/A")</f>
        <v>0</v>
      </c>
      <c r="P52" s="78" t="str">
        <f aca="false">IF(AND(G52&gt;0, H52=0), IF(ROUND(K52,8)=0, "Group 9: Only Passed | Without variation (SD Passed = 0)", "Group 10: Only Passed | With variation (SD Passed &gt; 0)"), IF(AND(G52=0, H52&gt;0), IF(ROUND(N52,8)=0, "Group 11: Only Failed | Without variation (SD Failed = 0)", "Group 12: Only Failed | With variation (SD Failed &gt; 0)"), IF(AND(G52&gt;0, H52&gt;0), IF(ROUND(J52,5)&lt;&gt;ROUND(M52,5), IF(AND(ROUND(K52,8)=0, ROUND(N52,8)=0), "Group 1: Flaky | Passed (no variation) AND Failed (no variation) | Different Means", IF(AND(ROUND(K52,8)&gt;0, ROUND(N52,8)&gt;0), "Group 2: Flaky | Passed (with variation) AND Failed (with variation) | Different Means", IF(AND(ROUND(K52,8)=0, ROUND(N52,8)&gt;0), "Group 3: Flaky | Passed (no variation) AND Failed (with variation) | Different Means", "Group 4: Flaky | Passed (with variation) AND Failed (no variation) | Different Means"))), IF(AND(ROUND(K52,8)=0, ROUND(N52,8)=0), "Group 5: Flaky | Passed (no variation) AND Failed (no variation) | Equal Means", IF(AND(ROUND(K52,8)&gt;0, ROUND(N52,8)&gt;0), "Group 6: Flaky | Passed (with variation) AND Failed (with variation) | Equal Means", IF(AND(ROUND(K52,8)=0, ROUND(N52,8)&gt;0),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52" s="22" t="n">
        <v>88</v>
      </c>
      <c r="R52" s="22" t="n">
        <v>12</v>
      </c>
      <c r="S52" s="43" t="str">
        <f aca="false">IF(AND(Q52&gt;0, R52&gt;0), "Observed Flaky Test", "Non-observed Flaky Test")</f>
        <v>Observed Flaky Test</v>
      </c>
      <c r="T52" s="24" t="n">
        <v>3445646.181818</v>
      </c>
      <c r="U52" s="24" t="n">
        <v>113.358504</v>
      </c>
      <c r="V52" s="25" t="n">
        <f aca="false">IFERROR(U52/T52*100,"N/A")</f>
        <v>0.00328990552187774</v>
      </c>
      <c r="W52" s="24" t="n">
        <v>3689655.166667</v>
      </c>
      <c r="X52" s="24" t="n">
        <v>492628.900839</v>
      </c>
      <c r="Y52" s="27" t="n">
        <f aca="false">IFERROR(X52/W52*100,"N/A")</f>
        <v>13.3516244360583</v>
      </c>
      <c r="Z52" s="68" t="str">
        <f aca="false">IF(AND(Q52&gt;0, R52=0), IF(IFERROR(ROUND(V52,8),0)=0, "Group 9: Only Passed | Without variation (no var CV = 0)", "Group 10: Only Passed | With variation (with var CV &gt; 0)"), IF(AND(Q52=0, R52&gt;0), IF(IFERROR(ROUND(Y52,8),0)=0, "Group 11: Only Failed | Without variation (no var CV = 0)", "Group 12: Only Failed | With variation (with var CV &gt; 0)"), IF(AND(Q52&gt;0, R52&gt;0), IF(ROUND(T52,5)&lt;&gt;ROUND(W52,5), IF(AND(IFERROR(ROUND(V52,8),0)=0, IFERROR(ROUND(Y52,8),0)=0), "Group 1: Flaky | Passed (no variation: CV = 0) AND Failed (no variation: CV = 0) | Different Means", IF(AND(IFERROR(ROUND(V52,8),0)&gt;0, IFERROR(ROUND(Y52,8),0)&gt;0), "Group 2: Flaky | Passed (with variation: CV &gt; 0) AND Failed (with variation: CV &gt; 0) | Different Means", IF(AND(IFERROR(ROUND(V52,8),0)=0, IFERROR(ROUND(Y52,8),0)&gt;0), "Group 3: Flaky | Passed (no variation: CV = 0) AND Failed (with variation: CV &gt; 0) | Different Means", "Group 4: Flaky | Passed (with variation: CV &gt; 0) AND Failed (no variation: CV = 0) | Different Means"))), IF(AND(IFERROR(ROUND(V52,8),0)=0, IFERROR(ROUND(Y52,8),0)=0), "Group 5: Flaky | Passed (no var CV = 0) AND Failed (no var CV = 0) | Equal Means", IF(AND(IFERROR(ROUND(V52,8),0)&gt;0, IFERROR(ROUND(Y52,8),0)&gt;0), "Group 6: Flaky | Passed (with var CV &gt; 0) AND Failed (with var CV &gt; 0) | Equal Means", IF(AND(IFERROR(ROUND(V52,8),0)=0, IFERROR(ROUND(Y52,8),0)&gt;0),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52" s="29" t="n">
        <v>8.019452</v>
      </c>
      <c r="AB52" s="29" t="n">
        <v>0.080302</v>
      </c>
      <c r="AC52" s="29" t="n">
        <f aca="false">IFERROR(AB52/AA52*100,"N/A")</f>
        <v>1.00134024120351</v>
      </c>
      <c r="AD52" s="29" t="n">
        <v>2.14022</v>
      </c>
      <c r="AE52" s="29" t="n">
        <v>0.224835</v>
      </c>
      <c r="AF52" s="29" t="n">
        <f aca="false">IFERROR(AE52/AD52*100,"N/A")</f>
        <v>10.50522843446</v>
      </c>
      <c r="AG52" s="36" t="str">
        <f aca="false">IF(AND(Q52&gt;0, R52=0), IF(IFERROR(ROUND(AC52,8),0)=0, "Group 9: Only Passed | Without variation (no var CV = 0)", "Group 10: Only Passed | With variation (with var CV &gt; 0)"), IF(AND(Q52=0, R52&gt;0), IF(IFERROR(ROUND(AF52,8),0)=0, "Group 11: Only Failed | Without variation (no var CV = 0)", "Group 12: Only Failed | With variation (with var CV &gt; 0)"), IF(AND(Q52&gt;0, R52&gt;0), IF(ROUND(AA52,5)&lt;&gt;ROUND(AD52,5), IF(AND(IFERROR(ROUND(AC52,8),0)=0, IFERROR(ROUND(AF52,8),0)=0), "Group 1: Flaky | Passed (no variation: CV = 0) AND Failed (no variation: CV = 0) | Different Means", IF(AND(IFERROR(ROUND(AC52,8),0)&gt;0, IFERROR(ROUND(AF52,8),0)&gt;0), "Group 2: Flaky | Passed (with variation: CV &gt; 0) AND Failed (with variation: CV &gt; 0) | Different Means", IF(AND(IFERROR(ROUND(AC52,8),0)=0, IFERROR(ROUND(AF52,8),0)&gt;0), "Group 3: Flaky | Passed (no variation: CV = 0) AND Failed (with variation: CV &gt; 0) | Different Means", "Group 4: Flaky | Passed (with variation: CV &gt; 0) AND Failed (no variation: CV = 0) | Different Means"))), IF(AND(IFERROR(ROUND(AC52,8),0)=0, IFERROR(ROUND(AF52,8),0)=0), "Group 5: Flaky | Passed (no var CV = 0) AND Failed (no var CV = 0) | Equal Means", IF(AND(IFERROR(ROUND(AC52,8),0)&gt;0, IFERROR(ROUND(AF52,8),0)&gt;0), "Group 6: Flaky | Passed (with var CV &gt; 0) AND Failed (with var CV &gt; 0) | Equal Means", IF(AND(IFERROR(ROUND(AC52,8),0)=0, IFERROR(ROUND(AF52,8),0)&gt;0),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52" s="22" t="n">
        <v>78</v>
      </c>
      <c r="AI52" s="17" t="n">
        <v>22</v>
      </c>
      <c r="AJ52" s="39" t="str">
        <f aca="false">IF(AND(AH52&gt;0, AI52&gt;0), "Observed Flaky Test", "Non-observed Flaky Test")</f>
        <v>Observed Flaky Test</v>
      </c>
      <c r="AK52" s="71" t="n">
        <v>178786.333333333</v>
      </c>
      <c r="AL52" s="34" t="n">
        <v>666.020760697182</v>
      </c>
      <c r="AM52" s="33" t="n">
        <f aca="false">IFERROR(AL52/AK52*100,"N/A")</f>
        <v>0.372523306608363</v>
      </c>
      <c r="AN52" s="32" t="n">
        <v>99836</v>
      </c>
      <c r="AO52" s="33" t="n">
        <v>33404.2075921154</v>
      </c>
      <c r="AP52" s="35" t="n">
        <f aca="false">IFERROR(AO52/AN52*100,"N/A")</f>
        <v>33.4590804841093</v>
      </c>
      <c r="AQ52" s="63" t="str">
        <f aca="false">IF(AND(AH52&gt;0, AI52&gt;0),
    IF(ROUND(N(AK52),5)&lt;&gt;ROUND(N(AN52),5),
        IF(AND(ROUND(N(AL52),8)=0, ROUND(N(AO52),8)=0), "Group 1: Flaky | Passed (no variation: SD = 0) AND Failed (no variation: SD = 0) | Different Means",
        IF(AND(ROUND(N(AL52),8)&gt;0, ROUND(N(AO52),8)&gt;0), "Group 2: Flaky | Passed (with variation: SD &gt; 0) AND Failed (with variation: SD &gt; 0) | Different Means",
        IF(AND(ROUND(N(AL52),8)=0, ROUND(N(AO52),8)&gt;0), "Group 3: Flaky | Passed (no variation: SD = 0) AND Failed (with variation: SD &gt; 0) | Different Means",
        "Group 4: Flaky | Passed (with variation: SD &gt; 0) AND Failed (no variation: SD = 0) | Different Means"))),
        IF(AND(ROUND(N(AL52),8)=0, ROUND(N(AO52),8)=0), "Group 5: Flaky | Passed (no var SD = 0) AND Failed (no var SD = 0) | Equal Means",
        IF(AND(ROUND(N(AL52),8)&gt;0, ROUND(N(AO52),8)&gt;0), "Group 6: Flaky | Passed (with var SD &gt; 0 ) AND Failed (with var SD &gt; 0) | Equal Means",
        IF(AND(ROUND(N(AL52),8)=0, ROUND(N(AO52),8)&gt;0), "Group 7: Flaky | Passed (no var SD = 0) AND Failed (with var SD &gt; 0) | Equal Means",
        "Group 8: Flaky | Passed (with var SD &gt; 0 ) AND Failed (no var SD = 0) | Equal Means")))
    ),
    IF(AH52&gt;0,
        IF(N(AL52)&gt;0, "Group 10: Only Passed | With variation (with var SD &gt; 0)", "Group 9: Only Passed | Without variation (no var SD = 0)"),
        IF(AI52&gt;0,
            IF(N(AO52)&gt;0,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2" s="42" t="str">
        <f aca="false">IF(OR(F52="Observed Flaky Test", I52="Observed Flaky Test", S52="Observed Flaky Test", AJ52="Observed Flaky Test"), "Observed Flaky Test", "Non-observed Flaky Test")</f>
        <v>Observed Flaky Test</v>
      </c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  <row r="53" customFormat="false" ht="15.75" hidden="false" customHeight="true" outlineLevel="0" collapsed="false">
      <c r="A53" s="13"/>
      <c r="B53" s="14" t="s">
        <v>128</v>
      </c>
      <c r="C53" s="14" t="s">
        <v>129</v>
      </c>
      <c r="D53" s="15" t="n">
        <v>100</v>
      </c>
      <c r="E53" s="15" t="n">
        <v>0</v>
      </c>
      <c r="F53" s="16" t="str">
        <f aca="false">IF(AND(D53&gt;0, E53&gt;0), "Observed Flaky Test", "Non-observed Flaky Test")</f>
        <v>Non-observed Flaky Test</v>
      </c>
      <c r="G53" s="17" t="n">
        <v>98</v>
      </c>
      <c r="H53" s="17" t="n">
        <v>2</v>
      </c>
      <c r="I53" s="61" t="str">
        <f aca="false">IF(AND(G53&gt;0, H53&gt;0), "Observed Flaky Test", "Non-observed Flaky Test")</f>
        <v>Observed Flaky Test</v>
      </c>
      <c r="J53" s="53" t="n">
        <v>5.200408</v>
      </c>
      <c r="K53" s="47" t="n">
        <v>0.00402</v>
      </c>
      <c r="L53" s="19" t="n">
        <f aca="false">IFERROR(K53/J53*100,"N/A")</f>
        <v>0.0773016271031042</v>
      </c>
      <c r="M53" s="18" t="n">
        <v>5.2</v>
      </c>
      <c r="N53" s="18" t="n">
        <v>0</v>
      </c>
      <c r="O53" s="20" t="n">
        <f aca="false">IFERROR(N53/M53*100,"N/A")</f>
        <v>0</v>
      </c>
      <c r="P53" s="77" t="str">
        <f aca="false">IF(AND(G53&gt;0, H53=0), IF(ROUND(K53,8)=0, "Group 9: Only Passed | Without variation (SD Passed = 0)", "Group 10: Only Passed | With variation (SD Passed &gt; 0)"), IF(AND(G53=0, H53&gt;0), IF(ROUND(N53,8)=0, "Group 11: Only Failed | Without variation (SD Failed = 0)", "Group 12: Only Failed | With variation (SD Failed &gt; 0)"), IF(AND(G53&gt;0, H53&gt;0), IF(ROUND(J53,5)&lt;&gt;ROUND(M53,5), IF(AND(ROUND(K53,8)=0, ROUND(N53,8)=0), "Group 1: Flaky | Passed (no variation) AND Failed (no variation) | Different Means", IF(AND(ROUND(K53,8)&gt;0, ROUND(N53,8)&gt;0), "Group 2: Flaky | Passed (with variation) AND Failed (with variation) | Different Means", IF(AND(ROUND(K53,8)=0, ROUND(N53,8)&gt;0), "Group 3: Flaky | Passed (no variation) AND Failed (with variation) | Different Means", "Group 4: Flaky | Passed (with variation) AND Failed (no variation) | Different Means"))), IF(AND(ROUND(K53,8)=0, ROUND(N53,8)=0), "Group 5: Flaky | Passed (no variation) AND Failed (no variation) | Equal Means", IF(AND(ROUND(K53,8)&gt;0, ROUND(N53,8)&gt;0), "Group 6: Flaky | Passed (with variation) AND Failed (with variation) | Equal Means", IF(AND(ROUND(K53,8)=0, ROUND(N53,8)&gt;0),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53" s="22" t="n">
        <v>100</v>
      </c>
      <c r="R53" s="22" t="n">
        <v>0</v>
      </c>
      <c r="S53" s="23" t="str">
        <f aca="false">IF(AND(Q53&gt;0, R53&gt;0), "Observed Flaky Test", "Non-observed Flaky Test")</f>
        <v>Non-observed Flaky Test</v>
      </c>
      <c r="T53" s="22" t="n">
        <v>1906024.48</v>
      </c>
      <c r="U53" s="26" t="n">
        <v>624.19358</v>
      </c>
      <c r="V53" s="25" t="n">
        <f aca="false">IFERROR(U53/T53*100,"N/A")</f>
        <v>0.032748455570728</v>
      </c>
      <c r="W53" s="22" t="n">
        <v>0</v>
      </c>
      <c r="X53" s="22" t="n">
        <v>0</v>
      </c>
      <c r="Y53" s="27" t="str">
        <f aca="false">IFERROR(X53/W53*100,"N/A")</f>
        <v>N/A</v>
      </c>
      <c r="Z53" s="50" t="str">
        <f aca="false">IF(AND(Q53&gt;0, R53=0), IF(IFERROR(ROUND(V53,8),0)=0, "Group 9: Only Passed | Without variation (no var CV = 0)", "Group 10: Only Passed | With variation (with var CV &gt; 0)"), IF(AND(Q53=0, R53&gt;0), IF(IFERROR(ROUND(Y53,8),0)=0, "Group 11: Only Failed | Without variation (no var CV = 0)", "Group 12: Only Failed | With variation (with var CV &gt; 0)"), IF(AND(Q53&gt;0, R53&gt;0), IF(ROUND(T53,5)&lt;&gt;ROUND(W53,5), IF(AND(IFERROR(ROUND(V53,8),0)=0, IFERROR(ROUND(Y53,8),0)=0), "Group 1: Flaky | Passed (no variation: CV = 0) AND Failed (no variation: CV = 0) | Different Means", IF(AND(IFERROR(ROUND(V53,8),0)&gt;0, IFERROR(ROUND(Y53,8),0)&gt;0), "Group 2: Flaky | Passed (with variation: CV &gt; 0) AND Failed (with variation: CV &gt; 0) | Different Means", IF(AND(IFERROR(ROUND(V53,8),0)=0, IFERROR(ROUND(Y53,8),0)&gt;0), "Group 3: Flaky | Passed (no variation: CV = 0) AND Failed (with variation: CV &gt; 0) | Different Means", "Group 4: Flaky | Passed (with variation: CV &gt; 0) AND Failed (no variation: CV = 0) | Different Means"))), IF(AND(IFERROR(ROUND(V53,8),0)=0, IFERROR(ROUND(Y53,8),0)=0), "Group 5: Flaky | Passed (no var CV = 0) AND Failed (no var CV = 0) | Equal Means", IF(AND(IFERROR(ROUND(V53,8),0)&gt;0, IFERROR(ROUND(Y53,8),0)&gt;0), "Group 6: Flaky | Passed (with var CV &gt; 0) AND Failed (with var CV &gt; 0) | Equal Means", IF(AND(IFERROR(ROUND(V53,8),0)=0, IFERROR(ROUND(Y53,8),0)&gt;0),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53" s="29" t="n">
        <v>1.294612</v>
      </c>
      <c r="AB53" s="29" t="n">
        <v>0.058351</v>
      </c>
      <c r="AC53" s="29" t="n">
        <f aca="false">IFERROR(AB53/AA53*100,"N/A")</f>
        <v>4.50721915137508</v>
      </c>
      <c r="AD53" s="29" t="n">
        <v>0</v>
      </c>
      <c r="AE53" s="29" t="n">
        <v>0</v>
      </c>
      <c r="AF53" s="29" t="str">
        <f aca="false">IFERROR(AE53/AD53*100,"N/A")</f>
        <v>N/A</v>
      </c>
      <c r="AG53" s="51" t="str">
        <f aca="false">IF(AND(Q53&gt;0, R53=0), IF(IFERROR(ROUND(AC53,8),0)=0, "Group 9: Only Passed | Without variation (no var CV = 0)", "Group 10: Only Passed | With variation (with var CV &gt; 0)"), IF(AND(Q53=0, R53&gt;0), IF(IFERROR(ROUND(AF53,8),0)=0, "Group 11: Only Failed | Without variation (no var CV = 0)", "Group 12: Only Failed | With variation (with var CV &gt; 0)"), IF(AND(Q53&gt;0, R53&gt;0), IF(ROUND(AA53,5)&lt;&gt;ROUND(AD53,5), IF(AND(IFERROR(ROUND(AC53,8),0)=0, IFERROR(ROUND(AF53,8),0)=0), "Group 1: Flaky | Passed (no variation: CV = 0) AND Failed (no variation: CV = 0) | Different Means", IF(AND(IFERROR(ROUND(AC53,8),0)&gt;0, IFERROR(ROUND(AF53,8),0)&gt;0), "Group 2: Flaky | Passed (with variation: CV &gt; 0) AND Failed (with variation: CV &gt; 0) | Different Means", IF(AND(IFERROR(ROUND(AC53,8),0)=0, IFERROR(ROUND(AF53,8),0)&gt;0), "Group 3: Flaky | Passed (no variation: CV = 0) AND Failed (with variation: CV &gt; 0) | Different Means", "Group 4: Flaky | Passed (with variation: CV &gt; 0) AND Failed (no variation: CV = 0) | Different Means"))), IF(AND(IFERROR(ROUND(AC53,8),0)=0, IFERROR(ROUND(AF53,8),0)=0), "Group 5: Flaky | Passed (no var CV = 0) AND Failed (no var CV = 0) | Equal Means", IF(AND(IFERROR(ROUND(AC53,8),0)&gt;0, IFERROR(ROUND(AF53,8),0)&gt;0), "Group 6: Flaky | Passed (with var CV &gt; 0) AND Failed (with var CV &gt; 0) | Equal Means", IF(AND(IFERROR(ROUND(AC53,8),0)=0, IFERROR(ROUND(AF53,8),0)&gt;0),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53" s="22" t="n">
        <v>94</v>
      </c>
      <c r="AI53" s="17" t="n">
        <v>6</v>
      </c>
      <c r="AJ53" s="39" t="str">
        <f aca="false">IF(AND(AH53&gt;0, AI53&gt;0), "Observed Flaky Test", "Non-observed Flaky Test")</f>
        <v>Observed Flaky Test</v>
      </c>
      <c r="AK53" s="71" t="n">
        <v>115061.893617021</v>
      </c>
      <c r="AL53" s="57" t="n">
        <v>6569.55971007646</v>
      </c>
      <c r="AM53" s="33" t="n">
        <f aca="false">IFERROR(AL53/AK53*100,"N/A")</f>
        <v>5.70958768673057</v>
      </c>
      <c r="AN53" s="33" t="n">
        <v>58079.6666666666</v>
      </c>
      <c r="AO53" s="71" t="n">
        <v>30439.165557989</v>
      </c>
      <c r="AP53" s="35" t="n">
        <f aca="false">IFERROR(AO53/AN53*100,"N/A")</f>
        <v>52.4093323962874</v>
      </c>
      <c r="AQ53" s="63" t="str">
        <f aca="false">IF(AND(AH53&gt;0, AI53&gt;0),
    IF(ROUND(N(AK53),5)&lt;&gt;ROUND(N(AN53),5),
        IF(AND(ROUND(N(AL53),8)=0, ROUND(N(AO53),8)=0), "Group 1: Flaky | Passed (no variation: SD = 0) AND Failed (no variation: SD = 0) | Different Means",
        IF(AND(ROUND(N(AL53),8)&gt;0, ROUND(N(AO53),8)&gt;0), "Group 2: Flaky | Passed (with variation: SD &gt; 0) AND Failed (with variation: SD &gt; 0) | Different Means",
        IF(AND(ROUND(N(AL53),8)=0, ROUND(N(AO53),8)&gt;0), "Group 3: Flaky | Passed (no variation: SD = 0) AND Failed (with variation: SD &gt; 0) | Different Means",
        "Group 4: Flaky | Passed (with variation: SD &gt; 0) AND Failed (no variation: SD = 0) | Different Means"))),
        IF(AND(ROUND(N(AL53),8)=0, ROUND(N(AO53),8)=0), "Group 5: Flaky | Passed (no var SD = 0) AND Failed (no var SD = 0) | Equal Means",
        IF(AND(ROUND(N(AL53),8)&gt;0, ROUND(N(AO53),8)&gt;0), "Group 6: Flaky | Passed (with var SD &gt; 0 ) AND Failed (with var SD &gt; 0) | Equal Means",
        IF(AND(ROUND(N(AL53),8)=0, ROUND(N(AO53),8)&gt;0), "Group 7: Flaky | Passed (no var SD = 0) AND Failed (with var SD &gt; 0) | Equal Means",
        "Group 8: Flaky | Passed (with var SD &gt; 0 ) AND Failed (no var SD = 0) | Equal Means")))
    ),
    IF(AH53&gt;0,
        IF(N(AL53)&gt;0, "Group 10: Only Passed | With variation (with var SD &gt; 0)", "Group 9: Only Passed | Without variation (no var SD = 0)"),
        IF(AI53&gt;0,
            IF(N(AO53)&gt;0,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3" s="42" t="str">
        <f aca="false">IF(OR(F53="Observed Flaky Test", I53="Observed Flaky Test", S53="Observed Flaky Test", AJ53="Observed Flaky Test"), "Observed Flaky Test", "Non-observed Flaky Test")</f>
        <v>Observed Flaky Test</v>
      </c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customFormat="false" ht="15.75" hidden="false" customHeight="true" outlineLevel="0" collapsed="false">
      <c r="A54" s="13"/>
      <c r="B54" s="14" t="s">
        <v>130</v>
      </c>
      <c r="C54" s="14" t="s">
        <v>131</v>
      </c>
      <c r="D54" s="15" t="n">
        <v>100</v>
      </c>
      <c r="E54" s="15" t="n">
        <v>0</v>
      </c>
      <c r="F54" s="16" t="str">
        <f aca="false">IF(AND(D54&gt;0, E54&gt;0), "Observed Flaky Test", "Non-observed Flaky Test")</f>
        <v>Non-observed Flaky Test</v>
      </c>
      <c r="G54" s="17" t="n">
        <v>82</v>
      </c>
      <c r="H54" s="17" t="n">
        <v>18</v>
      </c>
      <c r="I54" s="61" t="str">
        <f aca="false">IF(AND(G54&gt;0, H54&gt;0), "Observed Flaky Test", "Non-observed Flaky Test")</f>
        <v>Observed Flaky Test</v>
      </c>
      <c r="J54" s="53" t="n">
        <v>5.359878</v>
      </c>
      <c r="K54" s="47" t="n">
        <v>0.001098</v>
      </c>
      <c r="L54" s="19" t="n">
        <f aca="false">IFERROR(K54/J54*100,"N/A")</f>
        <v>0.020485540902237</v>
      </c>
      <c r="M54" s="53" t="n">
        <v>5.305556</v>
      </c>
      <c r="N54" s="53" t="n">
        <v>0.146144</v>
      </c>
      <c r="O54" s="20" t="n">
        <f aca="false">IFERROR(N54/M54*100,"N/A")</f>
        <v>2.7545463661113</v>
      </c>
      <c r="P54" s="62" t="str">
        <f aca="false">IF(AND(G54&gt;0, H54=0), IF(ROUND(K54,8)=0, "Group 9: Only Passed | Without variation (SD Passed = 0)", "Group 10: Only Passed | With variation (SD Passed &gt; 0)"), IF(AND(G54=0, H54&gt;0), IF(ROUND(N54,8)=0, "Group 11: Only Failed | Without variation (SD Failed = 0)", "Group 12: Only Failed | With variation (SD Failed &gt; 0)"), IF(AND(G54&gt;0, H54&gt;0), IF(ROUND(J54,5)&lt;&gt;ROUND(M54,5), IF(AND(ROUND(K54,8)=0, ROUND(N54,8)=0), "Group 1: Flaky | Passed (no variation) AND Failed (no variation) | Different Means", IF(AND(ROUND(K54,8)&gt;0, ROUND(N54,8)&gt;0), "Group 2: Flaky | Passed (with variation) AND Failed (with variation) | Different Means", IF(AND(ROUND(K54,8)=0, ROUND(N54,8)&gt;0), "Group 3: Flaky | Passed (no variation) AND Failed (with variation) | Different Means", "Group 4: Flaky | Passed (with variation) AND Failed (no variation) | Different Means"))), IF(AND(ROUND(K54,8)=0, ROUND(N54,8)=0), "Group 5: Flaky | Passed (no variation) AND Failed (no variation) | Equal Means", IF(AND(ROUND(K54,8)&gt;0, ROUND(N54,8)&gt;0), "Group 6: Flaky | Passed (with variation) AND Failed (with variation) | Equal Means", IF(AND(ROUND(K54,8)=0, ROUND(N54,8)&gt;0),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4" s="22" t="n">
        <v>87</v>
      </c>
      <c r="R54" s="22" t="n">
        <v>13</v>
      </c>
      <c r="S54" s="43" t="str">
        <f aca="false">IF(AND(Q54&gt;0, R54&gt;0), "Observed Flaky Test", "Non-observed Flaky Test")</f>
        <v>Observed Flaky Test</v>
      </c>
      <c r="T54" s="24" t="n">
        <v>2000129.735632</v>
      </c>
      <c r="U54" s="24" t="n">
        <v>8990.649734</v>
      </c>
      <c r="V54" s="25" t="n">
        <f aca="false">IFERROR(U54/T54*100,"N/A")</f>
        <v>0.449503328400802</v>
      </c>
      <c r="W54" s="24" t="n">
        <v>2492441.461538</v>
      </c>
      <c r="X54" s="24" t="n">
        <v>477774.622943</v>
      </c>
      <c r="Y54" s="27" t="n">
        <f aca="false">IFERROR(X54/W54*100,"N/A")</f>
        <v>19.1689405876029</v>
      </c>
      <c r="Z54" s="68" t="str">
        <f aca="false">IF(AND(Q54&gt;0, R54=0), IF(IFERROR(ROUND(V54,8),0)=0, "Group 9: Only Passed | Without variation (no var CV = 0)", "Group 10: Only Passed | With variation (with var CV &gt; 0)"), IF(AND(Q54=0, R54&gt;0), IF(IFERROR(ROUND(Y54,8),0)=0, "Group 11: Only Failed | Without variation (no var CV = 0)", "Group 12: Only Failed | With variation (with var CV &gt; 0)"), IF(AND(Q54&gt;0, R54&gt;0), IF(ROUND(T54,5)&lt;&gt;ROUND(W54,5), IF(AND(IFERROR(ROUND(V54,8),0)=0, IFERROR(ROUND(Y54,8),0)=0), "Group 1: Flaky | Passed (no variation: CV = 0) AND Failed (no variation: CV = 0) | Different Means", IF(AND(IFERROR(ROUND(V54,8),0)&gt;0, IFERROR(ROUND(Y54,8),0)&gt;0), "Group 2: Flaky | Passed (with variation: CV &gt; 0) AND Failed (with variation: CV &gt; 0) | Different Means", IF(AND(IFERROR(ROUND(V54,8),0)=0, IFERROR(ROUND(Y54,8),0)&gt;0), "Group 3: Flaky | Passed (no variation: CV = 0) AND Failed (with variation: CV &gt; 0) | Different Means", "Group 4: Flaky | Passed (with variation: CV &gt; 0) AND Failed (no variation: CV = 0) | Different Means"))), IF(AND(IFERROR(ROUND(V54,8),0)=0, IFERROR(ROUND(Y54,8),0)=0), "Group 5: Flaky | Passed (no var CV = 0) AND Failed (no var CV = 0) | Equal Means", IF(AND(IFERROR(ROUND(V54,8),0)&gt;0, IFERROR(ROUND(Y54,8),0)&gt;0), "Group 6: Flaky | Passed (with var CV &gt; 0) AND Failed (with var CV &gt; 0) | Equal Means", IF(AND(IFERROR(ROUND(V54,8),0)=0, IFERROR(ROUND(Y54,8),0)&gt;0),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54" s="29" t="n">
        <v>1.38815</v>
      </c>
      <c r="AB54" s="29" t="n">
        <v>0.051135</v>
      </c>
      <c r="AC54" s="29" t="n">
        <f aca="false">IFERROR(AB54/AA54*100,"N/A")</f>
        <v>3.68367971760977</v>
      </c>
      <c r="AD54" s="29" t="n">
        <v>1.525165</v>
      </c>
      <c r="AE54" s="29" t="n">
        <v>0.231189</v>
      </c>
      <c r="AF54" s="29" t="n">
        <f aca="false">IFERROR(AE54/AD54*100,"N/A")</f>
        <v>15.1582943484803</v>
      </c>
      <c r="AG54" s="36" t="str">
        <f aca="false">IF(AND(Q54&gt;0, R54=0), IF(IFERROR(ROUND(AC54,8),0)=0, "Group 9: Only Passed | Without variation (no var CV = 0)", "Group 10: Only Passed | With variation (with var CV &gt; 0)"), IF(AND(Q54=0, R54&gt;0), IF(IFERROR(ROUND(AF54,8),0)=0, "Group 11: Only Failed | Without variation (no var CV = 0)", "Group 12: Only Failed | With variation (with var CV &gt; 0)"), IF(AND(Q54&gt;0, R54&gt;0), IF(ROUND(AA54,5)&lt;&gt;ROUND(AD54,5), IF(AND(IFERROR(ROUND(AC54,8),0)=0, IFERROR(ROUND(AF54,8),0)=0), "Group 1: Flaky | Passed (no variation: CV = 0) AND Failed (no variation: CV = 0) | Different Means", IF(AND(IFERROR(ROUND(AC54,8),0)&gt;0, IFERROR(ROUND(AF54,8),0)&gt;0), "Group 2: Flaky | Passed (with variation: CV &gt; 0) AND Failed (with variation: CV &gt; 0) | Different Means", IF(AND(IFERROR(ROUND(AC54,8),0)=0, IFERROR(ROUND(AF54,8),0)&gt;0), "Group 3: Flaky | Passed (no variation: CV = 0) AND Failed (with variation: CV &gt; 0) | Different Means", "Group 4: Flaky | Passed (with variation: CV &gt; 0) AND Failed (no variation: CV = 0) | Different Means"))), IF(AND(IFERROR(ROUND(AC54,8),0)=0, IFERROR(ROUND(AF54,8),0)=0), "Group 5: Flaky | Passed (no var CV = 0) AND Failed (no var CV = 0) | Equal Means", IF(AND(IFERROR(ROUND(AC54,8),0)&gt;0, IFERROR(ROUND(AF54,8),0)&gt;0), "Group 6: Flaky | Passed (with var CV &gt; 0) AND Failed (with var CV &gt; 0) | Equal Means", IF(AND(IFERROR(ROUND(AC54,8),0)=0, IFERROR(ROUND(AF54,8),0)&gt;0),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54" s="22" t="n">
        <v>63</v>
      </c>
      <c r="AI54" s="17" t="n">
        <v>37</v>
      </c>
      <c r="AJ54" s="39" t="str">
        <f aca="false">IF(AND(AH54&gt;0, AI54&gt;0), "Observed Flaky Test", "Non-observed Flaky Test")</f>
        <v>Observed Flaky Test</v>
      </c>
      <c r="AK54" s="71" t="n">
        <v>387315.222222222</v>
      </c>
      <c r="AL54" s="33" t="n">
        <v>44278.4626902051</v>
      </c>
      <c r="AM54" s="33" t="n">
        <f aca="false">IFERROR(AL54/AK54*100,"N/A")</f>
        <v>11.4321514233697</v>
      </c>
      <c r="AN54" s="71" t="n">
        <v>219523.378378378</v>
      </c>
      <c r="AO54" s="33" t="n">
        <v>99921.5651015978</v>
      </c>
      <c r="AP54" s="35" t="n">
        <f aca="false">IFERROR(AO54/AN54*100,"N/A")</f>
        <v>45.5175051694811</v>
      </c>
      <c r="AQ54" s="63" t="str">
        <f aca="false">IF(AND(AH54&gt;0, AI54&gt;0),
    IF(ROUND(N(AK54),5)&lt;&gt;ROUND(N(AN54),5),
        IF(AND(ROUND(N(AL54),8)=0, ROUND(N(AO54),8)=0), "Group 1: Flaky | Passed (no variation: SD = 0) AND Failed (no variation: SD = 0) | Different Means",
        IF(AND(ROUND(N(AL54),8)&gt;0, ROUND(N(AO54),8)&gt;0), "Group 2: Flaky | Passed (with variation: SD &gt; 0) AND Failed (with variation: SD &gt; 0) | Different Means",
        IF(AND(ROUND(N(AL54),8)=0, ROUND(N(AO54),8)&gt;0), "Group 3: Flaky | Passed (no variation: SD = 0) AND Failed (with variation: SD &gt; 0) | Different Means",
        "Group 4: Flaky | Passed (with variation: SD &gt; 0) AND Failed (no variation: SD = 0) | Different Means"))),
        IF(AND(ROUND(N(AL54),8)=0, ROUND(N(AO54),8)=0), "Group 5: Flaky | Passed (no var SD = 0) AND Failed (no var SD = 0) | Equal Means",
        IF(AND(ROUND(N(AL54),8)&gt;0, ROUND(N(AO54),8)&gt;0), "Group 6: Flaky | Passed (with var SD &gt; 0 ) AND Failed (with var SD &gt; 0) | Equal Means",
        IF(AND(ROUND(N(AL54),8)=0, ROUND(N(AO54),8)&gt;0), "Group 7: Flaky | Passed (no var SD = 0) AND Failed (with var SD &gt; 0) | Equal Means",
        "Group 8: Flaky | Passed (with var SD &gt; 0 ) AND Failed (no var SD = 0) | Equal Means")))
    ),
    IF(AH54&gt;0,
        IF(N(AL54)&gt;0, "Group 10: Only Passed | With variation (with var SD &gt; 0)", "Group 9: Only Passed | Without variation (no var SD = 0)"),
        IF(AI54&gt;0,
            IF(N(AO54)&gt;0,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4" s="42" t="str">
        <f aca="false">IF(OR(F54="Observed Flaky Test", I54="Observed Flaky Test", S54="Observed Flaky Test", AJ54="Observed Flaky Test"), "Observed Flaky Test", "Non-observed Flaky Test")</f>
        <v>Observed Flaky Test</v>
      </c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</row>
    <row r="55" customFormat="false" ht="15.75" hidden="false" customHeight="true" outlineLevel="0" collapsed="false">
      <c r="A55" s="13"/>
      <c r="B55" s="14" t="s">
        <v>132</v>
      </c>
      <c r="C55" s="14" t="s">
        <v>133</v>
      </c>
      <c r="D55" s="15" t="n">
        <v>100</v>
      </c>
      <c r="E55" s="15" t="n">
        <v>0</v>
      </c>
      <c r="F55" s="16" t="str">
        <f aca="false">IF(AND(D55&gt;0, E55&gt;0), "Observed Flaky Test", "Non-observed Flaky Test")</f>
        <v>Non-observed Flaky Test</v>
      </c>
      <c r="G55" s="17" t="n">
        <v>94</v>
      </c>
      <c r="H55" s="17" t="n">
        <v>6</v>
      </c>
      <c r="I55" s="61" t="str">
        <f aca="false">IF(AND(G55&gt;0, H55&gt;0), "Observed Flaky Test", "Non-observed Flaky Test")</f>
        <v>Observed Flaky Test</v>
      </c>
      <c r="J55" s="53" t="n">
        <v>5.231064</v>
      </c>
      <c r="K55" s="47" t="n">
        <v>0.003083</v>
      </c>
      <c r="L55" s="19" t="n">
        <f aca="false">IFERROR(K55/J55*100,"N/A")</f>
        <v>0.058936384643736</v>
      </c>
      <c r="M55" s="66" t="n">
        <v>4.925</v>
      </c>
      <c r="N55" s="53" t="n">
        <v>0.173566</v>
      </c>
      <c r="O55" s="20" t="n">
        <f aca="false">IFERROR(N55/M55*100,"N/A")</f>
        <v>3.52418274111675</v>
      </c>
      <c r="P55" s="62" t="str">
        <f aca="false">IF(AND(G55&gt;0, H55=0), IF(ROUND(K55,8)=0, "Group 9: Only Passed | Without variation (SD Passed = 0)", "Group 10: Only Passed | With variation (SD Passed &gt; 0)"), IF(AND(G55=0, H55&gt;0), IF(ROUND(N55,8)=0, "Group 11: Only Failed | Without variation (SD Failed = 0)", "Group 12: Only Failed | With variation (SD Failed &gt; 0)"), IF(AND(G55&gt;0, H55&gt;0), IF(ROUND(J55,5)&lt;&gt;ROUND(M55,5), IF(AND(ROUND(K55,8)=0, ROUND(N55,8)=0), "Group 1: Flaky | Passed (no variation) AND Failed (no variation) | Different Means", IF(AND(ROUND(K55,8)&gt;0, ROUND(N55,8)&gt;0), "Group 2: Flaky | Passed (with variation) AND Failed (with variation) | Different Means", IF(AND(ROUND(K55,8)=0, ROUND(N55,8)&gt;0), "Group 3: Flaky | Passed (no variation) AND Failed (with variation) | Different Means", "Group 4: Flaky | Passed (with variation) AND Failed (no variation) | Different Means"))), IF(AND(ROUND(K55,8)=0, ROUND(N55,8)=0), "Group 5: Flaky | Passed (no variation) AND Failed (no variation) | Equal Means", IF(AND(ROUND(K55,8)&gt;0, ROUND(N55,8)&gt;0), "Group 6: Flaky | Passed (with variation) AND Failed (with variation) | Equal Means", IF(AND(ROUND(K55,8)=0, ROUND(N55,8)&gt;0),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5" s="22" t="n">
        <v>99</v>
      </c>
      <c r="R55" s="22" t="n">
        <v>1</v>
      </c>
      <c r="S55" s="43" t="str">
        <f aca="false">IF(AND(Q55&gt;0, R55&gt;0), "Observed Flaky Test", "Non-observed Flaky Test")</f>
        <v>Observed Flaky Test</v>
      </c>
      <c r="T55" s="26" t="n">
        <v>1910909.080808</v>
      </c>
      <c r="U55" s="24" t="n">
        <v>241.726303</v>
      </c>
      <c r="V55" s="25" t="n">
        <f aca="false">IFERROR(U55/T55*100,"N/A")</f>
        <v>0.0126498065987415</v>
      </c>
      <c r="W55" s="58" t="n">
        <v>2305591</v>
      </c>
      <c r="X55" s="22" t="n">
        <v>0</v>
      </c>
      <c r="Y55" s="27" t="n">
        <f aca="false">IFERROR(X55/W55*100,"N/A")</f>
        <v>0</v>
      </c>
      <c r="Z55" s="69" t="str">
        <f aca="false">IF(AND(Q55&gt;0, R55=0), IF(IFERROR(ROUND(V55,8),0)=0, "Group 9: Only Passed | Without variation (no var CV = 0)", "Group 10: Only Passed | With variation (with var CV &gt; 0)"), IF(AND(Q55=0, R55&gt;0), IF(IFERROR(ROUND(Y55,8),0)=0, "Group 11: Only Failed | Without variation (no var CV = 0)", "Group 12: Only Failed | With variation (with var CV &gt; 0)"), IF(AND(Q55&gt;0, R55&gt;0), IF(ROUND(T55,5)&lt;&gt;ROUND(W55,5), IF(AND(IFERROR(ROUND(V55,8),0)=0, IFERROR(ROUND(Y55,8),0)=0), "Group 1: Flaky | Passed (no variation: CV = 0) AND Failed (no variation: CV = 0) | Different Means", IF(AND(IFERROR(ROUND(V55,8),0)&gt;0, IFERROR(ROUND(Y55,8),0)&gt;0), "Group 2: Flaky | Passed (with variation: CV &gt; 0) AND Failed (with variation: CV &gt; 0) | Different Means", IF(AND(IFERROR(ROUND(V55,8),0)=0, IFERROR(ROUND(Y55,8),0)&gt;0), "Group 3: Flaky | Passed (no variation: CV = 0) AND Failed (with variation: CV &gt; 0) | Different Means", "Group 4: Flaky | Passed (with variation: CV &gt; 0) AND Failed (no variation: CV = 0) | Different Means"))), IF(AND(IFERROR(ROUND(V55,8),0)=0, IFERROR(ROUND(Y55,8),0)=0), "Group 5: Flaky | Passed (no var CV = 0) AND Failed (no var CV = 0) | Equal Means", IF(AND(IFERROR(ROUND(V55,8),0)&gt;0, IFERROR(ROUND(Y55,8),0)&gt;0), "Group 6: Flaky | Passed (with var CV &gt; 0) AND Failed (with var CV &gt; 0) | Equal Means", IF(AND(IFERROR(ROUND(V55,8),0)=0, IFERROR(ROUND(Y55,8),0)&gt;0),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55" s="29" t="n">
        <v>1.295228</v>
      </c>
      <c r="AB55" s="29" t="n">
        <v>0.051847</v>
      </c>
      <c r="AC55" s="29" t="n">
        <f aca="false">IFERROR(AB55/AA55*100,"N/A")</f>
        <v>4.00292458161806</v>
      </c>
      <c r="AD55" s="29" t="n">
        <v>1.393737</v>
      </c>
      <c r="AE55" s="29" t="n">
        <v>0</v>
      </c>
      <c r="AF55" s="29" t="n">
        <f aca="false">IFERROR(AE55/AD55*100,"N/A")</f>
        <v>0</v>
      </c>
      <c r="AG55" s="70" t="str">
        <f aca="false">IF(AND(Q55&gt;0, R55=0), IF(IFERROR(ROUND(AC55,8),0)=0, "Group 9: Only Passed | Without variation (no var CV = 0)", "Group 10: Only Passed | With variation (with var CV &gt; 0)"), IF(AND(Q55=0, R55&gt;0), IF(IFERROR(ROUND(AF55,8),0)=0, "Group 11: Only Failed | Without variation (no var CV = 0)", "Group 12: Only Failed | With variation (with var CV &gt; 0)"), IF(AND(Q55&gt;0, R55&gt;0), IF(ROUND(AA55,5)&lt;&gt;ROUND(AD55,5), IF(AND(IFERROR(ROUND(AC55,8),0)=0, IFERROR(ROUND(AF55,8),0)=0), "Group 1: Flaky | Passed (no variation: CV = 0) AND Failed (no variation: CV = 0) | Different Means", IF(AND(IFERROR(ROUND(AC55,8),0)&gt;0, IFERROR(ROUND(AF55,8),0)&gt;0), "Group 2: Flaky | Passed (with variation: CV &gt; 0) AND Failed (with variation: CV &gt; 0) | Different Means", IF(AND(IFERROR(ROUND(AC55,8),0)=0, IFERROR(ROUND(AF55,8),0)&gt;0), "Group 3: Flaky | Passed (no variation: CV = 0) AND Failed (with variation: CV &gt; 0) | Different Means", "Group 4: Flaky | Passed (with variation: CV &gt; 0) AND Failed (no variation: CV = 0) | Different Means"))), IF(AND(IFERROR(ROUND(AC55,8),0)=0, IFERROR(ROUND(AF55,8),0)=0), "Group 5: Flaky | Passed (no var CV = 0) AND Failed (no var CV = 0) | Equal Means", IF(AND(IFERROR(ROUND(AC55,8),0)&gt;0, IFERROR(ROUND(AF55,8),0)&gt;0), "Group 6: Flaky | Passed (with var CV &gt; 0) AND Failed (with var CV &gt; 0) | Equal Means", IF(AND(IFERROR(ROUND(AC55,8),0)=0, IFERROR(ROUND(AF55,8),0)&gt;0),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55" s="22" t="n">
        <v>93</v>
      </c>
      <c r="AI55" s="17" t="n">
        <v>7</v>
      </c>
      <c r="AJ55" s="39" t="str">
        <f aca="false">IF(AND(AH55&gt;0, AI55&gt;0), "Observed Flaky Test", "Non-observed Flaky Test")</f>
        <v>Observed Flaky Test</v>
      </c>
      <c r="AK55" s="71" t="n">
        <v>125836.204301075</v>
      </c>
      <c r="AL55" s="34" t="n">
        <v>977.355533182357</v>
      </c>
      <c r="AM55" s="33" t="n">
        <f aca="false">IFERROR(AL55/AK55*100,"N/A")</f>
        <v>0.776688663338845</v>
      </c>
      <c r="AN55" s="33" t="n">
        <v>54456.8571428571</v>
      </c>
      <c r="AO55" s="33" t="n">
        <v>35533.7113524071</v>
      </c>
      <c r="AP55" s="35" t="n">
        <f aca="false">IFERROR(AO55/AN55*100,"N/A")</f>
        <v>65.2511239478827</v>
      </c>
      <c r="AQ55" s="63" t="str">
        <f aca="false">IF(AND(AH55&gt;0, AI55&gt;0),
    IF(ROUND(N(AK55),5)&lt;&gt;ROUND(N(AN55),5),
        IF(AND(ROUND(N(AL55),8)=0, ROUND(N(AO55),8)=0), "Group 1: Flaky | Passed (no variation: SD = 0) AND Failed (no variation: SD = 0) | Different Means",
        IF(AND(ROUND(N(AL55),8)&gt;0, ROUND(N(AO55),8)&gt;0), "Group 2: Flaky | Passed (with variation: SD &gt; 0) AND Failed (with variation: SD &gt; 0) | Different Means",
        IF(AND(ROUND(N(AL55),8)=0, ROUND(N(AO55),8)&gt;0), "Group 3: Flaky | Passed (no variation: SD = 0) AND Failed (with variation: SD &gt; 0) | Different Means",
        "Group 4: Flaky | Passed (with variation: SD &gt; 0) AND Failed (no variation: SD = 0) | Different Means"))),
        IF(AND(ROUND(N(AL55),8)=0, ROUND(N(AO55),8)=0), "Group 5: Flaky | Passed (no var SD = 0) AND Failed (no var SD = 0) | Equal Means",
        IF(AND(ROUND(N(AL55),8)&gt;0, ROUND(N(AO55),8)&gt;0), "Group 6: Flaky | Passed (with var SD &gt; 0 ) AND Failed (with var SD &gt; 0) | Equal Means",
        IF(AND(ROUND(N(AL55),8)=0, ROUND(N(AO55),8)&gt;0), "Group 7: Flaky | Passed (no var SD = 0) AND Failed (with var SD &gt; 0) | Equal Means",
        "Group 8: Flaky | Passed (with var SD &gt; 0 ) AND Failed (no var SD = 0) | Equal Means")))
    ),
    IF(AH55&gt;0,
        IF(N(AL55)&gt;0, "Group 10: Only Passed | With variation (with var SD &gt; 0)", "Group 9: Only Passed | Without variation (no var SD = 0)"),
        IF(AI55&gt;0,
            IF(N(AO55)&gt;0,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5" s="42" t="str">
        <f aca="false">IF(OR(F55="Observed Flaky Test", I55="Observed Flaky Test", S55="Observed Flaky Test", AJ55="Observed Flaky Test"), "Observed Flaky Test", "Non-observed Flaky Test")</f>
        <v>Observed Flaky Test</v>
      </c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</row>
    <row r="56" customFormat="false" ht="15.75" hidden="false" customHeight="true" outlineLevel="0" collapsed="false">
      <c r="A56" s="13"/>
      <c r="B56" s="14" t="s">
        <v>134</v>
      </c>
      <c r="C56" s="14" t="s">
        <v>135</v>
      </c>
      <c r="D56" s="15" t="n">
        <v>100</v>
      </c>
      <c r="E56" s="15" t="n">
        <v>0</v>
      </c>
      <c r="F56" s="16" t="str">
        <f aca="false">IF(AND(D56&gt;0, E56&gt;0), "Observed Flaky Test", "Non-observed Flaky Test")</f>
        <v>Non-observed Flaky Test</v>
      </c>
      <c r="G56" s="17" t="n">
        <v>94</v>
      </c>
      <c r="H56" s="17" t="n">
        <v>6</v>
      </c>
      <c r="I56" s="61" t="str">
        <f aca="false">IF(AND(G56&gt;0, H56&gt;0), "Observed Flaky Test", "Non-observed Flaky Test")</f>
        <v>Observed Flaky Test</v>
      </c>
      <c r="J56" s="53" t="n">
        <v>5.239362</v>
      </c>
      <c r="K56" s="47" t="n">
        <v>0.002444</v>
      </c>
      <c r="L56" s="19" t="n">
        <f aca="false">IFERROR(K56/J56*100,"N/A")</f>
        <v>0.046646900901293</v>
      </c>
      <c r="M56" s="53" t="n">
        <v>4.893333</v>
      </c>
      <c r="N56" s="47" t="n">
        <v>0.24513</v>
      </c>
      <c r="O56" s="20" t="n">
        <f aca="false">IFERROR(N56/M56*100,"N/A")</f>
        <v>5.00946900609462</v>
      </c>
      <c r="P56" s="62" t="str">
        <f aca="false">IF(AND(G56&gt;0, H56=0), IF(ROUND(K56,8)=0, "Group 9: Only Passed | Without variation (SD Passed = 0)", "Group 10: Only Passed | With variation (SD Passed &gt; 0)"), IF(AND(G56=0, H56&gt;0), IF(ROUND(N56,8)=0, "Group 11: Only Failed | Without variation (SD Failed = 0)", "Group 12: Only Failed | With variation (SD Failed &gt; 0)"), IF(AND(G56&gt;0, H56&gt;0), IF(ROUND(J56,5)&lt;&gt;ROUND(M56,5), IF(AND(ROUND(K56,8)=0, ROUND(N56,8)=0), "Group 1: Flaky | Passed (no variation) AND Failed (no variation) | Different Means", IF(AND(ROUND(K56,8)&gt;0, ROUND(N56,8)&gt;0), "Group 2: Flaky | Passed (with variation) AND Failed (with variation) | Different Means", IF(AND(ROUND(K56,8)=0, ROUND(N56,8)&gt;0), "Group 3: Flaky | Passed (no variation) AND Failed (with variation) | Different Means", "Group 4: Flaky | Passed (with variation) AND Failed (no variation) | Different Means"))), IF(AND(ROUND(K56,8)=0, ROUND(N56,8)=0), "Group 5: Flaky | Passed (no variation) AND Failed (no variation) | Equal Means", IF(AND(ROUND(K56,8)&gt;0, ROUND(N56,8)&gt;0), "Group 6: Flaky | Passed (with variation) AND Failed (with variation) | Equal Means", IF(AND(ROUND(K56,8)=0, ROUND(N56,8)&gt;0),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6" s="22" t="n">
        <v>100</v>
      </c>
      <c r="R56" s="22" t="n">
        <v>0</v>
      </c>
      <c r="S56" s="23" t="str">
        <f aca="false">IF(AND(Q56&gt;0, R56&gt;0), "Observed Flaky Test", "Non-observed Flaky Test")</f>
        <v>Non-observed Flaky Test</v>
      </c>
      <c r="T56" s="22" t="n">
        <v>1910858.82</v>
      </c>
      <c r="U56" s="24" t="n">
        <v>108.716607</v>
      </c>
      <c r="V56" s="25" t="n">
        <f aca="false">IFERROR(U56/T56*100,"N/A")</f>
        <v>0.00568941074359434</v>
      </c>
      <c r="W56" s="22" t="n">
        <v>0</v>
      </c>
      <c r="X56" s="22" t="n">
        <v>0</v>
      </c>
      <c r="Y56" s="27" t="str">
        <f aca="false">IFERROR(X56/W56*100,"N/A")</f>
        <v>N/A</v>
      </c>
      <c r="Z56" s="50" t="str">
        <f aca="false">IF(AND(Q56&gt;0, R56=0), IF(IFERROR(ROUND(V56,8),0)=0, "Group 9: Only Passed | Without variation (no var CV = 0)", "Group 10: Only Passed | With variation (with var CV &gt; 0)"), IF(AND(Q56=0, R56&gt;0), IF(IFERROR(ROUND(Y56,8),0)=0, "Group 11: Only Failed | Without variation (no var CV = 0)", "Group 12: Only Failed | With variation (with var CV &gt; 0)"), IF(AND(Q56&gt;0, R56&gt;0), IF(ROUND(T56,5)&lt;&gt;ROUND(W56,5), IF(AND(IFERROR(ROUND(V56,8),0)=0, IFERROR(ROUND(Y56,8),0)=0), "Group 1: Flaky | Passed (no variation: CV = 0) AND Failed (no variation: CV = 0) | Different Means", IF(AND(IFERROR(ROUND(V56,8),0)&gt;0, IFERROR(ROUND(Y56,8),0)&gt;0), "Group 2: Flaky | Passed (with variation: CV &gt; 0) AND Failed (with variation: CV &gt; 0) | Different Means", IF(AND(IFERROR(ROUND(V56,8),0)=0, IFERROR(ROUND(Y56,8),0)&gt;0), "Group 3: Flaky | Passed (no variation: CV = 0) AND Failed (with variation: CV &gt; 0) | Different Means", "Group 4: Flaky | Passed (with variation: CV &gt; 0) AND Failed (no variation: CV = 0) | Different Means"))), IF(AND(IFERROR(ROUND(V56,8),0)=0, IFERROR(ROUND(Y56,8),0)=0), "Group 5: Flaky | Passed (no var CV = 0) AND Failed (no var CV = 0) | Equal Means", IF(AND(IFERROR(ROUND(V56,8),0)&gt;0, IFERROR(ROUND(Y56,8),0)&gt;0), "Group 6: Flaky | Passed (with var CV &gt; 0) AND Failed (with var CV &gt; 0) | Equal Means", IF(AND(IFERROR(ROUND(V56,8),0)=0, IFERROR(ROUND(Y56,8),0)&gt;0),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56" s="29" t="n">
        <v>1.319161</v>
      </c>
      <c r="AB56" s="29" t="n">
        <v>0.053862</v>
      </c>
      <c r="AC56" s="29" t="n">
        <f aca="false">IFERROR(AB56/AA56*100,"N/A")</f>
        <v>4.08304975662561</v>
      </c>
      <c r="AD56" s="29" t="n">
        <v>0</v>
      </c>
      <c r="AE56" s="29" t="n">
        <v>0</v>
      </c>
      <c r="AF56" s="29" t="str">
        <f aca="false">IFERROR(AE56/AD56*100,"N/A")</f>
        <v>N/A</v>
      </c>
      <c r="AG56" s="51" t="str">
        <f aca="false">IF(AND(Q56&gt;0, R56=0), IF(IFERROR(ROUND(AC56,8),0)=0, "Group 9: Only Passed | Without variation (no var CV = 0)", "Group 10: Only Passed | With variation (with var CV &gt; 0)"), IF(AND(Q56=0, R56&gt;0), IF(IFERROR(ROUND(AF56,8),0)=0, "Group 11: Only Failed | Without variation (no var CV = 0)", "Group 12: Only Failed | With variation (with var CV &gt; 0)"), IF(AND(Q56&gt;0, R56&gt;0), IF(ROUND(AA56,5)&lt;&gt;ROUND(AD56,5), IF(AND(IFERROR(ROUND(AC56,8),0)=0, IFERROR(ROUND(AF56,8),0)=0), "Group 1: Flaky | Passed (no variation: CV = 0) AND Failed (no variation: CV = 0) | Different Means", IF(AND(IFERROR(ROUND(AC56,8),0)&gt;0, IFERROR(ROUND(AF56,8),0)&gt;0), "Group 2: Flaky | Passed (with variation: CV &gt; 0) AND Failed (with variation: CV &gt; 0) | Different Means", IF(AND(IFERROR(ROUND(AC56,8),0)=0, IFERROR(ROUND(AF56,8),0)&gt;0), "Group 3: Flaky | Passed (no variation: CV = 0) AND Failed (with variation: CV &gt; 0) | Different Means", "Group 4: Flaky | Passed (with variation: CV &gt; 0) AND Failed (no variation: CV = 0) | Different Means"))), IF(AND(IFERROR(ROUND(AC56,8),0)=0, IFERROR(ROUND(AF56,8),0)=0), "Group 5: Flaky | Passed (no var CV = 0) AND Failed (no var CV = 0) | Equal Means", IF(AND(IFERROR(ROUND(AC56,8),0)&gt;0, IFERROR(ROUND(AF56,8),0)&gt;0), "Group 6: Flaky | Passed (with var CV &gt; 0) AND Failed (with var CV &gt; 0) | Equal Means", IF(AND(IFERROR(ROUND(AC56,8),0)=0, IFERROR(ROUND(AF56,8),0)&gt;0),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56" s="22" t="n">
        <v>95</v>
      </c>
      <c r="AI56" s="17" t="n">
        <v>5</v>
      </c>
      <c r="AJ56" s="39" t="str">
        <f aca="false">IF(AND(AH56&gt;0, AI56&gt;0), "Observed Flaky Test", "Non-observed Flaky Test")</f>
        <v>Observed Flaky Test</v>
      </c>
      <c r="AK56" s="71" t="n">
        <v>127862.547368421</v>
      </c>
      <c r="AL56" s="57" t="n">
        <v>6665.70665799148</v>
      </c>
      <c r="AM56" s="33" t="n">
        <f aca="false">IFERROR(AL56/AK56*100,"N/A")</f>
        <v>5.21318149464442</v>
      </c>
      <c r="AN56" s="32" t="n">
        <v>63179.2</v>
      </c>
      <c r="AO56" s="33" t="n">
        <v>38074.9441851199</v>
      </c>
      <c r="AP56" s="35" t="n">
        <f aca="false">IFERROR(AO56/AN56*100,"N/A")</f>
        <v>60.2649989001442</v>
      </c>
      <c r="AQ56" s="63" t="str">
        <f aca="false">IF(AND(AH56&gt;0, AI56&gt;0),
    IF(ROUND(N(AK56),5)&lt;&gt;ROUND(N(AN56),5),
        IF(AND(ROUND(N(AL56),8)=0, ROUND(N(AO56),8)=0), "Group 1: Flaky | Passed (no variation: SD = 0) AND Failed (no variation: SD = 0) | Different Means",
        IF(AND(ROUND(N(AL56),8)&gt;0, ROUND(N(AO56),8)&gt;0), "Group 2: Flaky | Passed (with variation: SD &gt; 0) AND Failed (with variation: SD &gt; 0) | Different Means",
        IF(AND(ROUND(N(AL56),8)=0, ROUND(N(AO56),8)&gt;0), "Group 3: Flaky | Passed (no variation: SD = 0) AND Failed (with variation: SD &gt; 0) | Different Means",
        "Group 4: Flaky | Passed (with variation: SD &gt; 0) AND Failed (no variation: SD = 0) | Different Means"))),
        IF(AND(ROUND(N(AL56),8)=0, ROUND(N(AO56),8)=0), "Group 5: Flaky | Passed (no var SD = 0) AND Failed (no var SD = 0) | Equal Means",
        IF(AND(ROUND(N(AL56),8)&gt;0, ROUND(N(AO56),8)&gt;0), "Group 6: Flaky | Passed (with var SD &gt; 0 ) AND Failed (with var SD &gt; 0) | Equal Means",
        IF(AND(ROUND(N(AL56),8)=0, ROUND(N(AO56),8)&gt;0), "Group 7: Flaky | Passed (no var SD = 0) AND Failed (with var SD &gt; 0) | Equal Means",
        "Group 8: Flaky | Passed (with var SD &gt; 0 ) AND Failed (no var SD = 0) | Equal Means")))
    ),
    IF(AH56&gt;0,
        IF(N(AL56)&gt;0, "Group 10: Only Passed | With variation (with var SD &gt; 0)", "Group 9: Only Passed | Without variation (no var SD = 0)"),
        IF(AI56&gt;0,
            IF(N(AO56)&gt;0,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6" s="42" t="str">
        <f aca="false">IF(OR(F56="Observed Flaky Test", I56="Observed Flaky Test", S56="Observed Flaky Test", AJ56="Observed Flaky Test"), "Observed Flaky Test", "Non-observed Flaky Test")</f>
        <v>Observed Flaky Test</v>
      </c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customFormat="false" ht="15.75" hidden="false" customHeight="true" outlineLevel="0" collapsed="false">
      <c r="A57" s="13"/>
      <c r="B57" s="14" t="s">
        <v>136</v>
      </c>
      <c r="C57" s="14" t="s">
        <v>137</v>
      </c>
      <c r="D57" s="15" t="n">
        <v>100</v>
      </c>
      <c r="E57" s="15" t="n">
        <v>0</v>
      </c>
      <c r="F57" s="16" t="str">
        <f aca="false">IF(AND(D57&gt;0, E57&gt;0), "Observed Flaky Test", "Non-observed Flaky Test")</f>
        <v>Non-observed Flaky Test</v>
      </c>
      <c r="G57" s="17" t="n">
        <v>95</v>
      </c>
      <c r="H57" s="17" t="n">
        <v>5</v>
      </c>
      <c r="I57" s="61" t="str">
        <f aca="false">IF(AND(G57&gt;0, H57&gt;0), "Observed Flaky Test", "Non-observed Flaky Test")</f>
        <v>Observed Flaky Test</v>
      </c>
      <c r="J57" s="53" t="n">
        <v>5.236632</v>
      </c>
      <c r="K57" s="53" t="n">
        <v>0.034139</v>
      </c>
      <c r="L57" s="19" t="n">
        <f aca="false">IFERROR(K57/J57*100,"N/A")</f>
        <v>0.651926658203212</v>
      </c>
      <c r="M57" s="66" t="n">
        <v>4.914</v>
      </c>
      <c r="N57" s="53" t="n">
        <v>0.209342</v>
      </c>
      <c r="O57" s="20" t="n">
        <f aca="false">IFERROR(N57/M57*100,"N/A")</f>
        <v>4.26011396011396</v>
      </c>
      <c r="P57" s="62" t="str">
        <f aca="false">IF(AND(G57&gt;0, H57=0), IF(ROUND(K57,8)=0, "Group 9: Only Passed | Without variation (SD Passed = 0)", "Group 10: Only Passed | With variation (SD Passed &gt; 0)"), IF(AND(G57=0, H57&gt;0), IF(ROUND(N57,8)=0, "Group 11: Only Failed | Without variation (SD Failed = 0)", "Group 12: Only Failed | With variation (SD Failed &gt; 0)"), IF(AND(G57&gt;0, H57&gt;0), IF(ROUND(J57,5)&lt;&gt;ROUND(M57,5), IF(AND(ROUND(K57,8)=0, ROUND(N57,8)=0), "Group 1: Flaky | Passed (no variation) AND Failed (no variation) | Different Means", IF(AND(ROUND(K57,8)&gt;0, ROUND(N57,8)&gt;0), "Group 2: Flaky | Passed (with variation) AND Failed (with variation) | Different Means", IF(AND(ROUND(K57,8)=0, ROUND(N57,8)&gt;0), "Group 3: Flaky | Passed (no variation) AND Failed (with variation) | Different Means", "Group 4: Flaky | Passed (with variation) AND Failed (no variation) | Different Means"))), IF(AND(ROUND(K57,8)=0, ROUND(N57,8)=0), "Group 5: Flaky | Passed (no variation) AND Failed (no variation) | Equal Means", IF(AND(ROUND(K57,8)&gt;0, ROUND(N57,8)&gt;0), "Group 6: Flaky | Passed (with variation) AND Failed (with variation) | Equal Means", IF(AND(ROUND(K57,8)=0, ROUND(N57,8)&gt;0),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7" s="22" t="n">
        <v>99</v>
      </c>
      <c r="R57" s="22" t="n">
        <v>1</v>
      </c>
      <c r="S57" s="43" t="str">
        <f aca="false">IF(AND(Q57&gt;0, R57&gt;0), "Observed Flaky Test", "Non-observed Flaky Test")</f>
        <v>Observed Flaky Test</v>
      </c>
      <c r="T57" s="24" t="n">
        <v>1911072.737374</v>
      </c>
      <c r="U57" s="26" t="n">
        <v>222.948772</v>
      </c>
      <c r="V57" s="25" t="n">
        <f aca="false">IFERROR(U57/T57*100,"N/A")</f>
        <v>0.0116661583643516</v>
      </c>
      <c r="W57" s="58" t="n">
        <v>3717978</v>
      </c>
      <c r="X57" s="22" t="n">
        <v>0</v>
      </c>
      <c r="Y57" s="27" t="n">
        <f aca="false">IFERROR(X57/W57*100,"N/A")</f>
        <v>0</v>
      </c>
      <c r="Z57" s="69" t="str">
        <f aca="false">IF(AND(Q57&gt;0, R57=0), IF(IFERROR(ROUND(V57,8),0)=0, "Group 9: Only Passed | Without variation (no var CV = 0)", "Group 10: Only Passed | With variation (with var CV &gt; 0)"), IF(AND(Q57=0, R57&gt;0), IF(IFERROR(ROUND(Y57,8),0)=0, "Group 11: Only Failed | Without variation (no var CV = 0)", "Group 12: Only Failed | With variation (with var CV &gt; 0)"), IF(AND(Q57&gt;0, R57&gt;0), IF(ROUND(T57,5)&lt;&gt;ROUND(W57,5), IF(AND(IFERROR(ROUND(V57,8),0)=0, IFERROR(ROUND(Y57,8),0)=0), "Group 1: Flaky | Passed (no variation: CV = 0) AND Failed (no variation: CV = 0) | Different Means", IF(AND(IFERROR(ROUND(V57,8),0)&gt;0, IFERROR(ROUND(Y57,8),0)&gt;0), "Group 2: Flaky | Passed (with variation: CV &gt; 0) AND Failed (with variation: CV &gt; 0) | Different Means", IF(AND(IFERROR(ROUND(V57,8),0)=0, IFERROR(ROUND(Y57,8),0)&gt;0), "Group 3: Flaky | Passed (no variation: CV = 0) AND Failed (with variation: CV &gt; 0) | Different Means", "Group 4: Flaky | Passed (with variation: CV &gt; 0) AND Failed (no variation: CV = 0) | Different Means"))), IF(AND(IFERROR(ROUND(V57,8),0)=0, IFERROR(ROUND(Y57,8),0)=0), "Group 5: Flaky | Passed (no var CV = 0) AND Failed (no var CV = 0) | Equal Means", IF(AND(IFERROR(ROUND(V57,8),0)&gt;0, IFERROR(ROUND(Y57,8),0)&gt;0), "Group 6: Flaky | Passed (with var CV &gt; 0) AND Failed (with var CV &gt; 0) | Equal Means", IF(AND(IFERROR(ROUND(V57,8),0)=0, IFERROR(ROUND(Y57,8),0)&gt;0),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57" s="29" t="n">
        <v>1.310872</v>
      </c>
      <c r="AB57" s="29" t="n">
        <v>0.053983</v>
      </c>
      <c r="AC57" s="29" t="n">
        <f aca="false">IFERROR(AB57/AA57*100,"N/A")</f>
        <v>4.11809848711392</v>
      </c>
      <c r="AD57" s="29" t="n">
        <v>2.035052</v>
      </c>
      <c r="AE57" s="29" t="n">
        <v>0</v>
      </c>
      <c r="AF57" s="29" t="n">
        <f aca="false">IFERROR(AE57/AD57*100,"N/A")</f>
        <v>0</v>
      </c>
      <c r="AG57" s="70" t="str">
        <f aca="false">IF(AND(Q57&gt;0, R57=0), IF(IFERROR(ROUND(AC57,8),0)=0, "Group 9: Only Passed | Without variation (no var CV = 0)", "Group 10: Only Passed | With variation (with var CV &gt; 0)"), IF(AND(Q57=0, R57&gt;0), IF(IFERROR(ROUND(AF57,8),0)=0, "Group 11: Only Failed | Without variation (no var CV = 0)", "Group 12: Only Failed | With variation (with var CV &gt; 0)"), IF(AND(Q57&gt;0, R57&gt;0), IF(ROUND(AA57,5)&lt;&gt;ROUND(AD57,5), IF(AND(IFERROR(ROUND(AC57,8),0)=0, IFERROR(ROUND(AF57,8),0)=0), "Group 1: Flaky | Passed (no variation: CV = 0) AND Failed (no variation: CV = 0) | Different Means", IF(AND(IFERROR(ROUND(AC57,8),0)&gt;0, IFERROR(ROUND(AF57,8),0)&gt;0), "Group 2: Flaky | Passed (with variation: CV &gt; 0) AND Failed (with variation: CV &gt; 0) | Different Means", IF(AND(IFERROR(ROUND(AC57,8),0)=0, IFERROR(ROUND(AF57,8),0)&gt;0), "Group 3: Flaky | Passed (no variation: CV = 0) AND Failed (with variation: CV &gt; 0) | Different Means", "Group 4: Flaky | Passed (with variation: CV &gt; 0) AND Failed (no variation: CV = 0) | Different Means"))), IF(AND(IFERROR(ROUND(AC57,8),0)=0, IFERROR(ROUND(AF57,8),0)=0), "Group 5: Flaky | Passed (no var CV = 0) AND Failed (no var CV = 0) | Equal Means", IF(AND(IFERROR(ROUND(AC57,8),0)&gt;0, IFERROR(ROUND(AF57,8),0)&gt;0), "Group 6: Flaky | Passed (with var CV &gt; 0) AND Failed (with var CV &gt; 0) | Equal Means", IF(AND(IFERROR(ROUND(AC57,8),0)=0, IFERROR(ROUND(AF57,8),0)&gt;0),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57" s="22" t="n">
        <v>93</v>
      </c>
      <c r="AI57" s="17" t="n">
        <v>7</v>
      </c>
      <c r="AJ57" s="39" t="str">
        <f aca="false">IF(AND(AH57&gt;0, AI57&gt;0), "Observed Flaky Test", "Non-observed Flaky Test")</f>
        <v>Observed Flaky Test</v>
      </c>
      <c r="AK57" s="71" t="n">
        <v>128759.086021505</v>
      </c>
      <c r="AL57" s="34" t="n">
        <v>666.341433173225</v>
      </c>
      <c r="AM57" s="33" t="n">
        <f aca="false">IFERROR(AL57/AK57*100,"N/A")</f>
        <v>0.517510222977145</v>
      </c>
      <c r="AN57" s="32" t="n">
        <v>52493</v>
      </c>
      <c r="AO57" s="33" t="n">
        <v>31541.2443476791</v>
      </c>
      <c r="AP57" s="35" t="n">
        <f aca="false">IFERROR(AO57/AN57*100,"N/A")</f>
        <v>60.0865722052066</v>
      </c>
      <c r="AQ57" s="63" t="str">
        <f aca="false">IF(AND(AH57&gt;0, AI57&gt;0),
    IF(ROUND(N(AK57),5)&lt;&gt;ROUND(N(AN57),5),
        IF(AND(ROUND(N(AL57),8)=0, ROUND(N(AO57),8)=0), "Group 1: Flaky | Passed (no variation: SD = 0) AND Failed (no variation: SD = 0) | Different Means",
        IF(AND(ROUND(N(AL57),8)&gt;0, ROUND(N(AO57),8)&gt;0), "Group 2: Flaky | Passed (with variation: SD &gt; 0) AND Failed (with variation: SD &gt; 0) | Different Means",
        IF(AND(ROUND(N(AL57),8)=0, ROUND(N(AO57),8)&gt;0), "Group 3: Flaky | Passed (no variation: SD = 0) AND Failed (with variation: SD &gt; 0) | Different Means",
        "Group 4: Flaky | Passed (with variation: SD &gt; 0) AND Failed (no variation: SD = 0) | Different Means"))),
        IF(AND(ROUND(N(AL57),8)=0, ROUND(N(AO57),8)=0), "Group 5: Flaky | Passed (no var SD = 0) AND Failed (no var SD = 0) | Equal Means",
        IF(AND(ROUND(N(AL57),8)&gt;0, ROUND(N(AO57),8)&gt;0), "Group 6: Flaky | Passed (with var SD &gt; 0 ) AND Failed (with var SD &gt; 0) | Equal Means",
        IF(AND(ROUND(N(AL57),8)=0, ROUND(N(AO57),8)&gt;0), "Group 7: Flaky | Passed (no var SD = 0) AND Failed (with var SD &gt; 0) | Equal Means",
        "Group 8: Flaky | Passed (with var SD &gt; 0 ) AND Failed (no var SD = 0) | Equal Means")))
    ),
    IF(AH57&gt;0,
        IF(N(AL57)&gt;0, "Group 10: Only Passed | With variation (with var SD &gt; 0)", "Group 9: Only Passed | Without variation (no var SD = 0)"),
        IF(AI57&gt;0,
            IF(N(AO57)&gt;0,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7" s="42" t="str">
        <f aca="false">IF(OR(F57="Observed Flaky Test", I57="Observed Flaky Test", S57="Observed Flaky Test", AJ57="Observed Flaky Test"), "Observed Flaky Test", "Non-observed Flaky Test")</f>
        <v>Observed Flaky Test</v>
      </c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</row>
    <row r="58" customFormat="false" ht="15.75" hidden="false" customHeight="true" outlineLevel="0" collapsed="false">
      <c r="A58" s="13"/>
      <c r="B58" s="14" t="s">
        <v>138</v>
      </c>
      <c r="C58" s="14" t="s">
        <v>139</v>
      </c>
      <c r="D58" s="15" t="n">
        <v>100</v>
      </c>
      <c r="E58" s="15" t="n">
        <v>0</v>
      </c>
      <c r="F58" s="16" t="str">
        <f aca="false">IF(AND(D58&gt;0, E58&gt;0), "Observed Flaky Test", "Non-observed Flaky Test")</f>
        <v>Non-observed Flaky Test</v>
      </c>
      <c r="G58" s="17" t="n">
        <v>100</v>
      </c>
      <c r="H58" s="17" t="n">
        <v>0</v>
      </c>
      <c r="I58" s="16" t="str">
        <f aca="false">IF(AND(G58&gt;0, H58&gt;0), "Observed Flaky Test", "Non-observed Flaky Test")</f>
        <v>Non-observed Flaky Test</v>
      </c>
      <c r="J58" s="46" t="n">
        <v>5.1999</v>
      </c>
      <c r="K58" s="53" t="n">
        <v>0.000995</v>
      </c>
      <c r="L58" s="19" t="n">
        <f aca="false">IFERROR(K58/J58*100,"N/A")</f>
        <v>0.0191349833650647</v>
      </c>
      <c r="M58" s="18" t="n">
        <v>0</v>
      </c>
      <c r="N58" s="18" t="n">
        <v>0</v>
      </c>
      <c r="O58" s="20" t="str">
        <f aca="false">IFERROR(N58/M58*100,"N/A")</f>
        <v>N/A</v>
      </c>
      <c r="P58" s="48" t="str">
        <f aca="false">IF(AND(G58&gt;0, H58=0), IF(ROUND(K58,8)=0, "Group 9: Only Passed | Without variation (SD Passed = 0)", "Group 10: Only Passed | With variation (SD Passed &gt; 0)"), IF(AND(G58=0, H58&gt;0), IF(ROUND(N58,8)=0, "Group 11: Only Failed | Without variation (SD Failed = 0)", "Group 12: Only Failed | With variation (SD Failed &gt; 0)"), IF(AND(G58&gt;0, H58&gt;0), IF(ROUND(J58,5)&lt;&gt;ROUND(M58,5), IF(AND(ROUND(K58,8)=0, ROUND(N58,8)=0), "Group 1: Flaky | Passed (no variation) AND Failed (no variation) | Different Means", IF(AND(ROUND(K58,8)&gt;0, ROUND(N58,8)&gt;0), "Group 2: Flaky | Passed (with variation) AND Failed (with variation) | Different Means", IF(AND(ROUND(K58,8)=0, ROUND(N58,8)&gt;0), "Group 3: Flaky | Passed (no variation) AND Failed (with variation) | Different Means", "Group 4: Flaky | Passed (with variation) AND Failed (no variation) | Different Means"))), IF(AND(ROUND(K58,8)=0, ROUND(N58,8)=0), "Group 5: Flaky | Passed (no variation) AND Failed (no variation) | Equal Means", IF(AND(ROUND(K58,8)&gt;0, ROUND(N58,8)&gt;0), "Group 6: Flaky | Passed (with variation) AND Failed (with variation) | Equal Means", IF(AND(ROUND(K58,8)=0, ROUND(N58,8)&gt;0),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58" s="22" t="n">
        <v>98</v>
      </c>
      <c r="R58" s="22" t="n">
        <v>2</v>
      </c>
      <c r="S58" s="43" t="str">
        <f aca="false">IF(AND(Q58&gt;0, R58&gt;0), "Observed Flaky Test", "Non-observed Flaky Test")</f>
        <v>Observed Flaky Test</v>
      </c>
      <c r="T58" s="24" t="n">
        <v>1905851.112245</v>
      </c>
      <c r="U58" s="24" t="n">
        <v>147.317868</v>
      </c>
      <c r="V58" s="25" t="n">
        <f aca="false">IFERROR(U58/T58*100,"N/A")</f>
        <v>0.00772976792643927</v>
      </c>
      <c r="W58" s="55" t="n">
        <v>3703673.5</v>
      </c>
      <c r="X58" s="24" t="n">
        <v>13022.785589</v>
      </c>
      <c r="Y58" s="27" t="n">
        <f aca="false">IFERROR(X58/W58*100,"N/A")</f>
        <v>0.351618078348429</v>
      </c>
      <c r="Z58" s="68" t="str">
        <f aca="false">IF(AND(Q58&gt;0, R58=0), IF(IFERROR(ROUND(V58,8),0)=0, "Group 9: Only Passed | Without variation (no var CV = 0)", "Group 10: Only Passed | With variation (with var CV &gt; 0)"), IF(AND(Q58=0, R58&gt;0), IF(IFERROR(ROUND(Y58,8),0)=0, "Group 11: Only Failed | Without variation (no var CV = 0)", "Group 12: Only Failed | With variation (with var CV &gt; 0)"), IF(AND(Q58&gt;0, R58&gt;0), IF(ROUND(T58,5)&lt;&gt;ROUND(W58,5), IF(AND(IFERROR(ROUND(V58,8),0)=0, IFERROR(ROUND(Y58,8),0)=0), "Group 1: Flaky | Passed (no variation: CV = 0) AND Failed (no variation: CV = 0) | Different Means", IF(AND(IFERROR(ROUND(V58,8),0)&gt;0, IFERROR(ROUND(Y58,8),0)&gt;0), "Group 2: Flaky | Passed (with variation: CV &gt; 0) AND Failed (with variation: CV &gt; 0) | Different Means", IF(AND(IFERROR(ROUND(V58,8),0)=0, IFERROR(ROUND(Y58,8),0)&gt;0), "Group 3: Flaky | Passed (no variation: CV = 0) AND Failed (with variation: CV &gt; 0) | Different Means", "Group 4: Flaky | Passed (with variation: CV &gt; 0) AND Failed (no variation: CV = 0) | Different Means"))), IF(AND(IFERROR(ROUND(V58,8),0)=0, IFERROR(ROUND(Y58,8),0)=0), "Group 5: Flaky | Passed (no var CV = 0) AND Failed (no var CV = 0) | Equal Means", IF(AND(IFERROR(ROUND(V58,8),0)&gt;0, IFERROR(ROUND(Y58,8),0)&gt;0), "Group 6: Flaky | Passed (with var CV &gt; 0) AND Failed (with var CV &gt; 0) | Equal Means", IF(AND(IFERROR(ROUND(V58,8),0)=0, IFERROR(ROUND(Y58,8),0)&gt;0),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58" s="29" t="n">
        <v>1.337046</v>
      </c>
      <c r="AB58" s="29" t="n">
        <v>0.065453</v>
      </c>
      <c r="AC58" s="29" t="n">
        <f aca="false">IFERROR(AB58/AA58*100,"N/A")</f>
        <v>4.89534391486905</v>
      </c>
      <c r="AD58" s="29" t="n">
        <v>2.076352</v>
      </c>
      <c r="AE58" s="29" t="n">
        <v>0.082304</v>
      </c>
      <c r="AF58" s="29" t="n">
        <f aca="false">IFERROR(AE58/AD58*100,"N/A")</f>
        <v>3.9638751040286</v>
      </c>
      <c r="AG58" s="36" t="str">
        <f aca="false">IF(AND(Q58&gt;0, R58=0), IF(IFERROR(ROUND(AC58,8),0)=0, "Group 9: Only Passed | Without variation (no var CV = 0)", "Group 10: Only Passed | With variation (with var CV &gt; 0)"), IF(AND(Q58=0, R58&gt;0), IF(IFERROR(ROUND(AF58,8),0)=0, "Group 11: Only Failed | Without variation (no var CV = 0)", "Group 12: Only Failed | With variation (with var CV &gt; 0)"), IF(AND(Q58&gt;0, R58&gt;0), IF(ROUND(AA58,5)&lt;&gt;ROUND(AD58,5), IF(AND(IFERROR(ROUND(AC58,8),0)=0, IFERROR(ROUND(AF58,8),0)=0), "Group 1: Flaky | Passed (no variation: CV = 0) AND Failed (no variation: CV = 0) | Different Means", IF(AND(IFERROR(ROUND(AC58,8),0)&gt;0, IFERROR(ROUND(AF58,8),0)&gt;0), "Group 2: Flaky | Passed (with variation: CV &gt; 0) AND Failed (with variation: CV &gt; 0) | Different Means", IF(AND(IFERROR(ROUND(AC58,8),0)=0, IFERROR(ROUND(AF58,8),0)&gt;0), "Group 3: Flaky | Passed (no variation: CV = 0) AND Failed (with variation: CV &gt; 0) | Different Means", "Group 4: Flaky | Passed (with variation: CV &gt; 0) AND Failed (no variation: CV = 0) | Different Means"))), IF(AND(IFERROR(ROUND(AC58,8),0)=0, IFERROR(ROUND(AF58,8),0)=0), "Group 5: Flaky | Passed (no var CV = 0) AND Failed (no var CV = 0) | Equal Means", IF(AND(IFERROR(ROUND(AC58,8),0)&gt;0, IFERROR(ROUND(AF58,8),0)&gt;0), "Group 6: Flaky | Passed (with var CV &gt; 0) AND Failed (with var CV &gt; 0) | Equal Means", IF(AND(IFERROR(ROUND(AC58,8),0)=0, IFERROR(ROUND(AF58,8),0)&gt;0),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58" s="22" t="n">
        <v>97</v>
      </c>
      <c r="AI58" s="17" t="n">
        <v>3</v>
      </c>
      <c r="AJ58" s="39" t="str">
        <f aca="false">IF(AND(AH58&gt;0, AI58&gt;0), "Observed Flaky Test", "Non-observed Flaky Test")</f>
        <v>Observed Flaky Test</v>
      </c>
      <c r="AK58" s="71" t="n">
        <v>108992.020618556</v>
      </c>
      <c r="AL58" s="34" t="n">
        <v>956.766407177728</v>
      </c>
      <c r="AM58" s="33" t="n">
        <f aca="false">IFERROR(AL58/AK58*100,"N/A")</f>
        <v>0.877831607990978</v>
      </c>
      <c r="AN58" s="33" t="n">
        <v>83550.3333333333</v>
      </c>
      <c r="AO58" s="33" t="n">
        <v>47687.2924827289</v>
      </c>
      <c r="AP58" s="35" t="n">
        <f aca="false">IFERROR(AO58/AN58*100,"N/A")</f>
        <v>57.0761247504246</v>
      </c>
      <c r="AQ58" s="63" t="str">
        <f aca="false">IF(AND(AH58&gt;0, AI58&gt;0),
    IF(ROUND(N(AK58),5)&lt;&gt;ROUND(N(AN58),5),
        IF(AND(ROUND(N(AL58),8)=0, ROUND(N(AO58),8)=0), "Group 1: Flaky | Passed (no variation: SD = 0) AND Failed (no variation: SD = 0) | Different Means",
        IF(AND(ROUND(N(AL58),8)&gt;0, ROUND(N(AO58),8)&gt;0), "Group 2: Flaky | Passed (with variation: SD &gt; 0) AND Failed (with variation: SD &gt; 0) | Different Means",
        IF(AND(ROUND(N(AL58),8)=0, ROUND(N(AO58),8)&gt;0), "Group 3: Flaky | Passed (no variation: SD = 0) AND Failed (with variation: SD &gt; 0) | Different Means",
        "Group 4: Flaky | Passed (with variation: SD &gt; 0) AND Failed (no variation: SD = 0) | Different Means"))),
        IF(AND(ROUND(N(AL58),8)=0, ROUND(N(AO58),8)=0), "Group 5: Flaky | Passed (no var SD = 0) AND Failed (no var SD = 0) | Equal Means",
        IF(AND(ROUND(N(AL58),8)&gt;0, ROUND(N(AO58),8)&gt;0), "Group 6: Flaky | Passed (with var SD &gt; 0 ) AND Failed (with var SD &gt; 0) | Equal Means",
        IF(AND(ROUND(N(AL58),8)=0, ROUND(N(AO58),8)&gt;0), "Group 7: Flaky | Passed (no var SD = 0) AND Failed (with var SD &gt; 0) | Equal Means",
        "Group 8: Flaky | Passed (with var SD &gt; 0 ) AND Failed (no var SD = 0) | Equal Means")))
    ),
    IF(AH58&gt;0,
        IF(N(AL58)&gt;0, "Group 10: Only Passed | With variation (with var SD &gt; 0)", "Group 9: Only Passed | Without variation (no var SD = 0)"),
        IF(AI58&gt;0,
            IF(N(AO58)&gt;0,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8" s="42" t="str">
        <f aca="false">IF(OR(F58="Observed Flaky Test", I58="Observed Flaky Test", S58="Observed Flaky Test", AJ58="Observed Flaky Test"), "Observed Flaky Test", "Non-observed Flaky Test")</f>
        <v>Observed Flaky Test</v>
      </c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</row>
    <row r="59" customFormat="false" ht="15.75" hidden="false" customHeight="true" outlineLevel="0" collapsed="false">
      <c r="A59" s="13"/>
      <c r="B59" s="14" t="s">
        <v>140</v>
      </c>
      <c r="C59" s="14" t="s">
        <v>141</v>
      </c>
      <c r="D59" s="15" t="n">
        <v>100</v>
      </c>
      <c r="E59" s="15" t="n">
        <v>0</v>
      </c>
      <c r="F59" s="16" t="str">
        <f aca="false">IF(AND(D59&gt;0, E59&gt;0), "Observed Flaky Test", "Non-observed Flaky Test")</f>
        <v>Non-observed Flaky Test</v>
      </c>
      <c r="G59" s="17" t="n">
        <v>93</v>
      </c>
      <c r="H59" s="17" t="n">
        <v>7</v>
      </c>
      <c r="I59" s="61" t="str">
        <f aca="false">IF(AND(G59&gt;0, H59&gt;0), "Observed Flaky Test", "Non-observed Flaky Test")</f>
        <v>Observed Flaky Test</v>
      </c>
      <c r="J59" s="53" t="n">
        <v>5.337204</v>
      </c>
      <c r="K59" s="53" t="n">
        <v>0.012731</v>
      </c>
      <c r="L59" s="19" t="n">
        <f aca="false">IFERROR(K59/J59*100,"N/A")</f>
        <v>0.23853313457758</v>
      </c>
      <c r="M59" s="53" t="n">
        <v>5.238571</v>
      </c>
      <c r="N59" s="53" t="n">
        <v>0.124605</v>
      </c>
      <c r="O59" s="20" t="n">
        <f aca="false">IFERROR(N59/M59*100,"N/A")</f>
        <v>2.37860668491465</v>
      </c>
      <c r="P59" s="62" t="str">
        <f aca="false">IF(AND(G59&gt;0, H59=0), IF(ROUND(K59,8)=0, "Group 9: Only Passed | Without variation (SD Passed = 0)", "Group 10: Only Passed | With variation (SD Passed &gt; 0)"), IF(AND(G59=0, H59&gt;0), IF(ROUND(N59,8)=0, "Group 11: Only Failed | Without variation (SD Failed = 0)", "Group 12: Only Failed | With variation (SD Failed &gt; 0)"), IF(AND(G59&gt;0, H59&gt;0), IF(ROUND(J59,5)&lt;&gt;ROUND(M59,5), IF(AND(ROUND(K59,8)=0, ROUND(N59,8)=0), "Group 1: Flaky | Passed (no variation) AND Failed (no variation) | Different Means", IF(AND(ROUND(K59,8)&gt;0, ROUND(N59,8)&gt;0), "Group 2: Flaky | Passed (with variation) AND Failed (with variation) | Different Means", IF(AND(ROUND(K59,8)=0, ROUND(N59,8)&gt;0), "Group 3: Flaky | Passed (no variation) AND Failed (with variation) | Different Means", "Group 4: Flaky | Passed (with variation) AND Failed (no variation) | Different Means"))), IF(AND(ROUND(K59,8)=0, ROUND(N59,8)=0), "Group 5: Flaky | Passed (no variation) AND Failed (no variation) | Equal Means", IF(AND(ROUND(K59,8)&gt;0, ROUND(N59,8)&gt;0), "Group 6: Flaky | Passed (with variation) AND Failed (with variation) | Equal Means", IF(AND(ROUND(K59,8)=0, ROUND(N59,8)&gt;0),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59" s="22" t="n">
        <v>90</v>
      </c>
      <c r="R59" s="22" t="n">
        <v>10</v>
      </c>
      <c r="S59" s="43" t="str">
        <f aca="false">IF(AND(Q59&gt;0, R59&gt;0), "Observed Flaky Test", "Non-observed Flaky Test")</f>
        <v>Observed Flaky Test</v>
      </c>
      <c r="T59" s="24" t="n">
        <v>1935102.644444</v>
      </c>
      <c r="U59" s="24" t="n">
        <v>2913.745982</v>
      </c>
      <c r="V59" s="25" t="n">
        <f aca="false">IFERROR(U59/T59*100,"N/A")</f>
        <v>0.1505732003605</v>
      </c>
      <c r="W59" s="55" t="n">
        <v>2835338.6</v>
      </c>
      <c r="X59" s="24" t="n">
        <v>615493.361992</v>
      </c>
      <c r="Y59" s="27" t="n">
        <f aca="false">IFERROR(X59/W59*100,"N/A")</f>
        <v>21.7079315321281</v>
      </c>
      <c r="Z59" s="68" t="str">
        <f aca="false">IF(AND(Q59&gt;0, R59=0), IF(IFERROR(ROUND(V59,8),0)=0, "Group 9: Only Passed | Without variation (no var CV = 0)", "Group 10: Only Passed | With variation (with var CV &gt; 0)"), IF(AND(Q59=0, R59&gt;0), IF(IFERROR(ROUND(Y59,8),0)=0, "Group 11: Only Failed | Without variation (no var CV = 0)", "Group 12: Only Failed | With variation (with var CV &gt; 0)"), IF(AND(Q59&gt;0, R59&gt;0), IF(ROUND(T59,5)&lt;&gt;ROUND(W59,5), IF(AND(IFERROR(ROUND(V59,8),0)=0, IFERROR(ROUND(Y59,8),0)=0), "Group 1: Flaky | Passed (no variation: CV = 0) AND Failed (no variation: CV = 0) | Different Means", IF(AND(IFERROR(ROUND(V59,8),0)&gt;0, IFERROR(ROUND(Y59,8),0)&gt;0), "Group 2: Flaky | Passed (with variation: CV &gt; 0) AND Failed (with variation: CV &gt; 0) | Different Means", IF(AND(IFERROR(ROUND(V59,8),0)=0, IFERROR(ROUND(Y59,8),0)&gt;0), "Group 3: Flaky | Passed (no variation: CV = 0) AND Failed (with variation: CV &gt; 0) | Different Means", "Group 4: Flaky | Passed (with variation: CV &gt; 0) AND Failed (no variation: CV = 0) | Different Means"))), IF(AND(IFERROR(ROUND(V59,8),0)=0, IFERROR(ROUND(Y59,8),0)=0), "Group 5: Flaky | Passed (no var CV = 0) AND Failed (no var CV = 0) | Equal Means", IF(AND(IFERROR(ROUND(V59,8),0)&gt;0, IFERROR(ROUND(Y59,8),0)&gt;0), "Group 6: Flaky | Passed (with var CV &gt; 0) AND Failed (with var CV &gt; 0) | Equal Means", IF(AND(IFERROR(ROUND(V59,8),0)=0, IFERROR(ROUND(Y59,8),0)&gt;0),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59" s="29" t="n">
        <v>1.344909</v>
      </c>
      <c r="AB59" s="29" t="n">
        <v>0.05644</v>
      </c>
      <c r="AC59" s="29" t="n">
        <f aca="false">IFERROR(AB59/AA59*100,"N/A")</f>
        <v>4.19656645914333</v>
      </c>
      <c r="AD59" s="29" t="n">
        <v>1.645622</v>
      </c>
      <c r="AE59" s="29" t="n">
        <v>0.27247</v>
      </c>
      <c r="AF59" s="29" t="n">
        <f aca="false">IFERROR(AE59/AD59*100,"N/A")</f>
        <v>16.5572652772022</v>
      </c>
      <c r="AG59" s="36" t="str">
        <f aca="false">IF(AND(Q59&gt;0, R59=0), IF(IFERROR(ROUND(AC59,8),0)=0, "Group 9: Only Passed | Without variation (no var CV = 0)", "Group 10: Only Passed | With variation (with var CV &gt; 0)"), IF(AND(Q59=0, R59&gt;0), IF(IFERROR(ROUND(AF59,8),0)=0, "Group 11: Only Failed | Without variation (no var CV = 0)", "Group 12: Only Failed | With variation (with var CV &gt; 0)"), IF(AND(Q59&gt;0, R59&gt;0), IF(ROUND(AA59,5)&lt;&gt;ROUND(AD59,5), IF(AND(IFERROR(ROUND(AC59,8),0)=0, IFERROR(ROUND(AF59,8),0)=0), "Group 1: Flaky | Passed (no variation: CV = 0) AND Failed (no variation: CV = 0) | Different Means", IF(AND(IFERROR(ROUND(AC59,8),0)&gt;0, IFERROR(ROUND(AF59,8),0)&gt;0), "Group 2: Flaky | Passed (with variation: CV &gt; 0) AND Failed (with variation: CV &gt; 0) | Different Means", IF(AND(IFERROR(ROUND(AC59,8),0)=0, IFERROR(ROUND(AF59,8),0)&gt;0), "Group 3: Flaky | Passed (no variation: CV = 0) AND Failed (with variation: CV &gt; 0) | Different Means", "Group 4: Flaky | Passed (with variation: CV &gt; 0) AND Failed (no variation: CV = 0) | Different Means"))), IF(AND(IFERROR(ROUND(AC59,8),0)=0, IFERROR(ROUND(AF59,8),0)=0), "Group 5: Flaky | Passed (no var CV = 0) AND Failed (no var CV = 0) | Equal Means", IF(AND(IFERROR(ROUND(AC59,8),0)&gt;0, IFERROR(ROUND(AF59,8),0)&gt;0), "Group 6: Flaky | Passed (with var CV &gt; 0) AND Failed (with var CV &gt; 0) | Equal Means", IF(AND(IFERROR(ROUND(AC59,8),0)=0, IFERROR(ROUND(AF59,8),0)&gt;0),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59" s="22" t="n">
        <v>76</v>
      </c>
      <c r="AI59" s="17" t="n">
        <v>24</v>
      </c>
      <c r="AJ59" s="39" t="str">
        <f aca="false">IF(AND(AH59&gt;0, AI59&gt;0), "Observed Flaky Test", "Non-observed Flaky Test")</f>
        <v>Observed Flaky Test</v>
      </c>
      <c r="AK59" s="71" t="n">
        <v>194682.802631578</v>
      </c>
      <c r="AL59" s="33" t="n">
        <v>11074.5344883593</v>
      </c>
      <c r="AM59" s="33" t="n">
        <f aca="false">IFERROR(AL59/AK59*100,"N/A")</f>
        <v>5.68850167485877</v>
      </c>
      <c r="AN59" s="71" t="n">
        <v>113223.666666666</v>
      </c>
      <c r="AO59" s="33" t="n">
        <v>55583.7544210197</v>
      </c>
      <c r="AP59" s="35" t="n">
        <f aca="false">IFERROR(AO59/AN59*100,"N/A")</f>
        <v>49.0919929175762</v>
      </c>
      <c r="AQ59" s="63" t="str">
        <f aca="false">IF(AND(AH59&gt;0, AI59&gt;0),
    IF(ROUND(N(AK59),5)&lt;&gt;ROUND(N(AN59),5),
        IF(AND(ROUND(N(AL59),8)=0, ROUND(N(AO59),8)=0), "Group 1: Flaky | Passed (no variation: SD = 0) AND Failed (no variation: SD = 0) | Different Means",
        IF(AND(ROUND(N(AL59),8)&gt;0, ROUND(N(AO59),8)&gt;0), "Group 2: Flaky | Passed (with variation: SD &gt; 0) AND Failed (with variation: SD &gt; 0) | Different Means",
        IF(AND(ROUND(N(AL59),8)=0, ROUND(N(AO59),8)&gt;0), "Group 3: Flaky | Passed (no variation: SD = 0) AND Failed (with variation: SD &gt; 0) | Different Means",
        "Group 4: Flaky | Passed (with variation: SD &gt; 0) AND Failed (no variation: SD = 0) | Different Means"))),
        IF(AND(ROUND(N(AL59),8)=0, ROUND(N(AO59),8)=0), "Group 5: Flaky | Passed (no var SD = 0) AND Failed (no var SD = 0) | Equal Means",
        IF(AND(ROUND(N(AL59),8)&gt;0, ROUND(N(AO59),8)&gt;0), "Group 6: Flaky | Passed (with var SD &gt; 0 ) AND Failed (with var SD &gt; 0) | Equal Means",
        IF(AND(ROUND(N(AL59),8)=0, ROUND(N(AO59),8)&gt;0), "Group 7: Flaky | Passed (no var SD = 0) AND Failed (with var SD &gt; 0) | Equal Means",
        "Group 8: Flaky | Passed (with var SD &gt; 0 ) AND Failed (no var SD = 0) | Equal Means")))
    ),
    IF(AH59&gt;0,
        IF(N(AL59)&gt;0, "Group 10: Only Passed | With variation (with var SD &gt; 0)", "Group 9: Only Passed | Without variation (no var SD = 0)"),
        IF(AI59&gt;0,
            IF(N(AO59)&gt;0,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59" s="42" t="str">
        <f aca="false">IF(OR(F59="Observed Flaky Test", I59="Observed Flaky Test", S59="Observed Flaky Test", AJ59="Observed Flaky Test"), "Observed Flaky Test", "Non-observed Flaky Test")</f>
        <v>Observed Flaky Test</v>
      </c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customFormat="false" ht="15.75" hidden="false" customHeight="true" outlineLevel="0" collapsed="false">
      <c r="A60" s="13"/>
      <c r="B60" s="14" t="s">
        <v>142</v>
      </c>
      <c r="C60" s="14" t="s">
        <v>143</v>
      </c>
      <c r="D60" s="15" t="n">
        <v>100</v>
      </c>
      <c r="E60" s="15" t="n">
        <v>0</v>
      </c>
      <c r="F60" s="16" t="str">
        <f aca="false">IF(AND(D60&gt;0, E60&gt;0), "Observed Flaky Test", "Non-observed Flaky Test")</f>
        <v>Non-observed Flaky Test</v>
      </c>
      <c r="G60" s="17" t="n">
        <v>84</v>
      </c>
      <c r="H60" s="17" t="n">
        <v>16</v>
      </c>
      <c r="I60" s="61" t="str">
        <f aca="false">IF(AND(G60&gt;0, H60&gt;0), "Observed Flaky Test", "Non-observed Flaky Test")</f>
        <v>Observed Flaky Test</v>
      </c>
      <c r="J60" s="53" t="n">
        <v>5.346667</v>
      </c>
      <c r="K60" s="53" t="n">
        <v>0.004714</v>
      </c>
      <c r="L60" s="19" t="n">
        <f aca="false">IFERROR(K60/J60*100,"N/A")</f>
        <v>0.0881670767975638</v>
      </c>
      <c r="M60" s="53" t="n">
        <v>5.225625</v>
      </c>
      <c r="N60" s="47" t="n">
        <v>0.19118</v>
      </c>
      <c r="O60" s="20" t="n">
        <f aca="false">IFERROR(N60/M60*100,"N/A")</f>
        <v>3.65850974763784</v>
      </c>
      <c r="P60" s="62" t="str">
        <f aca="false">IF(AND(G60&gt;0, H60=0), IF(ROUND(K60,8)=0, "Group 9: Only Passed | Without variation (SD Passed = 0)", "Group 10: Only Passed | With variation (SD Passed &gt; 0)"), IF(AND(G60=0, H60&gt;0), IF(ROUND(N60,8)=0, "Group 11: Only Failed | Without variation (SD Failed = 0)", "Group 12: Only Failed | With variation (SD Failed &gt; 0)"), IF(AND(G60&gt;0, H60&gt;0), IF(ROUND(J60,5)&lt;&gt;ROUND(M60,5), IF(AND(ROUND(K60,8)=0, ROUND(N60,8)=0), "Group 1: Flaky | Passed (no variation) AND Failed (no variation) | Different Means", IF(AND(ROUND(K60,8)&gt;0, ROUND(N60,8)&gt;0), "Group 2: Flaky | Passed (with variation) AND Failed (with variation) | Different Means", IF(AND(ROUND(K60,8)=0, ROUND(N60,8)&gt;0), "Group 3: Flaky | Passed (no variation) AND Failed (with variation) | Different Means", "Group 4: Flaky | Passed (with variation) AND Failed (no variation) | Different Means"))), IF(AND(ROUND(K60,8)=0, ROUND(N60,8)=0), "Group 5: Flaky | Passed (no variation) AND Failed (no variation) | Equal Means", IF(AND(ROUND(K60,8)&gt;0, ROUND(N60,8)&gt;0), "Group 6: Flaky | Passed (with variation) AND Failed (with variation) | Equal Means", IF(AND(ROUND(K60,8)=0, ROUND(N60,8)&gt;0),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60" s="22" t="n">
        <v>71</v>
      </c>
      <c r="R60" s="22" t="n">
        <v>29</v>
      </c>
      <c r="S60" s="43" t="str">
        <f aca="false">IF(AND(Q60&gt;0, R60&gt;0), "Observed Flaky Test", "Non-observed Flaky Test")</f>
        <v>Observed Flaky Test</v>
      </c>
      <c r="T60" s="24" t="n">
        <v>2000085.253521</v>
      </c>
      <c r="U60" s="26" t="n">
        <v>4407.258995</v>
      </c>
      <c r="V60" s="25" t="n">
        <f aca="false">IFERROR(U60/T60*100,"N/A")</f>
        <v>0.220353556791709</v>
      </c>
      <c r="W60" s="24" t="n">
        <v>2620628.724138</v>
      </c>
      <c r="X60" s="24" t="n">
        <v>468579.221032</v>
      </c>
      <c r="Y60" s="27" t="n">
        <f aca="false">IFERROR(X60/W60*100,"N/A")</f>
        <v>17.8804123115963</v>
      </c>
      <c r="Z60" s="68" t="str">
        <f aca="false">IF(AND(Q60&gt;0, R60=0), IF(IFERROR(ROUND(V60,8),0)=0, "Group 9: Only Passed | Without variation (no var CV = 0)", "Group 10: Only Passed | With variation (with var CV &gt; 0)"), IF(AND(Q60=0, R60&gt;0), IF(IFERROR(ROUND(Y60,8),0)=0, "Group 11: Only Failed | Without variation (no var CV = 0)", "Group 12: Only Failed | With variation (with var CV &gt; 0)"), IF(AND(Q60&gt;0, R60&gt;0), IF(ROUND(T60,5)&lt;&gt;ROUND(W60,5), IF(AND(IFERROR(ROUND(V60,8),0)=0, IFERROR(ROUND(Y60,8),0)=0), "Group 1: Flaky | Passed (no variation: CV = 0) AND Failed (no variation: CV = 0) | Different Means", IF(AND(IFERROR(ROUND(V60,8),0)&gt;0, IFERROR(ROUND(Y60,8),0)&gt;0), "Group 2: Flaky | Passed (with variation: CV &gt; 0) AND Failed (with variation: CV &gt; 0) | Different Means", IF(AND(IFERROR(ROUND(V60,8),0)=0, IFERROR(ROUND(Y60,8),0)&gt;0), "Group 3: Flaky | Passed (no variation: CV = 0) AND Failed (with variation: CV &gt; 0) | Different Means", "Group 4: Flaky | Passed (with variation: CV &gt; 0) AND Failed (no variation: CV = 0) | Different Means"))), IF(AND(IFERROR(ROUND(V60,8),0)=0, IFERROR(ROUND(Y60,8),0)=0), "Group 5: Flaky | Passed (no var CV = 0) AND Failed (no var CV = 0) | Equal Means", IF(AND(IFERROR(ROUND(V60,8),0)&gt;0, IFERROR(ROUND(Y60,8),0)&gt;0), "Group 6: Flaky | Passed (with var CV &gt; 0) AND Failed (with var CV &gt; 0) | Equal Means", IF(AND(IFERROR(ROUND(V60,8),0)=0, IFERROR(ROUND(Y60,8),0)&gt;0),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60" s="29" t="n">
        <v>1.428487</v>
      </c>
      <c r="AB60" s="29" t="n">
        <v>0.047376</v>
      </c>
      <c r="AC60" s="29" t="n">
        <f aca="false">IFERROR(AB60/AA60*100,"N/A")</f>
        <v>3.31651600609596</v>
      </c>
      <c r="AD60" s="29" t="n">
        <v>1.605123</v>
      </c>
      <c r="AE60" s="29" t="n">
        <v>0.211257</v>
      </c>
      <c r="AF60" s="29" t="n">
        <f aca="false">IFERROR(AE60/AD60*100,"N/A")</f>
        <v>13.1614212742575</v>
      </c>
      <c r="AG60" s="36" t="str">
        <f aca="false">IF(AND(Q60&gt;0, R60=0), IF(IFERROR(ROUND(AC60,8),0)=0, "Group 9: Only Passed | Without variation (no var CV = 0)", "Group 10: Only Passed | With variation (with var CV &gt; 0)"), IF(AND(Q60=0, R60&gt;0), IF(IFERROR(ROUND(AF60,8),0)=0, "Group 11: Only Failed | Without variation (no var CV = 0)", "Group 12: Only Failed | With variation (with var CV &gt; 0)"), IF(AND(Q60&gt;0, R60&gt;0), IF(ROUND(AA60,5)&lt;&gt;ROUND(AD60,5), IF(AND(IFERROR(ROUND(AC60,8),0)=0, IFERROR(ROUND(AF60,8),0)=0), "Group 1: Flaky | Passed (no variation: CV = 0) AND Failed (no variation: CV = 0) | Different Means", IF(AND(IFERROR(ROUND(AC60,8),0)&gt;0, IFERROR(ROUND(AF60,8),0)&gt;0), "Group 2: Flaky | Passed (with variation: CV &gt; 0) AND Failed (with variation: CV &gt; 0) | Different Means", IF(AND(IFERROR(ROUND(AC60,8),0)=0, IFERROR(ROUND(AF60,8),0)&gt;0), "Group 3: Flaky | Passed (no variation: CV = 0) AND Failed (with variation: CV &gt; 0) | Different Means", "Group 4: Flaky | Passed (with variation: CV &gt; 0) AND Failed (no variation: CV = 0) | Different Means"))), IF(AND(IFERROR(ROUND(AC60,8),0)=0, IFERROR(ROUND(AF60,8),0)=0), "Group 5: Flaky | Passed (no var CV = 0) AND Failed (no var CV = 0) | Equal Means", IF(AND(IFERROR(ROUND(AC60,8),0)&gt;0, IFERROR(ROUND(AF60,8),0)&gt;0), "Group 6: Flaky | Passed (with var CV &gt; 0) AND Failed (with var CV &gt; 0) | Equal Means", IF(AND(IFERROR(ROUND(AC60,8),0)=0, IFERROR(ROUND(AF60,8),0)&gt;0),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60" s="22" t="n">
        <v>40</v>
      </c>
      <c r="AI60" s="17" t="n">
        <v>60</v>
      </c>
      <c r="AJ60" s="39" t="str">
        <f aca="false">IF(AND(AH60&gt;0, AI60&gt;0), "Observed Flaky Test", "Non-observed Flaky Test")</f>
        <v>Observed Flaky Test</v>
      </c>
      <c r="AK60" s="32" t="n">
        <v>424651.55</v>
      </c>
      <c r="AL60" s="57" t="n">
        <v>5674.58036379151</v>
      </c>
      <c r="AM60" s="33" t="n">
        <f aca="false">IFERROR(AL60/AK60*100,"N/A")</f>
        <v>1.33629098110946</v>
      </c>
      <c r="AN60" s="71" t="n">
        <v>280660.033333333</v>
      </c>
      <c r="AO60" s="71" t="n">
        <v>115991.247683836</v>
      </c>
      <c r="AP60" s="35" t="n">
        <f aca="false">IFERROR(AO60/AN60*100,"N/A")</f>
        <v>41.3280246233264</v>
      </c>
      <c r="AQ60" s="63" t="str">
        <f aca="false">IF(AND(AH60&gt;0, AI60&gt;0),
    IF(ROUND(N(AK60),5)&lt;&gt;ROUND(N(AN60),5),
        IF(AND(ROUND(N(AL60),8)=0, ROUND(N(AO60),8)=0), "Group 1: Flaky | Passed (no variation: SD = 0) AND Failed (no variation: SD = 0) | Different Means",
        IF(AND(ROUND(N(AL60),8)&gt;0, ROUND(N(AO60),8)&gt;0), "Group 2: Flaky | Passed (with variation: SD &gt; 0) AND Failed (with variation: SD &gt; 0) | Different Means",
        IF(AND(ROUND(N(AL60),8)=0, ROUND(N(AO60),8)&gt;0), "Group 3: Flaky | Passed (no variation: SD = 0) AND Failed (with variation: SD &gt; 0) | Different Means",
        "Group 4: Flaky | Passed (with variation: SD &gt; 0) AND Failed (no variation: SD = 0) | Different Means"))),
        IF(AND(ROUND(N(AL60),8)=0, ROUND(N(AO60),8)=0), "Group 5: Flaky | Passed (no var SD = 0) AND Failed (no var SD = 0) | Equal Means",
        IF(AND(ROUND(N(AL60),8)&gt;0, ROUND(N(AO60),8)&gt;0), "Group 6: Flaky | Passed (with var SD &gt; 0 ) AND Failed (with var SD &gt; 0) | Equal Means",
        IF(AND(ROUND(N(AL60),8)=0, ROUND(N(AO60),8)&gt;0), "Group 7: Flaky | Passed (no var SD = 0) AND Failed (with var SD &gt; 0) | Equal Means",
        "Group 8: Flaky | Passed (with var SD &gt; 0 ) AND Failed (no var SD = 0) | Equal Means")))
    ),
    IF(AH60&gt;0,
        IF(N(AL60)&gt;0, "Group 10: Only Passed | With variation (with var SD &gt; 0)", "Group 9: Only Passed | Without variation (no var SD = 0)"),
        IF(AI60&gt;0,
            IF(N(AO60)&gt;0,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60" s="42" t="str">
        <f aca="false">IF(OR(F60="Observed Flaky Test", I60="Observed Flaky Test", S60="Observed Flaky Test", AJ60="Observed Flaky Test"), "Observed Flaky Test", "Non-observed Flaky Test")</f>
        <v>Observed Flaky Test</v>
      </c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customFormat="false" ht="15.75" hidden="false" customHeight="true" outlineLevel="0" collapsed="false">
      <c r="A61" s="13"/>
      <c r="B61" s="14" t="s">
        <v>144</v>
      </c>
      <c r="C61" s="14" t="s">
        <v>145</v>
      </c>
      <c r="D61" s="15" t="n">
        <v>100</v>
      </c>
      <c r="E61" s="15" t="n">
        <v>0</v>
      </c>
      <c r="F61" s="16" t="str">
        <f aca="false">IF(AND(D61&gt;0, E61&gt;0), "Observed Flaky Test", "Non-observed Flaky Test")</f>
        <v>Non-observed Flaky Test</v>
      </c>
      <c r="G61" s="17" t="n">
        <v>100</v>
      </c>
      <c r="H61" s="17" t="n">
        <v>0</v>
      </c>
      <c r="I61" s="16" t="str">
        <f aca="false">IF(AND(G61&gt;0, H61&gt;0), "Observed Flaky Test", "Non-observed Flaky Test")</f>
        <v>Non-observed Flaky Test</v>
      </c>
      <c r="J61" s="18" t="n">
        <v>4.87</v>
      </c>
      <c r="K61" s="18" t="n">
        <v>0</v>
      </c>
      <c r="L61" s="19" t="n">
        <f aca="false">IFERROR(K61/J61*100,"N/A")</f>
        <v>0</v>
      </c>
      <c r="M61" s="18" t="n">
        <v>0</v>
      </c>
      <c r="N61" s="18" t="n">
        <v>0</v>
      </c>
      <c r="O61" s="20" t="str">
        <f aca="false">IFERROR(N61/M61*100,"N/A")</f>
        <v>N/A</v>
      </c>
      <c r="P61" s="56" t="str">
        <f aca="false">IF(AND(G61&gt;0, H61=0), IF(ROUND(K61,8)=0, "Group 9: Only Passed | Without variation (SD Passed = 0)", "Group 10: Only Passed | With variation (SD Passed &gt; 0)"), IF(AND(G61=0, H61&gt;0), IF(ROUND(N61,8)=0, "Group 11: Only Failed | Without variation (SD Failed = 0)", "Group 12: Only Failed | With variation (SD Failed &gt; 0)"), IF(AND(G61&gt;0, H61&gt;0), IF(ROUND(J61,5)&lt;&gt;ROUND(M61,5), IF(AND(ROUND(K61,8)=0, ROUND(N61,8)=0), "Group 1: Flaky | Passed (no variation) AND Failed (no variation) | Different Means", IF(AND(ROUND(K61,8)&gt;0, ROUND(N61,8)&gt;0), "Group 2: Flaky | Passed (with variation) AND Failed (with variation) | Different Means", IF(AND(ROUND(K61,8)=0, ROUND(N61,8)&gt;0), "Group 3: Flaky | Passed (no variation) AND Failed (with variation) | Different Means", "Group 4: Flaky | Passed (with variation) AND Failed (no variation) | Different Means"))), IF(AND(ROUND(K61,8)=0, ROUND(N61,8)=0), "Group 5: Flaky | Passed (no variation) AND Failed (no variation) | Equal Means", IF(AND(ROUND(K61,8)&gt;0, ROUND(N61,8)&gt;0), "Group 6: Flaky | Passed (with variation) AND Failed (with variation) | Equal Means", IF(AND(ROUND(K61,8)=0, ROUND(N61,8)&gt;0),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61" s="22" t="n">
        <v>100</v>
      </c>
      <c r="R61" s="22" t="n">
        <v>0</v>
      </c>
      <c r="S61" s="23" t="str">
        <f aca="false">IF(AND(Q61&gt;0, R61&gt;0), "Observed Flaky Test", "Non-observed Flaky Test")</f>
        <v>Non-observed Flaky Test</v>
      </c>
      <c r="T61" s="22" t="n">
        <v>1888697.21</v>
      </c>
      <c r="U61" s="24" t="n">
        <v>1513.245728</v>
      </c>
      <c r="V61" s="25" t="n">
        <f aca="false">IFERROR(U61/T61*100,"N/A")</f>
        <v>0.0801211395870067</v>
      </c>
      <c r="W61" s="22" t="n">
        <v>0</v>
      </c>
      <c r="X61" s="22" t="n">
        <v>0</v>
      </c>
      <c r="Y61" s="27" t="str">
        <f aca="false">IFERROR(X61/W61*100,"N/A")</f>
        <v>N/A</v>
      </c>
      <c r="Z61" s="50" t="str">
        <f aca="false">IF(AND(Q61&gt;0, R61=0), IF(IFERROR(ROUND(V61,8),0)=0, "Group 9: Only Passed | Without variation (no var CV = 0)", "Group 10: Only Passed | With variation (with var CV &gt; 0)"), IF(AND(Q61=0, R61&gt;0), IF(IFERROR(ROUND(Y61,8),0)=0, "Group 11: Only Failed | Without variation (no var CV = 0)", "Group 12: Only Failed | With variation (with var CV &gt; 0)"), IF(AND(Q61&gt;0, R61&gt;0), IF(ROUND(T61,5)&lt;&gt;ROUND(W61,5), IF(AND(IFERROR(ROUND(V61,8),0)=0, IFERROR(ROUND(Y61,8),0)=0), "Group 1: Flaky | Passed (no variation: CV = 0) AND Failed (no variation: CV = 0) | Different Means", IF(AND(IFERROR(ROUND(V61,8),0)&gt;0, IFERROR(ROUND(Y61,8),0)&gt;0), "Group 2: Flaky | Passed (with variation: CV &gt; 0) AND Failed (with variation: CV &gt; 0) | Different Means", IF(AND(IFERROR(ROUND(V61,8),0)=0, IFERROR(ROUND(Y61,8),0)&gt;0), "Group 3: Flaky | Passed (no variation: CV = 0) AND Failed (with variation: CV &gt; 0) | Different Means", "Group 4: Flaky | Passed (with variation: CV &gt; 0) AND Failed (no variation: CV = 0) | Different Means"))), IF(AND(IFERROR(ROUND(V61,8),0)=0, IFERROR(ROUND(Y61,8),0)=0), "Group 5: Flaky | Passed (no var CV = 0) AND Failed (no var CV = 0) | Equal Means", IF(AND(IFERROR(ROUND(V61,8),0)&gt;0, IFERROR(ROUND(Y61,8),0)&gt;0), "Group 6: Flaky | Passed (with var CV &gt; 0) AND Failed (with var CV &gt; 0) | Equal Means", IF(AND(IFERROR(ROUND(V61,8),0)=0, IFERROR(ROUND(Y61,8),0)&gt;0),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61" s="29" t="n">
        <v>1.30399</v>
      </c>
      <c r="AB61" s="29" t="n">
        <v>0.060434</v>
      </c>
      <c r="AC61" s="29" t="n">
        <f aca="false">IFERROR(AB61/AA61*100,"N/A")</f>
        <v>4.63454474344128</v>
      </c>
      <c r="AD61" s="29" t="n">
        <v>0</v>
      </c>
      <c r="AE61" s="29" t="n">
        <v>0</v>
      </c>
      <c r="AF61" s="29" t="str">
        <f aca="false">IFERROR(AE61/AD61*100,"N/A")</f>
        <v>N/A</v>
      </c>
      <c r="AG61" s="51" t="str">
        <f aca="false">IF(AND(Q61&gt;0, R61=0), IF(IFERROR(ROUND(AC61,8),0)=0, "Group 9: Only Passed | Without variation (no var CV = 0)", "Group 10: Only Passed | With variation (with var CV &gt; 0)"), IF(AND(Q61=0, R61&gt;0), IF(IFERROR(ROUND(AF61,8),0)=0, "Group 11: Only Failed | Without variation (no var CV = 0)", "Group 12: Only Failed | With variation (with var CV &gt; 0)"), IF(AND(Q61&gt;0, R61&gt;0), IF(ROUND(AA61,5)&lt;&gt;ROUND(AD61,5), IF(AND(IFERROR(ROUND(AC61,8),0)=0, IFERROR(ROUND(AF61,8),0)=0), "Group 1: Flaky | Passed (no variation: CV = 0) AND Failed (no variation: CV = 0) | Different Means", IF(AND(IFERROR(ROUND(AC61,8),0)&gt;0, IFERROR(ROUND(AF61,8),0)&gt;0), "Group 2: Flaky | Passed (with variation: CV &gt; 0) AND Failed (with variation: CV &gt; 0) | Different Means", IF(AND(IFERROR(ROUND(AC61,8),0)=0, IFERROR(ROUND(AF61,8),0)&gt;0), "Group 3: Flaky | Passed (no variation: CV = 0) AND Failed (with variation: CV &gt; 0) | Different Means", "Group 4: Flaky | Passed (with variation: CV &gt; 0) AND Failed (no variation: CV = 0) | Different Means"))), IF(AND(IFERROR(ROUND(AC61,8),0)=0, IFERROR(ROUND(AF61,8),0)=0), "Group 5: Flaky | Passed (no var CV = 0) AND Failed (no var CV = 0) | Equal Means", IF(AND(IFERROR(ROUND(AC61,8),0)&gt;0, IFERROR(ROUND(AF61,8),0)&gt;0), "Group 6: Flaky | Passed (with var CV &gt; 0) AND Failed (with var CV &gt; 0) | Equal Means", IF(AND(IFERROR(ROUND(AC61,8),0)=0, IFERROR(ROUND(AF61,8),0)&gt;0),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61" s="22" t="n">
        <v>100</v>
      </c>
      <c r="AI61" s="17" t="n">
        <v>0</v>
      </c>
      <c r="AJ61" s="31" t="str">
        <f aca="false">IF(AND(AH61&gt;0, AI61&gt;0), "Observed Flaky Test", "Non-observed Flaky Test")</f>
        <v>Non-observed Flaky Test</v>
      </c>
      <c r="AK61" s="32" t="n">
        <v>83168.52</v>
      </c>
      <c r="AL61" s="57" t="n">
        <v>2274.57805824075</v>
      </c>
      <c r="AM61" s="33" t="n">
        <f aca="false">IFERROR(AL61/AK61*100,"N/A")</f>
        <v>2.73490265095585</v>
      </c>
      <c r="AN61" s="32" t="n">
        <v>0</v>
      </c>
      <c r="AO61" s="32" t="n">
        <v>0</v>
      </c>
      <c r="AP61" s="35" t="str">
        <f aca="false">IFERROR(AO61/AN61*100,"N/A")</f>
        <v>N/A</v>
      </c>
      <c r="AQ61" s="52" t="str">
        <f aca="false">IF(AND(AH61&gt;0, AI61&gt;0),
    IF(ROUND(N(AK61),5)&lt;&gt;ROUND(N(AN61),5),
        IF(AND(ROUND(N(AL61),8)=0, ROUND(N(AO61),8)=0), "Group 1: Flaky | Passed (no variation: SD = 0) AND Failed (no variation: SD = 0) | Different Means",
        IF(AND(ROUND(N(AL61),8)&gt;0, ROUND(N(AO61),8)&gt;0), "Group 2: Flaky | Passed (with variation: SD &gt; 0) AND Failed (with variation: SD &gt; 0) | Different Means",
        IF(AND(ROUND(N(AL61),8)=0, ROUND(N(AO61),8)&gt;0), "Group 3: Flaky | Passed (no variation: SD = 0) AND Failed (with variation: SD &gt; 0) | Different Means",
        "Group 4: Flaky | Passed (with variation: SD &gt; 0) AND Failed (no variation: SD = 0) | Different Means"))),
        IF(AND(ROUND(N(AL61),8)=0, ROUND(N(AO61),8)=0), "Group 5: Flaky | Passed (no var SD = 0) AND Failed (no var SD = 0) | Equal Means",
        IF(AND(ROUND(N(AL61),8)&gt;0, ROUND(N(AO61),8)&gt;0), "Group 6: Flaky | Passed (with var SD &gt; 0 ) AND Failed (with var SD &gt; 0) | Equal Means",
        IF(AND(ROUND(N(AL61),8)=0, ROUND(N(AO61),8)&gt;0), "Group 7: Flaky | Passed (no var SD = 0) AND Failed (with var SD &gt; 0) | Equal Means",
        "Group 8: Flaky | Passed (with var SD &gt; 0 ) AND Failed (no var SD = 0) | Equal Means")))
    ),
    IF(AH61&gt;0,
        IF(N(AL61)&gt;0, "Group 10: Only Passed | With variation (with var SD &gt; 0)", "Group 9: Only Passed | Without variation (no var SD = 0)"),
        IF(AI61&gt;0,
            IF(N(AO61)&gt;0,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61" s="37" t="str">
        <f aca="false">IF(OR(F61="Observed Flaky Test", I61="Observed Flaky Test", S61="Observed Flaky Test", AJ61="Observed Flaky Test"), "Observed Flaky Test", "Non-observed Flaky Test")</f>
        <v>Non-observed Flaky Test</v>
      </c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</row>
    <row r="62" customFormat="false" ht="15.75" hidden="false" customHeight="true" outlineLevel="0" collapsed="false">
      <c r="A62" s="13"/>
      <c r="B62" s="14" t="s">
        <v>146</v>
      </c>
      <c r="C62" s="14" t="s">
        <v>147</v>
      </c>
      <c r="D62" s="15" t="n">
        <v>100</v>
      </c>
      <c r="E62" s="15" t="n">
        <v>0</v>
      </c>
      <c r="F62" s="16" t="str">
        <f aca="false">IF(AND(D62&gt;0, E62&gt;0), "Observed Flaky Test", "Non-observed Flaky Test")</f>
        <v>Non-observed Flaky Test</v>
      </c>
      <c r="G62" s="17" t="n">
        <v>95</v>
      </c>
      <c r="H62" s="17" t="n">
        <v>5</v>
      </c>
      <c r="I62" s="61" t="str">
        <f aca="false">IF(AND(G62&gt;0, H62&gt;0), "Observed Flaky Test", "Non-observed Flaky Test")</f>
        <v>Observed Flaky Test</v>
      </c>
      <c r="J62" s="18" t="n">
        <v>5.18</v>
      </c>
      <c r="K62" s="18" t="n">
        <v>0</v>
      </c>
      <c r="L62" s="19" t="n">
        <f aca="false">IFERROR(K62/J62*100,"N/A")</f>
        <v>0</v>
      </c>
      <c r="M62" s="18" t="n">
        <v>5.2</v>
      </c>
      <c r="N62" s="18" t="n">
        <v>0</v>
      </c>
      <c r="O62" s="20" t="n">
        <f aca="false">IFERROR(N62/M62*100,"N/A")</f>
        <v>0</v>
      </c>
      <c r="P62" s="78" t="str">
        <f aca="false">IF(AND(G62&gt;0, H62=0), IF(ROUND(K62,8)=0, "Group 9: Only Passed | Without variation (SD Passed = 0)", "Group 10: Only Passed | With variation (SD Passed &gt; 0)"), IF(AND(G62=0, H62&gt;0), IF(ROUND(N62,8)=0, "Group 11: Only Failed | Without variation (SD Failed = 0)", "Group 12: Only Failed | With variation (SD Failed &gt; 0)"), IF(AND(G62&gt;0, H62&gt;0), IF(ROUND(J62,5)&lt;&gt;ROUND(M62,5), IF(AND(ROUND(K62,8)=0, ROUND(N62,8)=0), "Group 1: Flaky | Passed (no variation) AND Failed (no variation) | Different Means", IF(AND(ROUND(K62,8)&gt;0, ROUND(N62,8)&gt;0), "Group 2: Flaky | Passed (with variation) AND Failed (with variation) | Different Means", IF(AND(ROUND(K62,8)=0, ROUND(N62,8)&gt;0), "Group 3: Flaky | Passed (no variation) AND Failed (with variation) | Different Means", "Group 4: Flaky | Passed (with variation) AND Failed (no variation) | Different Means"))), IF(AND(ROUND(K62,8)=0, ROUND(N62,8)=0), "Group 5: Flaky | Passed (no variation) AND Failed (no variation) | Equal Means", IF(AND(ROUND(K62,8)&gt;0, ROUND(N62,8)&gt;0), "Group 6: Flaky | Passed (with variation) AND Failed (with variation) | Equal Means", IF(AND(ROUND(K62,8)=0, ROUND(N62,8)&gt;0),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62" s="22" t="n">
        <v>97</v>
      </c>
      <c r="R62" s="22" t="n">
        <v>3</v>
      </c>
      <c r="S62" s="43" t="str">
        <f aca="false">IF(AND(Q62&gt;0, R62&gt;0), "Observed Flaky Test", "Non-observed Flaky Test")</f>
        <v>Observed Flaky Test</v>
      </c>
      <c r="T62" s="26" t="n">
        <v>1908758.484536</v>
      </c>
      <c r="U62" s="24" t="n">
        <v>88.884419</v>
      </c>
      <c r="V62" s="25" t="n">
        <f aca="false">IFERROR(U62/T62*100,"N/A")</f>
        <v>0.00465666137021033</v>
      </c>
      <c r="W62" s="26" t="n">
        <v>2753534.333333</v>
      </c>
      <c r="X62" s="24" t="n">
        <v>88.714899</v>
      </c>
      <c r="Y62" s="27" t="n">
        <f aca="false">IFERROR(X62/W62*100,"N/A")</f>
        <v>0.00322185555945531</v>
      </c>
      <c r="Z62" s="68" t="str">
        <f aca="false">IF(AND(Q62&gt;0, R62=0), IF(IFERROR(ROUND(V62,8),0)=0, "Group 9: Only Passed | Without variation (no var CV = 0)", "Group 10: Only Passed | With variation (with var CV &gt; 0)"), IF(AND(Q62=0, R62&gt;0), IF(IFERROR(ROUND(Y62,8),0)=0, "Group 11: Only Failed | Without variation (no var CV = 0)", "Group 12: Only Failed | With variation (with var CV &gt; 0)"), IF(AND(Q62&gt;0, R62&gt;0), IF(ROUND(T62,5)&lt;&gt;ROUND(W62,5), IF(AND(IFERROR(ROUND(V62,8),0)=0, IFERROR(ROUND(Y62,8),0)=0), "Group 1: Flaky | Passed (no variation: CV = 0) AND Failed (no variation: CV = 0) | Different Means", IF(AND(IFERROR(ROUND(V62,8),0)&gt;0, IFERROR(ROUND(Y62,8),0)&gt;0), "Group 2: Flaky | Passed (with variation: CV &gt; 0) AND Failed (with variation: CV &gt; 0) | Different Means", IF(AND(IFERROR(ROUND(V62,8),0)=0, IFERROR(ROUND(Y62,8),0)&gt;0), "Group 3: Flaky | Passed (no variation: CV = 0) AND Failed (with variation: CV &gt; 0) | Different Means", "Group 4: Flaky | Passed (with variation: CV &gt; 0) AND Failed (no variation: CV = 0) | Different Means"))), IF(AND(IFERROR(ROUND(V62,8),0)=0, IFERROR(ROUND(Y62,8),0)=0), "Group 5: Flaky | Passed (no var CV = 0) AND Failed (no var CV = 0) | Equal Means", IF(AND(IFERROR(ROUND(V62,8),0)&gt;0, IFERROR(ROUND(Y62,8),0)&gt;0), "Group 6: Flaky | Passed (with var CV &gt; 0) AND Failed (with var CV &gt; 0) | Equal Means", IF(AND(IFERROR(ROUND(V62,8),0)=0, IFERROR(ROUND(Y62,8),0)&gt;0),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62" s="29" t="n">
        <v>1.321111</v>
      </c>
      <c r="AB62" s="29" t="n">
        <v>0.049526</v>
      </c>
      <c r="AC62" s="29" t="n">
        <f aca="false">IFERROR(AB62/AA62*100,"N/A")</f>
        <v>3.74881444481198</v>
      </c>
      <c r="AD62" s="29" t="n">
        <v>1.463489</v>
      </c>
      <c r="AE62" s="29" t="n">
        <v>0.067115</v>
      </c>
      <c r="AF62" s="29" t="n">
        <f aca="false">IFERROR(AE62/AD62*100,"N/A")</f>
        <v>4.58595862353595</v>
      </c>
      <c r="AG62" s="36" t="str">
        <f aca="false">IF(AND(Q62&gt;0, R62=0), IF(IFERROR(ROUND(AC62,8),0)=0, "Group 9: Only Passed | Without variation (no var CV = 0)", "Group 10: Only Passed | With variation (with var CV &gt; 0)"), IF(AND(Q62=0, R62&gt;0), IF(IFERROR(ROUND(AF62,8),0)=0, "Group 11: Only Failed | Without variation (no var CV = 0)", "Group 12: Only Failed | With variation (with var CV &gt; 0)"), IF(AND(Q62&gt;0, R62&gt;0), IF(ROUND(AA62,5)&lt;&gt;ROUND(AD62,5), IF(AND(IFERROR(ROUND(AC62,8),0)=0, IFERROR(ROUND(AF62,8),0)=0), "Group 1: Flaky | Passed (no variation: CV = 0) AND Failed (no variation: CV = 0) | Different Means", IF(AND(IFERROR(ROUND(AC62,8),0)&gt;0, IFERROR(ROUND(AF62,8),0)&gt;0), "Group 2: Flaky | Passed (with variation: CV &gt; 0) AND Failed (with variation: CV &gt; 0) | Different Means", IF(AND(IFERROR(ROUND(AC62,8),0)=0, IFERROR(ROUND(AF62,8),0)&gt;0), "Group 3: Flaky | Passed (no variation: CV = 0) AND Failed (with variation: CV &gt; 0) | Different Means", "Group 4: Flaky | Passed (with variation: CV &gt; 0) AND Failed (no variation: CV = 0) | Different Means"))), IF(AND(IFERROR(ROUND(AC62,8),0)=0, IFERROR(ROUND(AF62,8),0)=0), "Group 5: Flaky | Passed (no var CV = 0) AND Failed (no var CV = 0) | Equal Means", IF(AND(IFERROR(ROUND(AC62,8),0)&gt;0, IFERROR(ROUND(AF62,8),0)&gt;0), "Group 6: Flaky | Passed (with var CV &gt; 0) AND Failed (with var CV &gt; 0) | Equal Means", IF(AND(IFERROR(ROUND(AC62,8),0)=0, IFERROR(ROUND(AF62,8),0)&gt;0),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62" s="22" t="n">
        <v>85</v>
      </c>
      <c r="AI62" s="17" t="n">
        <v>15</v>
      </c>
      <c r="AJ62" s="39" t="str">
        <f aca="false">IF(AND(AH62&gt;0, AI62&gt;0), "Observed Flaky Test", "Non-observed Flaky Test")</f>
        <v>Observed Flaky Test</v>
      </c>
      <c r="AK62" s="33" t="n">
        <v>90896.2352941176</v>
      </c>
      <c r="AL62" s="34" t="n">
        <v>279.815613057821</v>
      </c>
      <c r="AM62" s="33" t="n">
        <f aca="false">IFERROR(AL62/AK62*100,"N/A")</f>
        <v>0.307840706661181</v>
      </c>
      <c r="AN62" s="32" t="n">
        <v>59393.8</v>
      </c>
      <c r="AO62" s="33" t="n">
        <v>37544.2685833289</v>
      </c>
      <c r="AP62" s="35" t="n">
        <f aca="false">IFERROR(AO62/AN62*100,"N/A")</f>
        <v>63.2124372970392</v>
      </c>
      <c r="AQ62" s="63" t="str">
        <f aca="false">IF(AND(AH62&gt;0, AI62&gt;0),
    IF(ROUND(N(AK62),5)&lt;&gt;ROUND(N(AN62),5),
        IF(AND(ROUND(N(AL62),8)=0, ROUND(N(AO62),8)=0), "Group 1: Flaky | Passed (no variation: SD = 0) AND Failed (no variation: SD = 0) | Different Means",
        IF(AND(ROUND(N(AL62),8)&gt;0, ROUND(N(AO62),8)&gt;0), "Group 2: Flaky | Passed (with variation: SD &gt; 0) AND Failed (with variation: SD &gt; 0) | Different Means",
        IF(AND(ROUND(N(AL62),8)=0, ROUND(N(AO62),8)&gt;0), "Group 3: Flaky | Passed (no variation: SD = 0) AND Failed (with variation: SD &gt; 0) | Different Means",
        "Group 4: Flaky | Passed (with variation: SD &gt; 0) AND Failed (no variation: SD = 0) | Different Means"))),
        IF(AND(ROUND(N(AL62),8)=0, ROUND(N(AO62),8)=0), "Group 5: Flaky | Passed (no var SD = 0) AND Failed (no var SD = 0) | Equal Means",
        IF(AND(ROUND(N(AL62),8)&gt;0, ROUND(N(AO62),8)&gt;0), "Group 6: Flaky | Passed (with var SD &gt; 0 ) AND Failed (with var SD &gt; 0) | Equal Means",
        IF(AND(ROUND(N(AL62),8)=0, ROUND(N(AO62),8)&gt;0), "Group 7: Flaky | Passed (no var SD = 0) AND Failed (with var SD &gt; 0) | Equal Means",
        "Group 8: Flaky | Passed (with var SD &gt; 0 ) AND Failed (no var SD = 0) | Equal Means")))
    ),
    IF(AH62&gt;0,
        IF(N(AL62)&gt;0, "Group 10: Only Passed | With variation (with var SD &gt; 0)", "Group 9: Only Passed | Without variation (no var SD = 0)"),
        IF(AI62&gt;0,
            IF(N(AO62)&gt;0,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62" s="42" t="str">
        <f aca="false">IF(OR(F62="Observed Flaky Test", I62="Observed Flaky Test", S62="Observed Flaky Test", AJ62="Observed Flaky Test"), "Observed Flaky Test", "Non-observed Flaky Test")</f>
        <v>Observed Flaky Test</v>
      </c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</row>
    <row r="63" customFormat="false" ht="15.75" hidden="false" customHeight="true" outlineLevel="0" collapsed="false">
      <c r="A63" s="13"/>
      <c r="B63" s="14" t="s">
        <v>148</v>
      </c>
      <c r="C63" s="14" t="s">
        <v>149</v>
      </c>
      <c r="D63" s="15" t="n">
        <v>100</v>
      </c>
      <c r="E63" s="15" t="n">
        <v>0</v>
      </c>
      <c r="F63" s="16" t="str">
        <f aca="false">IF(AND(D63&gt;0, E63&gt;0), "Observed Flaky Test", "Non-observed Flaky Test")</f>
        <v>Non-observed Flaky Test</v>
      </c>
      <c r="G63" s="17" t="n">
        <v>98</v>
      </c>
      <c r="H63" s="17" t="n">
        <v>2</v>
      </c>
      <c r="I63" s="61" t="str">
        <f aca="false">IF(AND(G63&gt;0, H63&gt;0), "Observed Flaky Test", "Non-observed Flaky Test")</f>
        <v>Observed Flaky Test</v>
      </c>
      <c r="J63" s="53" t="n">
        <v>5.220408</v>
      </c>
      <c r="K63" s="53" t="n">
        <v>0.001979</v>
      </c>
      <c r="L63" s="19" t="n">
        <f aca="false">IFERROR(K63/J63*100,"N/A")</f>
        <v>0.0379089143990278</v>
      </c>
      <c r="M63" s="18" t="n">
        <v>4.845</v>
      </c>
      <c r="N63" s="66" t="n">
        <v>0.125</v>
      </c>
      <c r="O63" s="20" t="n">
        <f aca="false">IFERROR(N63/M63*100,"N/A")</f>
        <v>2.57997936016512</v>
      </c>
      <c r="P63" s="62" t="str">
        <f aca="false">IF(AND(G63&gt;0, H63=0), IF(ROUND(K63,8)=0, "Group 9: Only Passed | Without variation (SD Passed = 0)", "Group 10: Only Passed | With variation (SD Passed &gt; 0)"), IF(AND(G63=0, H63&gt;0), IF(ROUND(N63,8)=0, "Group 11: Only Failed | Without variation (SD Failed = 0)", "Group 12: Only Failed | With variation (SD Failed &gt; 0)"), IF(AND(G63&gt;0, H63&gt;0), IF(ROUND(J63,5)&lt;&gt;ROUND(M63,5), IF(AND(ROUND(K63,8)=0, ROUND(N63,8)=0), "Group 1: Flaky | Passed (no variation) AND Failed (no variation) | Different Means", IF(AND(ROUND(K63,8)&gt;0, ROUND(N63,8)&gt;0), "Group 2: Flaky | Passed (with variation) AND Failed (with variation) | Different Means", IF(AND(ROUND(K63,8)=0, ROUND(N63,8)&gt;0), "Group 3: Flaky | Passed (no variation) AND Failed (with variation) | Different Means", "Group 4: Flaky | Passed (with variation) AND Failed (no variation) | Different Means"))), IF(AND(ROUND(K63,8)=0, ROUND(N63,8)=0), "Group 5: Flaky | Passed (no variation) AND Failed (no variation) | Equal Means", IF(AND(ROUND(K63,8)&gt;0, ROUND(N63,8)&gt;0), "Group 6: Flaky | Passed (with variation) AND Failed (with variation) | Equal Means", IF(AND(ROUND(K63,8)=0, ROUND(N63,8)&gt;0),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63" s="22" t="n">
        <v>100</v>
      </c>
      <c r="R63" s="22" t="n">
        <v>0</v>
      </c>
      <c r="S63" s="23" t="str">
        <f aca="false">IF(AND(Q63&gt;0, R63&gt;0), "Observed Flaky Test", "Non-observed Flaky Test")</f>
        <v>Non-observed Flaky Test</v>
      </c>
      <c r="T63" s="22" t="n">
        <v>1912207.61</v>
      </c>
      <c r="U63" s="24" t="n">
        <v>72.199065</v>
      </c>
      <c r="V63" s="25" t="n">
        <f aca="false">IFERROR(U63/T63*100,"N/A")</f>
        <v>0.0037756917513784</v>
      </c>
      <c r="W63" s="22" t="n">
        <v>0</v>
      </c>
      <c r="X63" s="22" t="n">
        <v>0</v>
      </c>
      <c r="Y63" s="27" t="str">
        <f aca="false">IFERROR(X63/W63*100,"N/A")</f>
        <v>N/A</v>
      </c>
      <c r="Z63" s="50" t="str">
        <f aca="false">IF(AND(Q63&gt;0, R63=0), IF(IFERROR(ROUND(V63,8),0)=0, "Group 9: Only Passed | Without variation (no var CV = 0)", "Group 10: Only Passed | With variation (with var CV &gt; 0)"), IF(AND(Q63=0, R63&gt;0), IF(IFERROR(ROUND(Y63,8),0)=0, "Group 11: Only Failed | Without variation (no var CV = 0)", "Group 12: Only Failed | With variation (with var CV &gt; 0)"), IF(AND(Q63&gt;0, R63&gt;0), IF(ROUND(T63,5)&lt;&gt;ROUND(W63,5), IF(AND(IFERROR(ROUND(V63,8),0)=0, IFERROR(ROUND(Y63,8),0)=0), "Group 1: Flaky | Passed (no variation: CV = 0) AND Failed (no variation: CV = 0) | Different Means", IF(AND(IFERROR(ROUND(V63,8),0)&gt;0, IFERROR(ROUND(Y63,8),0)&gt;0), "Group 2: Flaky | Passed (with variation: CV &gt; 0) AND Failed (with variation: CV &gt; 0) | Different Means", IF(AND(IFERROR(ROUND(V63,8),0)=0, IFERROR(ROUND(Y63,8),0)&gt;0), "Group 3: Flaky | Passed (no variation: CV = 0) AND Failed (with variation: CV &gt; 0) | Different Means", "Group 4: Flaky | Passed (with variation: CV &gt; 0) AND Failed (no variation: CV = 0) | Different Means"))), IF(AND(IFERROR(ROUND(V63,8),0)=0, IFERROR(ROUND(Y63,8),0)=0), "Group 5: Flaky | Passed (no var CV = 0) AND Failed (no var CV = 0) | Equal Means", IF(AND(IFERROR(ROUND(V63,8),0)&gt;0, IFERROR(ROUND(Y63,8),0)&gt;0), "Group 6: Flaky | Passed (with var CV &gt; 0) AND Failed (with var CV &gt; 0) | Equal Means", IF(AND(IFERROR(ROUND(V63,8),0)=0, IFERROR(ROUND(Y63,8),0)&gt;0),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63" s="29" t="n">
        <v>1.348014</v>
      </c>
      <c r="AB63" s="29" t="n">
        <v>0.089811</v>
      </c>
      <c r="AC63" s="29" t="n">
        <f aca="false">IFERROR(AB63/AA63*100,"N/A")</f>
        <v>6.66246789721768</v>
      </c>
      <c r="AD63" s="29" t="n">
        <v>0</v>
      </c>
      <c r="AE63" s="29" t="n">
        <v>0</v>
      </c>
      <c r="AF63" s="29" t="str">
        <f aca="false">IFERROR(AE63/AD63*100,"N/A")</f>
        <v>N/A</v>
      </c>
      <c r="AG63" s="51" t="str">
        <f aca="false">IF(AND(Q63&gt;0, R63=0), IF(IFERROR(ROUND(AC63,8),0)=0, "Group 9: Only Passed | Without variation (no var CV = 0)", "Group 10: Only Passed | With variation (with var CV &gt; 0)"), IF(AND(Q63=0, R63&gt;0), IF(IFERROR(ROUND(AF63,8),0)=0, "Group 11: Only Failed | Without variation (no var CV = 0)", "Group 12: Only Failed | With variation (with var CV &gt; 0)"), IF(AND(Q63&gt;0, R63&gt;0), IF(ROUND(AA63,5)&lt;&gt;ROUND(AD63,5), IF(AND(IFERROR(ROUND(AC63,8),0)=0, IFERROR(ROUND(AF63,8),0)=0), "Group 1: Flaky | Passed (no variation: CV = 0) AND Failed (no variation: CV = 0) | Different Means", IF(AND(IFERROR(ROUND(AC63,8),0)&gt;0, IFERROR(ROUND(AF63,8),0)&gt;0), "Group 2: Flaky | Passed (with variation: CV &gt; 0) AND Failed (with variation: CV &gt; 0) | Different Means", IF(AND(IFERROR(ROUND(AC63,8),0)=0, IFERROR(ROUND(AF63,8),0)&gt;0), "Group 3: Flaky | Passed (no variation: CV = 0) AND Failed (with variation: CV &gt; 0) | Different Means", "Group 4: Flaky | Passed (with variation: CV &gt; 0) AND Failed (no variation: CV = 0) | Different Means"))), IF(AND(IFERROR(ROUND(AC63,8),0)=0, IFERROR(ROUND(AF63,8),0)=0), "Group 5: Flaky | Passed (no var CV = 0) AND Failed (no var CV = 0) | Equal Means", IF(AND(IFERROR(ROUND(AC63,8),0)&gt;0, IFERROR(ROUND(AF63,8),0)&gt;0), "Group 6: Flaky | Passed (with var CV &gt; 0) AND Failed (with var CV &gt; 0) | Equal Means", IF(AND(IFERROR(ROUND(AC63,8),0)=0, IFERROR(ROUND(AF63,8),0)&gt;0),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63" s="22" t="n">
        <v>93</v>
      </c>
      <c r="AI63" s="17" t="n">
        <v>7</v>
      </c>
      <c r="AJ63" s="39" t="str">
        <f aca="false">IF(AND(AH63&gt;0, AI63&gt;0), "Observed Flaky Test", "Non-observed Flaky Test")</f>
        <v>Observed Flaky Test</v>
      </c>
      <c r="AK63" s="33" t="n">
        <v>99558.6989247311</v>
      </c>
      <c r="AL63" s="34" t="n">
        <v>465.059458212328</v>
      </c>
      <c r="AM63" s="33" t="n">
        <f aca="false">IFERROR(AL63/AK63*100,"N/A")</f>
        <v>0.467120867623958</v>
      </c>
      <c r="AN63" s="33" t="n">
        <v>55144.5714285714</v>
      </c>
      <c r="AO63" s="33" t="n">
        <v>36511.1328038318</v>
      </c>
      <c r="AP63" s="35" t="n">
        <f aca="false">IFERROR(AO63/AN63*100,"N/A")</f>
        <v>66.2098405300412</v>
      </c>
      <c r="AQ63" s="63" t="str">
        <f aca="false">IF(AND(AH63&gt;0, AI63&gt;0),
    IF(ROUND(N(AK63),5)&lt;&gt;ROUND(N(AN63),5),
        IF(AND(ROUND(N(AL63),8)=0, ROUND(N(AO63),8)=0), "Group 1: Flaky | Passed (no variation: SD = 0) AND Failed (no variation: SD = 0) | Different Means",
        IF(AND(ROUND(N(AL63),8)&gt;0, ROUND(N(AO63),8)&gt;0), "Group 2: Flaky | Passed (with variation: SD &gt; 0) AND Failed (with variation: SD &gt; 0) | Different Means",
        IF(AND(ROUND(N(AL63),8)=0, ROUND(N(AO63),8)&gt;0), "Group 3: Flaky | Passed (no variation: SD = 0) AND Failed (with variation: SD &gt; 0) | Different Means",
        "Group 4: Flaky | Passed (with variation: SD &gt; 0) AND Failed (no variation: SD = 0) | Different Means"))),
        IF(AND(ROUND(N(AL63),8)=0, ROUND(N(AO63),8)=0), "Group 5: Flaky | Passed (no var SD = 0) AND Failed (no var SD = 0) | Equal Means",
        IF(AND(ROUND(N(AL63),8)&gt;0, ROUND(N(AO63),8)&gt;0), "Group 6: Flaky | Passed (with var SD &gt; 0 ) AND Failed (with var SD &gt; 0) | Equal Means",
        IF(AND(ROUND(N(AL63),8)=0, ROUND(N(AO63),8)&gt;0), "Group 7: Flaky | Passed (no var SD = 0) AND Failed (with var SD &gt; 0) | Equal Means",
        "Group 8: Flaky | Passed (with var SD &gt; 0 ) AND Failed (no var SD = 0) | Equal Means")))
    ),
    IF(AH63&gt;0,
        IF(N(AL63)&gt;0, "Group 10: Only Passed | With variation (with var SD &gt; 0)", "Group 9: Only Passed | Without variation (no var SD = 0)"),
        IF(AI63&gt;0,
            IF(N(AO63)&gt;0,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63" s="42" t="str">
        <f aca="false">IF(OR(F63="Observed Flaky Test", I63="Observed Flaky Test", S63="Observed Flaky Test", AJ63="Observed Flaky Test"), "Observed Flaky Test", "Non-observed Flaky Test")</f>
        <v>Observed Flaky Test</v>
      </c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</row>
    <row r="64" customFormat="false" ht="15.75" hidden="false" customHeight="true" outlineLevel="0" collapsed="false">
      <c r="A64" s="13"/>
      <c r="B64" s="14" t="s">
        <v>150</v>
      </c>
      <c r="C64" s="14" t="s">
        <v>151</v>
      </c>
      <c r="D64" s="15" t="n">
        <v>100</v>
      </c>
      <c r="E64" s="15" t="n">
        <v>0</v>
      </c>
      <c r="F64" s="16" t="str">
        <f aca="false">IF(AND(D64&gt;0, E64&gt;0), "Observed Flaky Test", "Non-observed Flaky Test")</f>
        <v>Non-observed Flaky Test</v>
      </c>
      <c r="G64" s="17" t="n">
        <v>97</v>
      </c>
      <c r="H64" s="17" t="n">
        <v>3</v>
      </c>
      <c r="I64" s="61" t="str">
        <f aca="false">IF(AND(G64&gt;0, H64&gt;0), "Observed Flaky Test", "Non-observed Flaky Test")</f>
        <v>Observed Flaky Test</v>
      </c>
      <c r="J64" s="18" t="n">
        <v>5.22</v>
      </c>
      <c r="K64" s="18" t="n">
        <v>0</v>
      </c>
      <c r="L64" s="19" t="n">
        <f aca="false">IFERROR(K64/J64*100,"N/A")</f>
        <v>0</v>
      </c>
      <c r="M64" s="18" t="n">
        <v>4.72</v>
      </c>
      <c r="N64" s="18" t="n">
        <v>0</v>
      </c>
      <c r="O64" s="20" t="n">
        <f aca="false">IFERROR(N64/M64*100,"N/A")</f>
        <v>0</v>
      </c>
      <c r="P64" s="78" t="str">
        <f aca="false">IF(AND(G64&gt;0, H64=0), IF(ROUND(K64,8)=0, "Group 9: Only Passed | Without variation (SD Passed = 0)", "Group 10: Only Passed | With variation (SD Passed &gt; 0)"), IF(AND(G64=0, H64&gt;0), IF(ROUND(N64,8)=0, "Group 11: Only Failed | Without variation (SD Failed = 0)", "Group 12: Only Failed | With variation (SD Failed &gt; 0)"), IF(AND(G64&gt;0, H64&gt;0), IF(ROUND(J64,5)&lt;&gt;ROUND(M64,5), IF(AND(ROUND(K64,8)=0, ROUND(N64,8)=0), "Group 1: Flaky | Passed (no variation) AND Failed (no variation) | Different Means", IF(AND(ROUND(K64,8)&gt;0, ROUND(N64,8)&gt;0), "Group 2: Flaky | Passed (with variation) AND Failed (with variation) | Different Means", IF(AND(ROUND(K64,8)=0, ROUND(N64,8)&gt;0), "Group 3: Flaky | Passed (no variation) AND Failed (with variation) | Different Means", "Group 4: Flaky | Passed (with variation) AND Failed (no variation) | Different Means"))), IF(AND(ROUND(K64,8)=0, ROUND(N64,8)=0), "Group 5: Flaky | Passed (no variation) AND Failed (no variation) | Equal Means", IF(AND(ROUND(K64,8)&gt;0, ROUND(N64,8)&gt;0), "Group 6: Flaky | Passed (with variation) AND Failed (with variation) | Equal Means", IF(AND(ROUND(K64,8)=0, ROUND(N64,8)&gt;0),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64" s="22" t="n">
        <v>98</v>
      </c>
      <c r="R64" s="22" t="n">
        <v>2</v>
      </c>
      <c r="S64" s="43" t="str">
        <f aca="false">IF(AND(Q64&gt;0, R64&gt;0), "Observed Flaky Test", "Non-observed Flaky Test")</f>
        <v>Observed Flaky Test</v>
      </c>
      <c r="T64" s="26" t="n">
        <v>1911164.061224</v>
      </c>
      <c r="U64" s="26" t="n">
        <v>46.910271</v>
      </c>
      <c r="V64" s="25" t="n">
        <f aca="false">IFERROR(U64/T64*100,"N/A")</f>
        <v>0.00245453919690999</v>
      </c>
      <c r="W64" s="55" t="n">
        <v>2636979.5</v>
      </c>
      <c r="X64" s="24" t="n">
        <v>0.707107</v>
      </c>
      <c r="Y64" s="27" t="n">
        <f aca="false">IFERROR(X64/W64*100,"N/A")</f>
        <v>2.68150359151446E-005</v>
      </c>
      <c r="Z64" s="68" t="str">
        <f aca="false">IF(AND(Q64&gt;0, R64=0), IF(IFERROR(ROUND(V64,8),0)=0, "Group 9: Only Passed | Without variation (no var CV = 0)", "Group 10: Only Passed | With variation (with var CV &gt; 0)"), IF(AND(Q64=0, R64&gt;0), IF(IFERROR(ROUND(Y64,8),0)=0, "Group 11: Only Failed | Without variation (no var CV = 0)", "Group 12: Only Failed | With variation (with var CV &gt; 0)"), IF(AND(Q64&gt;0, R64&gt;0), IF(ROUND(T64,5)&lt;&gt;ROUND(W64,5), IF(AND(IFERROR(ROUND(V64,8),0)=0, IFERROR(ROUND(Y64,8),0)=0), "Group 1: Flaky | Passed (no variation: CV = 0) AND Failed (no variation: CV = 0) | Different Means", IF(AND(IFERROR(ROUND(V64,8),0)&gt;0, IFERROR(ROUND(Y64,8),0)&gt;0), "Group 2: Flaky | Passed (with variation: CV &gt; 0) AND Failed (with variation: CV &gt; 0) | Different Means", IF(AND(IFERROR(ROUND(V64,8),0)=0, IFERROR(ROUND(Y64,8),0)&gt;0), "Group 3: Flaky | Passed (no variation: CV = 0) AND Failed (with variation: CV &gt; 0) | Different Means", "Group 4: Flaky | Passed (with variation: CV &gt; 0) AND Failed (no variation: CV = 0) | Different Means"))), IF(AND(IFERROR(ROUND(V64,8),0)=0, IFERROR(ROUND(Y64,8),0)=0), "Group 5: Flaky | Passed (no var CV = 0) AND Failed (no var CV = 0) | Equal Means", IF(AND(IFERROR(ROUND(V64,8),0)&gt;0, IFERROR(ROUND(Y64,8),0)&gt;0), "Group 6: Flaky | Passed (with var CV &gt; 0) AND Failed (with var CV &gt; 0) | Equal Means", IF(AND(IFERROR(ROUND(V64,8),0)=0, IFERROR(ROUND(Y64,8),0)&gt;0),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64" s="29" t="n">
        <v>1.3544</v>
      </c>
      <c r="AB64" s="29" t="n">
        <v>0.050725</v>
      </c>
      <c r="AC64" s="29" t="n">
        <f aca="false">IFERROR(AB64/AA64*100,"N/A")</f>
        <v>3.74520082693444</v>
      </c>
      <c r="AD64" s="29" t="n">
        <v>1.463548</v>
      </c>
      <c r="AE64" s="29" t="n">
        <v>0.017137</v>
      </c>
      <c r="AF64" s="29" t="n">
        <f aca="false">IFERROR(AE64/AD64*100,"N/A")</f>
        <v>1.17092162334273</v>
      </c>
      <c r="AG64" s="36" t="str">
        <f aca="false">IF(AND(Q64&gt;0, R64=0), IF(IFERROR(ROUND(AC64,8),0)=0, "Group 9: Only Passed | Without variation (no var CV = 0)", "Group 10: Only Passed | With variation (with var CV &gt; 0)"), IF(AND(Q64=0, R64&gt;0), IF(IFERROR(ROUND(AF64,8),0)=0, "Group 11: Only Failed | Without variation (no var CV = 0)", "Group 12: Only Failed | With variation (with var CV &gt; 0)"), IF(AND(Q64&gt;0, R64&gt;0), IF(ROUND(AA64,5)&lt;&gt;ROUND(AD64,5), IF(AND(IFERROR(ROUND(AC64,8),0)=0, IFERROR(ROUND(AF64,8),0)=0), "Group 1: Flaky | Passed (no variation: CV = 0) AND Failed (no variation: CV = 0) | Different Means", IF(AND(IFERROR(ROUND(AC64,8),0)&gt;0, IFERROR(ROUND(AF64,8),0)&gt;0), "Group 2: Flaky | Passed (with variation: CV &gt; 0) AND Failed (with variation: CV &gt; 0) | Different Means", IF(AND(IFERROR(ROUND(AC64,8),0)=0, IFERROR(ROUND(AF64,8),0)&gt;0), "Group 3: Flaky | Passed (no variation: CV = 0) AND Failed (with variation: CV &gt; 0) | Different Means", "Group 4: Flaky | Passed (with variation: CV &gt; 0) AND Failed (no variation: CV = 0) | Different Means"))), IF(AND(IFERROR(ROUND(AC64,8),0)=0, IFERROR(ROUND(AF64,8),0)=0), "Group 5: Flaky | Passed (no var CV = 0) AND Failed (no var CV = 0) | Equal Means", IF(AND(IFERROR(ROUND(AC64,8),0)&gt;0, IFERROR(ROUND(AF64,8),0)&gt;0), "Group 6: Flaky | Passed (with var CV &gt; 0) AND Failed (with var CV &gt; 0) | Equal Means", IF(AND(IFERROR(ROUND(AC64,8),0)=0, IFERROR(ROUND(AF64,8),0)&gt;0),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64" s="22" t="n">
        <v>93</v>
      </c>
      <c r="AI64" s="17" t="n">
        <v>7</v>
      </c>
      <c r="AJ64" s="39" t="str">
        <f aca="false">IF(AND(AH64&gt;0, AI64&gt;0), "Observed Flaky Test", "Non-observed Flaky Test")</f>
        <v>Observed Flaky Test</v>
      </c>
      <c r="AK64" s="71" t="n">
        <v>98294.064516129</v>
      </c>
      <c r="AL64" s="34" t="n">
        <v>623.837210622805</v>
      </c>
      <c r="AM64" s="33" t="n">
        <f aca="false">IFERROR(AL64/AK64*100,"N/A")</f>
        <v>0.634664171935265</v>
      </c>
      <c r="AN64" s="33" t="n">
        <v>37645.2857142857</v>
      </c>
      <c r="AO64" s="71" t="n">
        <v>28061.594334097</v>
      </c>
      <c r="AP64" s="35" t="n">
        <f aca="false">IFERROR(AO64/AN64*100,"N/A")</f>
        <v>74.5421207507216</v>
      </c>
      <c r="AQ64" s="63" t="str">
        <f aca="false">IF(AND(AH64&gt;0, AI64&gt;0),
    IF(ROUND(N(AK64),5)&lt;&gt;ROUND(N(AN64),5),
        IF(AND(ROUND(N(AL64),8)=0, ROUND(N(AO64),8)=0), "Group 1: Flaky | Passed (no variation: SD = 0) AND Failed (no variation: SD = 0) | Different Means",
        IF(AND(ROUND(N(AL64),8)&gt;0, ROUND(N(AO64),8)&gt;0), "Group 2: Flaky | Passed (with variation: SD &gt; 0) AND Failed (with variation: SD &gt; 0) | Different Means",
        IF(AND(ROUND(N(AL64),8)=0, ROUND(N(AO64),8)&gt;0), "Group 3: Flaky | Passed (no variation: SD = 0) AND Failed (with variation: SD &gt; 0) | Different Means",
        "Group 4: Flaky | Passed (with variation: SD &gt; 0) AND Failed (no variation: SD = 0) | Different Means"))),
        IF(AND(ROUND(N(AL64),8)=0, ROUND(N(AO64),8)=0), "Group 5: Flaky | Passed (no var SD = 0) AND Failed (no var SD = 0) | Equal Means",
        IF(AND(ROUND(N(AL64),8)&gt;0, ROUND(N(AO64),8)&gt;0), "Group 6: Flaky | Passed (with var SD &gt; 0 ) AND Failed (with var SD &gt; 0) | Equal Means",
        IF(AND(ROUND(N(AL64),8)=0, ROUND(N(AO64),8)&gt;0), "Group 7: Flaky | Passed (no var SD = 0) AND Failed (with var SD &gt; 0) | Equal Means",
        "Group 8: Flaky | Passed (with var SD &gt; 0 ) AND Failed (no var SD = 0) | Equal Means")))
    ),
    IF(AH64&gt;0,
        IF(N(AL64)&gt;0, "Group 10: Only Passed | With variation (with var SD &gt; 0)", "Group 9: Only Passed | Without variation (no var SD = 0)"),
        IF(AI64&gt;0,
            IF(N(AO64)&gt;0,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64" s="42" t="str">
        <f aca="false">IF(OR(F64="Observed Flaky Test", I64="Observed Flaky Test", S64="Observed Flaky Test", AJ64="Observed Flaky Test"), "Observed Flaky Test", "Non-observed Flaky Test")</f>
        <v>Observed Flaky Test</v>
      </c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</row>
    <row r="65" customFormat="false" ht="15.75" hidden="false" customHeight="true" outlineLevel="0" collapsed="false">
      <c r="A65" s="13"/>
      <c r="B65" s="14" t="s">
        <v>152</v>
      </c>
      <c r="C65" s="14" t="s">
        <v>153</v>
      </c>
      <c r="D65" s="15" t="n">
        <v>100</v>
      </c>
      <c r="E65" s="15" t="n">
        <v>0</v>
      </c>
      <c r="F65" s="16" t="str">
        <f aca="false">IF(AND(D65&gt;0, E65&gt;0), "Observed Flaky Test", "Non-observed Flaky Test")</f>
        <v>Non-observed Flaky Test</v>
      </c>
      <c r="G65" s="17" t="n">
        <v>100</v>
      </c>
      <c r="H65" s="17" t="n">
        <v>0</v>
      </c>
      <c r="I65" s="16" t="str">
        <f aca="false">IF(AND(G65&gt;0, H65&gt;0), "Observed Flaky Test", "Non-observed Flaky Test")</f>
        <v>Non-observed Flaky Test</v>
      </c>
      <c r="J65" s="18" t="n">
        <v>4.62</v>
      </c>
      <c r="K65" s="18" t="n">
        <v>0</v>
      </c>
      <c r="L65" s="19" t="n">
        <f aca="false">IFERROR(K65/J65*100,"N/A")</f>
        <v>0</v>
      </c>
      <c r="M65" s="18" t="n">
        <v>0</v>
      </c>
      <c r="N65" s="18" t="n">
        <v>0</v>
      </c>
      <c r="O65" s="20" t="str">
        <f aca="false">IFERROR(N65/M65*100,"N/A")</f>
        <v>N/A</v>
      </c>
      <c r="P65" s="56" t="str">
        <f aca="false">IF(AND(G65&gt;0, H65=0), IF(ROUND(K65,8)=0, "Group 9: Only Passed | Without variation (SD Passed = 0)", "Group 10: Only Passed | With variation (SD Passed &gt; 0)"), IF(AND(G65=0, H65&gt;0), IF(ROUND(N65,8)=0, "Group 11: Only Failed | Without variation (SD Failed = 0)", "Group 12: Only Failed | With variation (SD Failed &gt; 0)"), IF(AND(G65&gt;0, H65&gt;0), IF(ROUND(J65,5)&lt;&gt;ROUND(M65,5), IF(AND(ROUND(K65,8)=0, ROUND(N65,8)=0), "Group 1: Flaky | Passed (no variation) AND Failed (no variation) | Different Means", IF(AND(ROUND(K65,8)&gt;0, ROUND(N65,8)&gt;0), "Group 2: Flaky | Passed (with variation) AND Failed (with variation) | Different Means", IF(AND(ROUND(K65,8)=0, ROUND(N65,8)&gt;0), "Group 3: Flaky | Passed (no variation) AND Failed (with variation) | Different Means", "Group 4: Flaky | Passed (with variation) AND Failed (no variation) | Different Means"))), IF(AND(ROUND(K65,8)=0, ROUND(N65,8)=0), "Group 5: Flaky | Passed (no variation) AND Failed (no variation) | Equal Means", IF(AND(ROUND(K65,8)&gt;0, ROUND(N65,8)&gt;0), "Group 6: Flaky | Passed (with variation) AND Failed (with variation) | Equal Means", IF(AND(ROUND(K65,8)=0, ROUND(N65,8)&gt;0),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65" s="22" t="n">
        <v>100</v>
      </c>
      <c r="R65" s="22" t="n">
        <v>0</v>
      </c>
      <c r="S65" s="23" t="str">
        <f aca="false">IF(AND(Q65&gt;0, R65&gt;0), "Observed Flaky Test", "Non-observed Flaky Test")</f>
        <v>Non-observed Flaky Test</v>
      </c>
      <c r="T65" s="55" t="n">
        <v>1876666.6</v>
      </c>
      <c r="U65" s="24" t="n">
        <v>14.553975</v>
      </c>
      <c r="V65" s="25" t="n">
        <f aca="false">IFERROR(U65/T65*100,"N/A")</f>
        <v>0.000775522674086063</v>
      </c>
      <c r="W65" s="22" t="n">
        <v>0</v>
      </c>
      <c r="X65" s="22" t="n">
        <v>0</v>
      </c>
      <c r="Y65" s="27" t="str">
        <f aca="false">IFERROR(X65/W65*100,"N/A")</f>
        <v>N/A</v>
      </c>
      <c r="Z65" s="50" t="str">
        <f aca="false">IF(AND(Q65&gt;0, R65=0), IF(IFERROR(ROUND(V65,8),0)=0, "Group 9: Only Passed | Without variation (no var CV = 0)", "Group 10: Only Passed | With variation (with var CV &gt; 0)"), IF(AND(Q65=0, R65&gt;0), IF(IFERROR(ROUND(Y65,8),0)=0, "Group 11: Only Failed | Without variation (no var CV = 0)", "Group 12: Only Failed | With variation (with var CV &gt; 0)"), IF(AND(Q65&gt;0, R65&gt;0), IF(ROUND(T65,5)&lt;&gt;ROUND(W65,5), IF(AND(IFERROR(ROUND(V65,8),0)=0, IFERROR(ROUND(Y65,8),0)=0), "Group 1: Flaky | Passed (no variation: CV = 0) AND Failed (no variation: CV = 0) | Different Means", IF(AND(IFERROR(ROUND(V65,8),0)&gt;0, IFERROR(ROUND(Y65,8),0)&gt;0), "Group 2: Flaky | Passed (with variation: CV &gt; 0) AND Failed (with variation: CV &gt; 0) | Different Means", IF(AND(IFERROR(ROUND(V65,8),0)=0, IFERROR(ROUND(Y65,8),0)&gt;0), "Group 3: Flaky | Passed (no variation: CV = 0) AND Failed (with variation: CV &gt; 0) | Different Means", "Group 4: Flaky | Passed (with variation: CV &gt; 0) AND Failed (no variation: CV = 0) | Different Means"))), IF(AND(IFERROR(ROUND(V65,8),0)=0, IFERROR(ROUND(Y65,8),0)=0), "Group 5: Flaky | Passed (no var CV = 0) AND Failed (no var CV = 0) | Equal Means", IF(AND(IFERROR(ROUND(V65,8),0)&gt;0, IFERROR(ROUND(Y65,8),0)&gt;0), "Group 6: Flaky | Passed (with var CV &gt; 0) AND Failed (with var CV &gt; 0) | Equal Means", IF(AND(IFERROR(ROUND(V65,8),0)=0, IFERROR(ROUND(Y65,8),0)&gt;0),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65" s="29" t="n">
        <v>1.310106</v>
      </c>
      <c r="AB65" s="29" t="n">
        <v>0.064918</v>
      </c>
      <c r="AC65" s="29" t="n">
        <f aca="false">IFERROR(AB65/AA65*100,"N/A")</f>
        <v>4.95517156627021</v>
      </c>
      <c r="AD65" s="29" t="n">
        <v>0</v>
      </c>
      <c r="AE65" s="29" t="n">
        <v>0</v>
      </c>
      <c r="AF65" s="29" t="str">
        <f aca="false">IFERROR(AE65/AD65*100,"N/A")</f>
        <v>N/A</v>
      </c>
      <c r="AG65" s="51" t="str">
        <f aca="false">IF(AND(Q65&gt;0, R65=0), IF(IFERROR(ROUND(AC65,8),0)=0, "Group 9: Only Passed | Without variation (no var CV = 0)", "Group 10: Only Passed | With variation (with var CV &gt; 0)"), IF(AND(Q65=0, R65&gt;0), IF(IFERROR(ROUND(AF65,8),0)=0, "Group 11: Only Failed | Without variation (no var CV = 0)", "Group 12: Only Failed | With variation (with var CV &gt; 0)"), IF(AND(Q65&gt;0, R65&gt;0), IF(ROUND(AA65,5)&lt;&gt;ROUND(AD65,5), IF(AND(IFERROR(ROUND(AC65,8),0)=0, IFERROR(ROUND(AF65,8),0)=0), "Group 1: Flaky | Passed (no variation: CV = 0) AND Failed (no variation: CV = 0) | Different Means", IF(AND(IFERROR(ROUND(AC65,8),0)&gt;0, IFERROR(ROUND(AF65,8),0)&gt;0), "Group 2: Flaky | Passed (with variation: CV &gt; 0) AND Failed (with variation: CV &gt; 0) | Different Means", IF(AND(IFERROR(ROUND(AC65,8),0)=0, IFERROR(ROUND(AF65,8),0)&gt;0), "Group 3: Flaky | Passed (no variation: CV = 0) AND Failed (with variation: CV &gt; 0) | Different Means", "Group 4: Flaky | Passed (with variation: CV &gt; 0) AND Failed (no variation: CV = 0) | Different Means"))), IF(AND(IFERROR(ROUND(AC65,8),0)=0, IFERROR(ROUND(AF65,8),0)=0), "Group 5: Flaky | Passed (no var CV = 0) AND Failed (no var CV = 0) | Equal Means", IF(AND(IFERROR(ROUND(AC65,8),0)&gt;0, IFERROR(ROUND(AF65,8),0)&gt;0), "Group 6: Flaky | Passed (with var CV &gt; 0) AND Failed (with var CV &gt; 0) | Equal Means", IF(AND(IFERROR(ROUND(AC65,8),0)=0, IFERROR(ROUND(AF65,8),0)&gt;0),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65" s="22" t="n">
        <v>100</v>
      </c>
      <c r="AI65" s="17" t="n">
        <v>0</v>
      </c>
      <c r="AJ65" s="31" t="str">
        <f aca="false">IF(AND(AH65&gt;0, AI65&gt;0), "Observed Flaky Test", "Non-observed Flaky Test")</f>
        <v>Non-observed Flaky Test</v>
      </c>
      <c r="AK65" s="32" t="n">
        <v>17817</v>
      </c>
      <c r="AL65" s="32" t="n">
        <v>0</v>
      </c>
      <c r="AM65" s="33" t="n">
        <f aca="false">IFERROR(AL65/AK65*100,"N/A")</f>
        <v>0</v>
      </c>
      <c r="AN65" s="32" t="n">
        <v>0</v>
      </c>
      <c r="AO65" s="32" t="n">
        <v>0</v>
      </c>
      <c r="AP65" s="35" t="str">
        <f aca="false">IFERROR(AO65/AN65*100,"N/A")</f>
        <v>N/A</v>
      </c>
      <c r="AQ65" s="45" t="str">
        <f aca="false">IF(AND(AH65&gt;0, AI65&gt;0),
    IF(ROUND(N(AK65),5)&lt;&gt;ROUND(N(AN65),5),
        IF(AND(ROUND(N(AL65),8)=0, ROUND(N(AO65),8)=0), "Group 1: Flaky | Passed (no variation: SD = 0) AND Failed (no variation: SD = 0) | Different Means",
        IF(AND(ROUND(N(AL65),8)&gt;0, ROUND(N(AO65),8)&gt;0), "Group 2: Flaky | Passed (with variation: SD &gt; 0) AND Failed (with variation: SD &gt; 0) | Different Means",
        IF(AND(ROUND(N(AL65),8)=0, ROUND(N(AO65),8)&gt;0), "Group 3: Flaky | Passed (no variation: SD = 0) AND Failed (with variation: SD &gt; 0) | Different Means",
        "Group 4: Flaky | Passed (with variation: SD &gt; 0) AND Failed (no variation: SD = 0) | Different Means"))),
        IF(AND(ROUND(N(AL65),8)=0, ROUND(N(AO65),8)=0), "Group 5: Flaky | Passed (no var SD = 0) AND Failed (no var SD = 0) | Equal Means",
        IF(AND(ROUND(N(AL65),8)&gt;0, ROUND(N(AO65),8)&gt;0), "Group 6: Flaky | Passed (with var SD &gt; 0 ) AND Failed (with var SD &gt; 0) | Equal Means",
        IF(AND(ROUND(N(AL65),8)=0, ROUND(N(AO65),8)&gt;0), "Group 7: Flaky | Passed (no var SD = 0) AND Failed (with var SD &gt; 0) | Equal Means",
        "Group 8: Flaky | Passed (with var SD &gt; 0 ) AND Failed (no var SD = 0) | Equal Means")))
    ),
    IF(AH65&gt;0,
        IF(N(AL65)&gt;0, "Group 10: Only Passed | With variation (with var SD &gt; 0)", "Group 9: Only Passed | Without variation (no var SD = 0)"),
        IF(AI65&gt;0,
            IF(N(AO65)&gt;0,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65" s="37" t="str">
        <f aca="false">IF(OR(F65="Observed Flaky Test", I65="Observed Flaky Test", S65="Observed Flaky Test", AJ65="Observed Flaky Test"), "Observed Flaky Test", "Non-observed Flaky Test")</f>
        <v>Non-observed Flaky Test</v>
      </c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customFormat="false" ht="15.75" hidden="false" customHeight="true" outlineLevel="0" collapsed="false">
      <c r="A66" s="13"/>
      <c r="B66" s="14" t="s">
        <v>154</v>
      </c>
      <c r="C66" s="14" t="s">
        <v>155</v>
      </c>
      <c r="D66" s="15" t="n">
        <v>100</v>
      </c>
      <c r="E66" s="15" t="n">
        <v>0</v>
      </c>
      <c r="F66" s="16" t="str">
        <f aca="false">IF(AND(D66&gt;0, E66&gt;0), "Observed Flaky Test", "Non-observed Flaky Test")</f>
        <v>Non-observed Flaky Test</v>
      </c>
      <c r="G66" s="17" t="n">
        <v>99</v>
      </c>
      <c r="H66" s="17" t="n">
        <v>1</v>
      </c>
      <c r="I66" s="61" t="str">
        <f aca="false">IF(AND(G66&gt;0, H66&gt;0), "Observed Flaky Test", "Non-observed Flaky Test")</f>
        <v>Observed Flaky Test</v>
      </c>
      <c r="J66" s="53" t="n">
        <v>5.139697</v>
      </c>
      <c r="K66" s="66" t="n">
        <v>0.003</v>
      </c>
      <c r="L66" s="19" t="n">
        <f aca="false">IFERROR(K66/J66*100,"N/A")</f>
        <v>0.0583691995851117</v>
      </c>
      <c r="M66" s="18" t="n">
        <v>5.14</v>
      </c>
      <c r="N66" s="18" t="n">
        <v>0</v>
      </c>
      <c r="O66" s="20" t="n">
        <f aca="false">IFERROR(N66/M66*100,"N/A")</f>
        <v>0</v>
      </c>
      <c r="P66" s="77" t="str">
        <f aca="false">IF(AND(G66&gt;0, H66=0), IF(ROUND(K66,8)=0, "Group 9: Only Passed | Without variation (SD Passed = 0)", "Group 10: Only Passed | With variation (SD Passed &gt; 0)"), IF(AND(G66=0, H66&gt;0), IF(ROUND(N66,8)=0, "Group 11: Only Failed | Without variation (SD Failed = 0)", "Group 12: Only Failed | With variation (SD Failed &gt; 0)"), IF(AND(G66&gt;0, H66&gt;0), IF(ROUND(J66,5)&lt;&gt;ROUND(M66,5), IF(AND(ROUND(K66,8)=0, ROUND(N66,8)=0), "Group 1: Flaky | Passed (no variation) AND Failed (no variation) | Different Means", IF(AND(ROUND(K66,8)&gt;0, ROUND(N66,8)&gt;0), "Group 2: Flaky | Passed (with variation) AND Failed (with variation) | Different Means", IF(AND(ROUND(K66,8)=0, ROUND(N66,8)&gt;0), "Group 3: Flaky | Passed (no variation) AND Failed (with variation) | Different Means", "Group 4: Flaky | Passed (with variation) AND Failed (no variation) | Different Means"))), IF(AND(ROUND(K66,8)=0, ROUND(N66,8)=0), "Group 5: Flaky | Passed (no variation) AND Failed (no variation) | Equal Means", IF(AND(ROUND(K66,8)&gt;0, ROUND(N66,8)&gt;0), "Group 6: Flaky | Passed (with variation) AND Failed (with variation) | Equal Means", IF(AND(ROUND(K66,8)=0, ROUND(N66,8)&gt;0),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66" s="22" t="n">
        <v>100</v>
      </c>
      <c r="R66" s="22" t="n">
        <v>0</v>
      </c>
      <c r="S66" s="23" t="str">
        <f aca="false">IF(AND(Q66&gt;0, R66&gt;0), "Observed Flaky Test", "Non-observed Flaky Test")</f>
        <v>Non-observed Flaky Test</v>
      </c>
      <c r="T66" s="22" t="n">
        <v>1904167.28</v>
      </c>
      <c r="U66" s="26" t="n">
        <v>71.64504</v>
      </c>
      <c r="V66" s="25" t="n">
        <f aca="false">IFERROR(U66/T66*100,"N/A")</f>
        <v>0.00376253918195674</v>
      </c>
      <c r="W66" s="22" t="n">
        <v>0</v>
      </c>
      <c r="X66" s="22" t="n">
        <v>0</v>
      </c>
      <c r="Y66" s="27" t="str">
        <f aca="false">IFERROR(X66/W66*100,"N/A")</f>
        <v>N/A</v>
      </c>
      <c r="Z66" s="50" t="str">
        <f aca="false">IF(AND(Q66&gt;0, R66=0), IF(IFERROR(ROUND(V66,8),0)=0, "Group 9: Only Passed | Without variation (no var CV = 0)", "Group 10: Only Passed | With variation (with var CV &gt; 0)"), IF(AND(Q66=0, R66&gt;0), IF(IFERROR(ROUND(Y66,8),0)=0, "Group 11: Only Failed | Without variation (no var CV = 0)", "Group 12: Only Failed | With variation (with var CV &gt; 0)"), IF(AND(Q66&gt;0, R66&gt;0), IF(ROUND(T66,5)&lt;&gt;ROUND(W66,5), IF(AND(IFERROR(ROUND(V66,8),0)=0, IFERROR(ROUND(Y66,8),0)=0), "Group 1: Flaky | Passed (no variation: CV = 0) AND Failed (no variation: CV = 0) | Different Means", IF(AND(IFERROR(ROUND(V66,8),0)&gt;0, IFERROR(ROUND(Y66,8),0)&gt;0), "Group 2: Flaky | Passed (with variation: CV &gt; 0) AND Failed (with variation: CV &gt; 0) | Different Means", IF(AND(IFERROR(ROUND(V66,8),0)=0, IFERROR(ROUND(Y66,8),0)&gt;0), "Group 3: Flaky | Passed (no variation: CV = 0) AND Failed (with variation: CV &gt; 0) | Different Means", "Group 4: Flaky | Passed (with variation: CV &gt; 0) AND Failed (no variation: CV = 0) | Different Means"))), IF(AND(IFERROR(ROUND(V66,8),0)=0, IFERROR(ROUND(Y66,8),0)=0), "Group 5: Flaky | Passed (no var CV = 0) AND Failed (no var CV = 0) | Equal Means", IF(AND(IFERROR(ROUND(V66,8),0)&gt;0, IFERROR(ROUND(Y66,8),0)&gt;0), "Group 6: Flaky | Passed (with var CV &gt; 0) AND Failed (with var CV &gt; 0) | Equal Means", IF(AND(IFERROR(ROUND(V66,8),0)=0, IFERROR(ROUND(Y66,8),0)&gt;0),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66" s="29" t="n">
        <v>1.328741</v>
      </c>
      <c r="AB66" s="29" t="n">
        <v>0.063471</v>
      </c>
      <c r="AC66" s="29" t="n">
        <f aca="false">IFERROR(AB66/AA66*100,"N/A")</f>
        <v>4.77677741561373</v>
      </c>
      <c r="AD66" s="29" t="n">
        <v>0</v>
      </c>
      <c r="AE66" s="29" t="n">
        <v>0</v>
      </c>
      <c r="AF66" s="29" t="str">
        <f aca="false">IFERROR(AE66/AD66*100,"N/A")</f>
        <v>N/A</v>
      </c>
      <c r="AG66" s="51" t="str">
        <f aca="false">IF(AND(Q66&gt;0, R66=0), IF(IFERROR(ROUND(AC66,8),0)=0, "Group 9: Only Passed | Without variation (no var CV = 0)", "Group 10: Only Passed | With variation (with var CV &gt; 0)"), IF(AND(Q66=0, R66&gt;0), IF(IFERROR(ROUND(AF66,8),0)=0, "Group 11: Only Failed | Without variation (no var CV = 0)", "Group 12: Only Failed | With variation (with var CV &gt; 0)"), IF(AND(Q66&gt;0, R66&gt;0), IF(ROUND(AA66,5)&lt;&gt;ROUND(AD66,5), IF(AND(IFERROR(ROUND(AC66,8),0)=0, IFERROR(ROUND(AF66,8),0)=0), "Group 1: Flaky | Passed (no variation: CV = 0) AND Failed (no variation: CV = 0) | Different Means", IF(AND(IFERROR(ROUND(AC66,8),0)&gt;0, IFERROR(ROUND(AF66,8),0)&gt;0), "Group 2: Flaky | Passed (with variation: CV &gt; 0) AND Failed (with variation: CV &gt; 0) | Different Means", IF(AND(IFERROR(ROUND(AC66,8),0)=0, IFERROR(ROUND(AF66,8),0)&gt;0), "Group 3: Flaky | Passed (no variation: CV = 0) AND Failed (with variation: CV &gt; 0) | Different Means", "Group 4: Flaky | Passed (with variation: CV &gt; 0) AND Failed (no variation: CV = 0) | Different Means"))), IF(AND(IFERROR(ROUND(AC66,8),0)=0, IFERROR(ROUND(AF66,8),0)=0), "Group 5: Flaky | Passed (no var CV = 0) AND Failed (no var CV = 0) | Equal Means", IF(AND(IFERROR(ROUND(AC66,8),0)&gt;0, IFERROR(ROUND(AF66,8),0)&gt;0), "Group 6: Flaky | Passed (with var CV &gt; 0) AND Failed (with var CV &gt; 0) | Equal Means", IF(AND(IFERROR(ROUND(AC66,8),0)=0, IFERROR(ROUND(AF66,8),0)&gt;0),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66" s="22" t="n">
        <v>100</v>
      </c>
      <c r="AI66" s="17" t="n">
        <v>0</v>
      </c>
      <c r="AJ66" s="31" t="str">
        <f aca="false">IF(AND(AH66&gt;0, AI66&gt;0), "Observed Flaky Test", "Non-observed Flaky Test")</f>
        <v>Non-observed Flaky Test</v>
      </c>
      <c r="AK66" s="32" t="n">
        <v>85960.54</v>
      </c>
      <c r="AL66" s="34" t="n">
        <v>439.096326837772</v>
      </c>
      <c r="AM66" s="33" t="n">
        <f aca="false">IFERROR(AL66/AK66*100,"N/A")</f>
        <v>0.510811503554738</v>
      </c>
      <c r="AN66" s="32" t="n">
        <v>0</v>
      </c>
      <c r="AO66" s="32" t="n">
        <v>0</v>
      </c>
      <c r="AP66" s="35" t="str">
        <f aca="false">IFERROR(AO66/AN66*100,"N/A")</f>
        <v>N/A</v>
      </c>
      <c r="AQ66" s="52" t="str">
        <f aca="false">IF(AND(AH66&gt;0, AI66&gt;0),
    IF(ROUND(N(AK66),5)&lt;&gt;ROUND(N(AN66),5),
        IF(AND(ROUND(N(AL66),8)=0, ROUND(N(AO66),8)=0), "Group 1: Flaky | Passed (no variation: SD = 0) AND Failed (no variation: SD = 0) | Different Means",
        IF(AND(ROUND(N(AL66),8)&gt;0, ROUND(N(AO66),8)&gt;0), "Group 2: Flaky | Passed (with variation: SD &gt; 0) AND Failed (with variation: SD &gt; 0) | Different Means",
        IF(AND(ROUND(N(AL66),8)=0, ROUND(N(AO66),8)&gt;0), "Group 3: Flaky | Passed (no variation: SD = 0) AND Failed (with variation: SD &gt; 0) | Different Means",
        "Group 4: Flaky | Passed (with variation: SD &gt; 0) AND Failed (no variation: SD = 0) | Different Means"))),
        IF(AND(ROUND(N(AL66),8)=0, ROUND(N(AO66),8)=0), "Group 5: Flaky | Passed (no var SD = 0) AND Failed (no var SD = 0) | Equal Means",
        IF(AND(ROUND(N(AL66),8)&gt;0, ROUND(N(AO66),8)&gt;0), "Group 6: Flaky | Passed (with var SD &gt; 0 ) AND Failed (with var SD &gt; 0) | Equal Means",
        IF(AND(ROUND(N(AL66),8)=0, ROUND(N(AO66),8)&gt;0), "Group 7: Flaky | Passed (no var SD = 0) AND Failed (with var SD &gt; 0) | Equal Means",
        "Group 8: Flaky | Passed (with var SD &gt; 0 ) AND Failed (no var SD = 0) | Equal Means")))
    ),
    IF(AH66&gt;0,
        IF(N(AL66)&gt;0, "Group 10: Only Passed | With variation (with var SD &gt; 0)", "Group 9: Only Passed | Without variation (no var SD = 0)"),
        IF(AI66&gt;0,
            IF(N(AO66)&gt;0,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66" s="42" t="str">
        <f aca="false">IF(OR(F66="Observed Flaky Test", I66="Observed Flaky Test", S66="Observed Flaky Test", AJ66="Observed Flaky Test"), "Observed Flaky Test", "Non-observed Flaky Test")</f>
        <v>Observed Flaky Test</v>
      </c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</row>
    <row r="67" customFormat="false" ht="15.75" hidden="false" customHeight="true" outlineLevel="0" collapsed="false">
      <c r="A67" s="13"/>
      <c r="B67" s="14" t="s">
        <v>156</v>
      </c>
      <c r="C67" s="14" t="s">
        <v>157</v>
      </c>
      <c r="D67" s="15" t="n">
        <v>100</v>
      </c>
      <c r="E67" s="15" t="n">
        <v>0</v>
      </c>
      <c r="F67" s="16" t="str">
        <f aca="false">IF(AND(D67&gt;0, E67&gt;0), "Observed Flaky Test", "Non-observed Flaky Test")</f>
        <v>Non-observed Flaky Test</v>
      </c>
      <c r="G67" s="17" t="n">
        <v>100</v>
      </c>
      <c r="H67" s="17" t="n">
        <v>0</v>
      </c>
      <c r="I67" s="16" t="str">
        <f aca="false">IF(AND(G67&gt;0, H67&gt;0), "Observed Flaky Test", "Non-observed Flaky Test")</f>
        <v>Non-observed Flaky Test</v>
      </c>
      <c r="J67" s="18" t="n">
        <v>4.64</v>
      </c>
      <c r="K67" s="18" t="n">
        <v>0</v>
      </c>
      <c r="L67" s="19" t="n">
        <f aca="false">IFERROR(K67/J67*100,"N/A")</f>
        <v>0</v>
      </c>
      <c r="M67" s="18" t="n">
        <v>0</v>
      </c>
      <c r="N67" s="18" t="n">
        <v>0</v>
      </c>
      <c r="O67" s="20" t="str">
        <f aca="false">IFERROR(N67/M67*100,"N/A")</f>
        <v>N/A</v>
      </c>
      <c r="P67" s="56" t="str">
        <f aca="false">IF(AND(G67&gt;0, H67=0), IF(ROUND(K67,8)=0, "Group 9: Only Passed | Without variation (SD Passed = 0)", "Group 10: Only Passed | With variation (SD Passed &gt; 0)"), IF(AND(G67=0, H67&gt;0), IF(ROUND(N67,8)=0, "Group 11: Only Failed | Without variation (SD Failed = 0)", "Group 12: Only Failed | With variation (SD Failed &gt; 0)"), IF(AND(G67&gt;0, H67&gt;0), IF(ROUND(J67,5)&lt;&gt;ROUND(M67,5), IF(AND(ROUND(K67,8)=0, ROUND(N67,8)=0), "Group 1: Flaky | Passed (no variation) AND Failed (no variation) | Different Means", IF(AND(ROUND(K67,8)&gt;0, ROUND(N67,8)&gt;0), "Group 2: Flaky | Passed (with variation) AND Failed (with variation) | Different Means", IF(AND(ROUND(K67,8)=0, ROUND(N67,8)&gt;0), "Group 3: Flaky | Passed (no variation) AND Failed (with variation) | Different Means", "Group 4: Flaky | Passed (with variation) AND Failed (no variation) | Different Means"))), IF(AND(ROUND(K67,8)=0, ROUND(N67,8)=0), "Group 5: Flaky | Passed (no variation) AND Failed (no variation) | Equal Means", IF(AND(ROUND(K67,8)&gt;0, ROUND(N67,8)&gt;0), "Group 6: Flaky | Passed (with variation) AND Failed (with variation) | Equal Means", IF(AND(ROUND(K67,8)=0, ROUND(N67,8)&gt;0),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67" s="22" t="n">
        <v>100</v>
      </c>
      <c r="R67" s="22" t="n">
        <v>0</v>
      </c>
      <c r="S67" s="23" t="str">
        <f aca="false">IF(AND(Q67&gt;0, R67&gt;0), "Observed Flaky Test", "Non-observed Flaky Test")</f>
        <v>Non-observed Flaky Test</v>
      </c>
      <c r="T67" s="55" t="n">
        <v>1877925.9</v>
      </c>
      <c r="U67" s="24" t="n">
        <v>318.793131</v>
      </c>
      <c r="V67" s="25" t="n">
        <f aca="false">IFERROR(U67/T67*100,"N/A")</f>
        <v>0.0169758099081545</v>
      </c>
      <c r="W67" s="22" t="n">
        <v>0</v>
      </c>
      <c r="X67" s="22" t="n">
        <v>0</v>
      </c>
      <c r="Y67" s="27" t="str">
        <f aca="false">IFERROR(X67/W67*100,"N/A")</f>
        <v>N/A</v>
      </c>
      <c r="Z67" s="50" t="str">
        <f aca="false">IF(AND(Q67&gt;0, R67=0), IF(IFERROR(ROUND(V67,8),0)=0, "Group 9: Only Passed | Without variation (no var CV = 0)", "Group 10: Only Passed | With variation (with var CV &gt; 0)"), IF(AND(Q67=0, R67&gt;0), IF(IFERROR(ROUND(Y67,8),0)=0, "Group 11: Only Failed | Without variation (no var CV = 0)", "Group 12: Only Failed | With variation (with var CV &gt; 0)"), IF(AND(Q67&gt;0, R67&gt;0), IF(ROUND(T67,5)&lt;&gt;ROUND(W67,5), IF(AND(IFERROR(ROUND(V67,8),0)=0, IFERROR(ROUND(Y67,8),0)=0), "Group 1: Flaky | Passed (no variation: CV = 0) AND Failed (no variation: CV = 0) | Different Means", IF(AND(IFERROR(ROUND(V67,8),0)&gt;0, IFERROR(ROUND(Y67,8),0)&gt;0), "Group 2: Flaky | Passed (with variation: CV &gt; 0) AND Failed (with variation: CV &gt; 0) | Different Means", IF(AND(IFERROR(ROUND(V67,8),0)=0, IFERROR(ROUND(Y67,8),0)&gt;0), "Group 3: Flaky | Passed (no variation: CV = 0) AND Failed (with variation: CV &gt; 0) | Different Means", "Group 4: Flaky | Passed (with variation: CV &gt; 0) AND Failed (no variation: CV = 0) | Different Means"))), IF(AND(IFERROR(ROUND(V67,8),0)=0, IFERROR(ROUND(Y67,8),0)=0), "Group 5: Flaky | Passed (no var CV = 0) AND Failed (no var CV = 0) | Equal Means", IF(AND(IFERROR(ROUND(V67,8),0)&gt;0, IFERROR(ROUND(Y67,8),0)&gt;0), "Group 6: Flaky | Passed (with var CV &gt; 0) AND Failed (with var CV &gt; 0) | Equal Means", IF(AND(IFERROR(ROUND(V67,8),0)=0, IFERROR(ROUND(Y67,8),0)&gt;0),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67" s="29" t="n">
        <v>1.398819</v>
      </c>
      <c r="AB67" s="29" t="n">
        <v>0.570344</v>
      </c>
      <c r="AC67" s="29" t="n">
        <f aca="false">IFERROR(AB67/AA67*100,"N/A")</f>
        <v>40.7732522935419</v>
      </c>
      <c r="AD67" s="29" t="n">
        <v>0</v>
      </c>
      <c r="AE67" s="29" t="n">
        <v>0</v>
      </c>
      <c r="AF67" s="29" t="str">
        <f aca="false">IFERROR(AE67/AD67*100,"N/A")</f>
        <v>N/A</v>
      </c>
      <c r="AG67" s="51" t="str">
        <f aca="false">IF(AND(Q67&gt;0, R67=0), IF(IFERROR(ROUND(AC67,8),0)=0, "Group 9: Only Passed | Without variation (no var CV = 0)", "Group 10: Only Passed | With variation (with var CV &gt; 0)"), IF(AND(Q67=0, R67&gt;0), IF(IFERROR(ROUND(AF67,8),0)=0, "Group 11: Only Failed | Without variation (no var CV = 0)", "Group 12: Only Failed | With variation (with var CV &gt; 0)"), IF(AND(Q67&gt;0, R67&gt;0), IF(ROUND(AA67,5)&lt;&gt;ROUND(AD67,5), IF(AND(IFERROR(ROUND(AC67,8),0)=0, IFERROR(ROUND(AF67,8),0)=0), "Group 1: Flaky | Passed (no variation: CV = 0) AND Failed (no variation: CV = 0) | Different Means", IF(AND(IFERROR(ROUND(AC67,8),0)&gt;0, IFERROR(ROUND(AF67,8),0)&gt;0), "Group 2: Flaky | Passed (with variation: CV &gt; 0) AND Failed (with variation: CV &gt; 0) | Different Means", IF(AND(IFERROR(ROUND(AC67,8),0)=0, IFERROR(ROUND(AF67,8),0)&gt;0), "Group 3: Flaky | Passed (no variation: CV = 0) AND Failed (with variation: CV &gt; 0) | Different Means", "Group 4: Flaky | Passed (with variation: CV &gt; 0) AND Failed (no variation: CV = 0) | Different Means"))), IF(AND(IFERROR(ROUND(AC67,8),0)=0, IFERROR(ROUND(AF67,8),0)=0), "Group 5: Flaky | Passed (no var CV = 0) AND Failed (no var CV = 0) | Equal Means", IF(AND(IFERROR(ROUND(AC67,8),0)&gt;0, IFERROR(ROUND(AF67,8),0)&gt;0), "Group 6: Flaky | Passed (with var CV &gt; 0) AND Failed (with var CV &gt; 0) | Equal Means", IF(AND(IFERROR(ROUND(AC67,8),0)=0, IFERROR(ROUND(AF67,8),0)&gt;0),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67" s="22" t="n">
        <v>98</v>
      </c>
      <c r="AI67" s="17" t="n">
        <v>2</v>
      </c>
      <c r="AJ67" s="39" t="str">
        <f aca="false">IF(AND(AH67&gt;0, AI67&gt;0), "Observed Flaky Test", "Non-observed Flaky Test")</f>
        <v>Observed Flaky Test</v>
      </c>
      <c r="AK67" s="33" t="n">
        <v>16022.3979591836</v>
      </c>
      <c r="AL67" s="34" t="n">
        <v>432.599830318586</v>
      </c>
      <c r="AM67" s="33" t="n">
        <f aca="false">IFERROR(AL67/AK67*100,"N/A")</f>
        <v>2.69996932681747</v>
      </c>
      <c r="AN67" s="32" t="n">
        <v>24323</v>
      </c>
      <c r="AO67" s="34" t="n">
        <v>140.007142674936</v>
      </c>
      <c r="AP67" s="35" t="n">
        <f aca="false">IFERROR(AO67/AN67*100,"N/A")</f>
        <v>0.575616258993282</v>
      </c>
      <c r="AQ67" s="63" t="str">
        <f aca="false">IF(AND(AH67&gt;0, AI67&gt;0),
    IF(ROUND(N(AK67),5)&lt;&gt;ROUND(N(AN67),5),
        IF(AND(ROUND(N(AL67),8)=0, ROUND(N(AO67),8)=0), "Group 1: Flaky | Passed (no variation: SD = 0) AND Failed (no variation: SD = 0) | Different Means",
        IF(AND(ROUND(N(AL67),8)&gt;0, ROUND(N(AO67),8)&gt;0), "Group 2: Flaky | Passed (with variation: SD &gt; 0) AND Failed (with variation: SD &gt; 0) | Different Means",
        IF(AND(ROUND(N(AL67),8)=0, ROUND(N(AO67),8)&gt;0), "Group 3: Flaky | Passed (no variation: SD = 0) AND Failed (with variation: SD &gt; 0) | Different Means",
        "Group 4: Flaky | Passed (with variation: SD &gt; 0) AND Failed (no variation: SD = 0) | Different Means"))),
        IF(AND(ROUND(N(AL67),8)=0, ROUND(N(AO67),8)=0), "Group 5: Flaky | Passed (no var SD = 0) AND Failed (no var SD = 0) | Equal Means",
        IF(AND(ROUND(N(AL67),8)&gt;0, ROUND(N(AO67),8)&gt;0), "Group 6: Flaky | Passed (with var SD &gt; 0 ) AND Failed (with var SD &gt; 0) | Equal Means",
        IF(AND(ROUND(N(AL67),8)=0, ROUND(N(AO67),8)&gt;0), "Group 7: Flaky | Passed (no var SD = 0) AND Failed (with var SD &gt; 0) | Equal Means",
        "Group 8: Flaky | Passed (with var SD &gt; 0 ) AND Failed (no var SD = 0) | Equal Means")))
    ),
    IF(AH67&gt;0,
        IF(N(AL67)&gt;0, "Group 10: Only Passed | With variation (with var SD &gt; 0)", "Group 9: Only Passed | Without variation (no var SD = 0)"),
        IF(AI67&gt;0,
            IF(N(AO67)&gt;0,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67" s="42" t="str">
        <f aca="false">IF(OR(F67="Observed Flaky Test", I67="Observed Flaky Test", S67="Observed Flaky Test", AJ67="Observed Flaky Test"), "Observed Flaky Test", "Non-observed Flaky Test")</f>
        <v>Observed Flaky Test</v>
      </c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</row>
    <row r="68" customFormat="false" ht="15.75" hidden="false" customHeight="true" outlineLevel="0" collapsed="false">
      <c r="A68" s="13"/>
      <c r="B68" s="14" t="s">
        <v>158</v>
      </c>
      <c r="C68" s="14" t="s">
        <v>159</v>
      </c>
      <c r="D68" s="15" t="n">
        <v>100</v>
      </c>
      <c r="E68" s="15" t="n">
        <v>0</v>
      </c>
      <c r="F68" s="16" t="str">
        <f aca="false">IF(AND(D68&gt;0, E68&gt;0), "Observed Flaky Test", "Non-observed Flaky Test")</f>
        <v>Non-observed Flaky Test</v>
      </c>
      <c r="G68" s="17" t="n">
        <v>100</v>
      </c>
      <c r="H68" s="17" t="n">
        <v>0</v>
      </c>
      <c r="I68" s="16" t="str">
        <f aca="false">IF(AND(G68&gt;0, H68&gt;0), "Observed Flaky Test", "Non-observed Flaky Test")</f>
        <v>Non-observed Flaky Test</v>
      </c>
      <c r="J68" s="18" t="n">
        <v>4.53</v>
      </c>
      <c r="K68" s="18" t="n">
        <v>0</v>
      </c>
      <c r="L68" s="19" t="n">
        <f aca="false">IFERROR(K68/J68*100,"N/A")</f>
        <v>0</v>
      </c>
      <c r="M68" s="18" t="n">
        <v>0</v>
      </c>
      <c r="N68" s="18" t="n">
        <v>0</v>
      </c>
      <c r="O68" s="20" t="str">
        <f aca="false">IFERROR(N68/M68*100,"N/A")</f>
        <v>N/A</v>
      </c>
      <c r="P68" s="56" t="str">
        <f aca="false">IF(AND(G68&gt;0, H68=0), IF(ROUND(K68,8)=0, "Group 9: Only Passed | Without variation (SD Passed = 0)", "Group 10: Only Passed | With variation (SD Passed &gt; 0)"), IF(AND(G68=0, H68&gt;0), IF(ROUND(N68,8)=0, "Group 11: Only Failed | Without variation (SD Failed = 0)", "Group 12: Only Failed | With variation (SD Failed &gt; 0)"), IF(AND(G68&gt;0, H68&gt;0), IF(ROUND(J68,5)&lt;&gt;ROUND(M68,5), IF(AND(ROUND(K68,8)=0, ROUND(N68,8)=0), "Group 1: Flaky | Passed (no variation) AND Failed (no variation) | Different Means", IF(AND(ROUND(K68,8)&gt;0, ROUND(N68,8)&gt;0), "Group 2: Flaky | Passed (with variation) AND Failed (with variation) | Different Means", IF(AND(ROUND(K68,8)=0, ROUND(N68,8)&gt;0), "Group 3: Flaky | Passed (no variation) AND Failed (with variation) | Different Means", "Group 4: Flaky | Passed (with variation) AND Failed (no variation) | Different Means"))), IF(AND(ROUND(K68,8)=0, ROUND(N68,8)=0), "Group 5: Flaky | Passed (no variation) AND Failed (no variation) | Equal Means", IF(AND(ROUND(K68,8)&gt;0, ROUND(N68,8)&gt;0), "Group 6: Flaky | Passed (with variation) AND Failed (with variation) | Equal Means", IF(AND(ROUND(K68,8)=0, ROUND(N68,8)&gt;0),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68" s="22" t="n">
        <v>97</v>
      </c>
      <c r="R68" s="22" t="n">
        <v>3</v>
      </c>
      <c r="S68" s="43" t="str">
        <f aca="false">IF(AND(Q68&gt;0, R68&gt;0), "Observed Flaky Test", "Non-observed Flaky Test")</f>
        <v>Observed Flaky Test</v>
      </c>
      <c r="T68" s="24" t="n">
        <v>1884270.948454</v>
      </c>
      <c r="U68" s="24" t="n">
        <v>60.757265</v>
      </c>
      <c r="V68" s="25" t="n">
        <f aca="false">IFERROR(U68/T68*100,"N/A")</f>
        <v>0.0032244441835634</v>
      </c>
      <c r="W68" s="24" t="n">
        <v>2416841.333333</v>
      </c>
      <c r="X68" s="24" t="n">
        <v>136.503968</v>
      </c>
      <c r="Y68" s="27" t="n">
        <f aca="false">IFERROR(X68/W68*100,"N/A")</f>
        <v>0.00564803183880305</v>
      </c>
      <c r="Z68" s="68" t="str">
        <f aca="false">IF(AND(Q68&gt;0, R68=0), IF(IFERROR(ROUND(V68,8),0)=0, "Group 9: Only Passed | Without variation (no var CV = 0)", "Group 10: Only Passed | With variation (with var CV &gt; 0)"), IF(AND(Q68=0, R68&gt;0), IF(IFERROR(ROUND(Y68,8),0)=0, "Group 11: Only Failed | Without variation (no var CV = 0)", "Group 12: Only Failed | With variation (with var CV &gt; 0)"), IF(AND(Q68&gt;0, R68&gt;0), IF(ROUND(T68,5)&lt;&gt;ROUND(W68,5), IF(AND(IFERROR(ROUND(V68,8),0)=0, IFERROR(ROUND(Y68,8),0)=0), "Group 1: Flaky | Passed (no variation: CV = 0) AND Failed (no variation: CV = 0) | Different Means", IF(AND(IFERROR(ROUND(V68,8),0)&gt;0, IFERROR(ROUND(Y68,8),0)&gt;0), "Group 2: Flaky | Passed (with variation: CV &gt; 0) AND Failed (with variation: CV &gt; 0) | Different Means", IF(AND(IFERROR(ROUND(V68,8),0)=0, IFERROR(ROUND(Y68,8),0)&gt;0), "Group 3: Flaky | Passed (no variation: CV = 0) AND Failed (with variation: CV &gt; 0) | Different Means", "Group 4: Flaky | Passed (with variation: CV &gt; 0) AND Failed (no variation: CV = 0) | Different Means"))), IF(AND(IFERROR(ROUND(V68,8),0)=0, IFERROR(ROUND(Y68,8),0)=0), "Group 5: Flaky | Passed (no var CV = 0) AND Failed (no var CV = 0) | Equal Means", IF(AND(IFERROR(ROUND(V68,8),0)&gt;0, IFERROR(ROUND(Y68,8),0)&gt;0), "Group 6: Flaky | Passed (with var CV &gt; 0) AND Failed (with var CV &gt; 0) | Equal Means", IF(AND(IFERROR(ROUND(V68,8),0)=0, IFERROR(ROUND(Y68,8),0)&gt;0),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68" s="29" t="n">
        <v>11.204254</v>
      </c>
      <c r="AB68" s="29" t="n">
        <v>0.045614</v>
      </c>
      <c r="AC68" s="29" t="n">
        <f aca="false">IFERROR(AB68/AA68*100,"N/A")</f>
        <v>0.407113226815458</v>
      </c>
      <c r="AD68" s="29" t="n">
        <v>11.950694</v>
      </c>
      <c r="AE68" s="29" t="n">
        <v>0.547851</v>
      </c>
      <c r="AF68" s="29" t="n">
        <f aca="false">IFERROR(AE68/AD68*100,"N/A")</f>
        <v>4.58426096425864</v>
      </c>
      <c r="AG68" s="36" t="str">
        <f aca="false">IF(AND(Q68&gt;0, R68=0), IF(IFERROR(ROUND(AC68,8),0)=0, "Group 9: Only Passed | Without variation (no var CV = 0)", "Group 10: Only Passed | With variation (with var CV &gt; 0)"), IF(AND(Q68=0, R68&gt;0), IF(IFERROR(ROUND(AF68,8),0)=0, "Group 11: Only Failed | Without variation (no var CV = 0)", "Group 12: Only Failed | With variation (with var CV &gt; 0)"), IF(AND(Q68&gt;0, R68&gt;0), IF(ROUND(AA68,5)&lt;&gt;ROUND(AD68,5), IF(AND(IFERROR(ROUND(AC68,8),0)=0, IFERROR(ROUND(AF68,8),0)=0), "Group 1: Flaky | Passed (no variation: CV = 0) AND Failed (no variation: CV = 0) | Different Means", IF(AND(IFERROR(ROUND(AC68,8),0)&gt;0, IFERROR(ROUND(AF68,8),0)&gt;0), "Group 2: Flaky | Passed (with variation: CV &gt; 0) AND Failed (with variation: CV &gt; 0) | Different Means", IF(AND(IFERROR(ROUND(AC68,8),0)=0, IFERROR(ROUND(AF68,8),0)&gt;0), "Group 3: Flaky | Passed (no variation: CV = 0) AND Failed (with variation: CV &gt; 0) | Different Means", "Group 4: Flaky | Passed (with variation: CV &gt; 0) AND Failed (no variation: CV = 0) | Different Means"))), IF(AND(IFERROR(ROUND(AC68,8),0)=0, IFERROR(ROUND(AF68,8),0)=0), "Group 5: Flaky | Passed (no var CV = 0) AND Failed (no var CV = 0) | Equal Means", IF(AND(IFERROR(ROUND(AC68,8),0)&gt;0, IFERROR(ROUND(AF68,8),0)&gt;0), "Group 6: Flaky | Passed (with var CV &gt; 0) AND Failed (with var CV &gt; 0) | Equal Means", IF(AND(IFERROR(ROUND(AC68,8),0)=0, IFERROR(ROUND(AF68,8),0)&gt;0),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68" s="22" t="n">
        <v>100</v>
      </c>
      <c r="AI68" s="17" t="n">
        <v>0</v>
      </c>
      <c r="AJ68" s="31" t="str">
        <f aca="false">IF(AND(AH68&gt;0, AI68&gt;0), "Observed Flaky Test", "Non-observed Flaky Test")</f>
        <v>Non-observed Flaky Test</v>
      </c>
      <c r="AK68" s="32" t="n">
        <v>75642</v>
      </c>
      <c r="AL68" s="32" t="n">
        <v>0</v>
      </c>
      <c r="AM68" s="33" t="n">
        <f aca="false">IFERROR(AL68/AK68*100,"N/A")</f>
        <v>0</v>
      </c>
      <c r="AN68" s="32" t="n">
        <v>0</v>
      </c>
      <c r="AO68" s="32" t="n">
        <v>0</v>
      </c>
      <c r="AP68" s="35" t="str">
        <f aca="false">IFERROR(AO68/AN68*100,"N/A")</f>
        <v>N/A</v>
      </c>
      <c r="AQ68" s="45" t="str">
        <f aca="false">IF(AND(AH68&gt;0, AI68&gt;0),
    IF(ROUND(N(AK68),5)&lt;&gt;ROUND(N(AN68),5),
        IF(AND(ROUND(N(AL68),8)=0, ROUND(N(AO68),8)=0), "Group 1: Flaky | Passed (no variation: SD = 0) AND Failed (no variation: SD = 0) | Different Means",
        IF(AND(ROUND(N(AL68),8)&gt;0, ROUND(N(AO68),8)&gt;0), "Group 2: Flaky | Passed (with variation: SD &gt; 0) AND Failed (with variation: SD &gt; 0) | Different Means",
        IF(AND(ROUND(N(AL68),8)=0, ROUND(N(AO68),8)&gt;0), "Group 3: Flaky | Passed (no variation: SD = 0) AND Failed (with variation: SD &gt; 0) | Different Means",
        "Group 4: Flaky | Passed (with variation: SD &gt; 0) AND Failed (no variation: SD = 0) | Different Means"))),
        IF(AND(ROUND(N(AL68),8)=0, ROUND(N(AO68),8)=0), "Group 5: Flaky | Passed (no var SD = 0) AND Failed (no var SD = 0) | Equal Means",
        IF(AND(ROUND(N(AL68),8)&gt;0, ROUND(N(AO68),8)&gt;0), "Group 6: Flaky | Passed (with var SD &gt; 0 ) AND Failed (with var SD &gt; 0) | Equal Means",
        IF(AND(ROUND(N(AL68),8)=0, ROUND(N(AO68),8)&gt;0), "Group 7: Flaky | Passed (no var SD = 0) AND Failed (with var SD &gt; 0) | Equal Means",
        "Group 8: Flaky | Passed (with var SD &gt; 0 ) AND Failed (no var SD = 0) | Equal Means")))
    ),
    IF(AH68&gt;0,
        IF(N(AL68)&gt;0, "Group 10: Only Passed | With variation (with var SD &gt; 0)", "Group 9: Only Passed | Without variation (no var SD = 0)"),
        IF(AI68&gt;0,
            IF(N(AO68)&gt;0,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68" s="42" t="str">
        <f aca="false">IF(OR(F68="Observed Flaky Test", I68="Observed Flaky Test", S68="Observed Flaky Test", AJ68="Observed Flaky Test"), "Observed Flaky Test", "Non-observed Flaky Test")</f>
        <v>Observed Flaky Test</v>
      </c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</row>
    <row r="69" customFormat="false" ht="15.75" hidden="false" customHeight="true" outlineLevel="0" collapsed="false">
      <c r="A69" s="13"/>
      <c r="B69" s="14" t="s">
        <v>160</v>
      </c>
      <c r="C69" s="14" t="s">
        <v>161</v>
      </c>
      <c r="D69" s="15" t="n">
        <v>100</v>
      </c>
      <c r="E69" s="15" t="n">
        <v>0</v>
      </c>
      <c r="F69" s="16" t="str">
        <f aca="false">IF(AND(D69&gt;0, E69&gt;0), "Observed Flaky Test", "Non-observed Flaky Test")</f>
        <v>Non-observed Flaky Test</v>
      </c>
      <c r="G69" s="17" t="n">
        <v>99</v>
      </c>
      <c r="H69" s="17" t="n">
        <v>1</v>
      </c>
      <c r="I69" s="61" t="str">
        <f aca="false">IF(AND(G69&gt;0, H69&gt;0), "Observed Flaky Test", "Non-observed Flaky Test")</f>
        <v>Observed Flaky Test</v>
      </c>
      <c r="J69" s="18" t="n">
        <v>6.81</v>
      </c>
      <c r="K69" s="18" t="n">
        <v>0</v>
      </c>
      <c r="L69" s="19" t="n">
        <f aca="false">IFERROR(K69/J69*100,"N/A")</f>
        <v>0</v>
      </c>
      <c r="M69" s="18" t="n">
        <v>6.61</v>
      </c>
      <c r="N69" s="18" t="n">
        <v>0</v>
      </c>
      <c r="O69" s="20" t="n">
        <f aca="false">IFERROR(N69/M69*100,"N/A")</f>
        <v>0</v>
      </c>
      <c r="P69" s="78" t="str">
        <f aca="false">IF(AND(G69&gt;0, H69=0), IF(ROUND(K69,8)=0, "Group 9: Only Passed | Without variation (SD Passed = 0)", "Group 10: Only Passed | With variation (SD Passed &gt; 0)"), IF(AND(G69=0, H69&gt;0), IF(ROUND(N69,8)=0, "Group 11: Only Failed | Without variation (SD Failed = 0)", "Group 12: Only Failed | With variation (SD Failed &gt; 0)"), IF(AND(G69&gt;0, H69&gt;0), IF(ROUND(J69,5)&lt;&gt;ROUND(M69,5), IF(AND(ROUND(K69,8)=0, ROUND(N69,8)=0), "Group 1: Flaky | Passed (no variation) AND Failed (no variation) | Different Means", IF(AND(ROUND(K69,8)&gt;0, ROUND(N69,8)&gt;0), "Group 2: Flaky | Passed (with variation) AND Failed (with variation) | Different Means", IF(AND(ROUND(K69,8)=0, ROUND(N69,8)&gt;0), "Group 3: Flaky | Passed (no variation) AND Failed (with variation) | Different Means", "Group 4: Flaky | Passed (with variation) AND Failed (no variation) | Different Means"))), IF(AND(ROUND(K69,8)=0, ROUND(N69,8)=0), "Group 5: Flaky | Passed (no variation) AND Failed (no variation) | Equal Means", IF(AND(ROUND(K69,8)&gt;0, ROUND(N69,8)&gt;0), "Group 6: Flaky | Passed (with variation) AND Failed (with variation) | Equal Means", IF(AND(ROUND(K69,8)=0, ROUND(N69,8)&gt;0),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69" s="22" t="n">
        <v>99</v>
      </c>
      <c r="R69" s="22" t="n">
        <v>1</v>
      </c>
      <c r="S69" s="43" t="str">
        <f aca="false">IF(AND(Q69&gt;0, R69&gt;0), "Observed Flaky Test", "Non-observed Flaky Test")</f>
        <v>Observed Flaky Test</v>
      </c>
      <c r="T69" s="24" t="n">
        <v>2352542.848485</v>
      </c>
      <c r="U69" s="24" t="n">
        <v>182.39279</v>
      </c>
      <c r="V69" s="25" t="n">
        <f aca="false">IFERROR(U69/T69*100,"N/A")</f>
        <v>0.00775300607669943</v>
      </c>
      <c r="W69" s="58" t="n">
        <v>3032534</v>
      </c>
      <c r="X69" s="24" t="n">
        <v>0</v>
      </c>
      <c r="Y69" s="27" t="n">
        <f aca="false">IFERROR(X69/W69*100,"N/A")</f>
        <v>0</v>
      </c>
      <c r="Z69" s="69" t="str">
        <f aca="false">IF(AND(Q69&gt;0, R69=0), IF(IFERROR(ROUND(V69,8),0)=0, "Group 9: Only Passed | Without variation (no var CV = 0)", "Group 10: Only Passed | With variation (with var CV &gt; 0)"), IF(AND(Q69=0, R69&gt;0), IF(IFERROR(ROUND(Y69,8),0)=0, "Group 11: Only Failed | Without variation (no var CV = 0)", "Group 12: Only Failed | With variation (with var CV &gt; 0)"), IF(AND(Q69&gt;0, R69&gt;0), IF(ROUND(T69,5)&lt;&gt;ROUND(W69,5), IF(AND(IFERROR(ROUND(V69,8),0)=0, IFERROR(ROUND(Y69,8),0)=0), "Group 1: Flaky | Passed (no variation: CV = 0) AND Failed (no variation: CV = 0) | Different Means", IF(AND(IFERROR(ROUND(V69,8),0)&gt;0, IFERROR(ROUND(Y69,8),0)&gt;0), "Group 2: Flaky | Passed (with variation: CV &gt; 0) AND Failed (with variation: CV &gt; 0) | Different Means", IF(AND(IFERROR(ROUND(V69,8),0)=0, IFERROR(ROUND(Y69,8),0)&gt;0), "Group 3: Flaky | Passed (no variation: CV = 0) AND Failed (with variation: CV &gt; 0) | Different Means", "Group 4: Flaky | Passed (with variation: CV &gt; 0) AND Failed (no variation: CV = 0) | Different Means"))), IF(AND(IFERROR(ROUND(V69,8),0)=0, IFERROR(ROUND(Y69,8),0)=0), "Group 5: Flaky | Passed (no var CV = 0) AND Failed (no var CV = 0) | Equal Means", IF(AND(IFERROR(ROUND(V69,8),0)&gt;0, IFERROR(ROUND(Y69,8),0)&gt;0), "Group 6: Flaky | Passed (with var CV &gt; 0) AND Failed (with var CV &gt; 0) | Equal Means", IF(AND(IFERROR(ROUND(V69,8),0)=0, IFERROR(ROUND(Y69,8),0)&gt;0),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69" s="29" t="n">
        <v>7.505452</v>
      </c>
      <c r="AB69" s="29" t="n">
        <v>0.218308</v>
      </c>
      <c r="AC69" s="29" t="n">
        <f aca="false">IFERROR(AB69/AA69*100,"N/A")</f>
        <v>2.90865893220022</v>
      </c>
      <c r="AD69" s="29" t="n">
        <v>1.669008</v>
      </c>
      <c r="AE69" s="29" t="n">
        <v>0</v>
      </c>
      <c r="AF69" s="29" t="n">
        <f aca="false">IFERROR(AE69/AD69*100,"N/A")</f>
        <v>0</v>
      </c>
      <c r="AG69" s="70" t="str">
        <f aca="false">IF(AND(Q69&gt;0, R69=0), IF(IFERROR(ROUND(AC69,8),0)=0, "Group 9: Only Passed | Without variation (no var CV = 0)", "Group 10: Only Passed | With variation (with var CV &gt; 0)"), IF(AND(Q69=0, R69&gt;0), IF(IFERROR(ROUND(AF69,8),0)=0, "Group 11: Only Failed | Without variation (no var CV = 0)", "Group 12: Only Failed | With variation (with var CV &gt; 0)"), IF(AND(Q69&gt;0, R69&gt;0), IF(ROUND(AA69,5)&lt;&gt;ROUND(AD69,5), IF(AND(IFERROR(ROUND(AC69,8),0)=0, IFERROR(ROUND(AF69,8),0)=0), "Group 1: Flaky | Passed (no variation: CV = 0) AND Failed (no variation: CV = 0) | Different Means", IF(AND(IFERROR(ROUND(AC69,8),0)&gt;0, IFERROR(ROUND(AF69,8),0)&gt;0), "Group 2: Flaky | Passed (with variation: CV &gt; 0) AND Failed (with variation: CV &gt; 0) | Different Means", IF(AND(IFERROR(ROUND(AC69,8),0)=0, IFERROR(ROUND(AF69,8),0)&gt;0), "Group 3: Flaky | Passed (no variation: CV = 0) AND Failed (with variation: CV &gt; 0) | Different Means", "Group 4: Flaky | Passed (with variation: CV &gt; 0) AND Failed (no variation: CV = 0) | Different Means"))), IF(AND(IFERROR(ROUND(AC69,8),0)=0, IFERROR(ROUND(AF69,8),0)=0), "Group 5: Flaky | Passed (no var CV = 0) AND Failed (no var CV = 0) | Equal Means", IF(AND(IFERROR(ROUND(AC69,8),0)&gt;0, IFERROR(ROUND(AF69,8),0)&gt;0), "Group 6: Flaky | Passed (with var CV &gt; 0) AND Failed (with var CV &gt; 0) | Equal Means", IF(AND(IFERROR(ROUND(AC69,8),0)=0, IFERROR(ROUND(AF69,8),0)&gt;0),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69" s="22" t="n">
        <v>99</v>
      </c>
      <c r="AI69" s="17" t="n">
        <v>1</v>
      </c>
      <c r="AJ69" s="39" t="str">
        <f aca="false">IF(AND(AH69&gt;0, AI69&gt;0), "Observed Flaky Test", "Non-observed Flaky Test")</f>
        <v>Observed Flaky Test</v>
      </c>
      <c r="AK69" s="71" t="n">
        <v>914642.292929292</v>
      </c>
      <c r="AL69" s="57" t="n">
        <v>3586.30254779727</v>
      </c>
      <c r="AM69" s="33" t="n">
        <f aca="false">IFERROR(AL69/AK69*100,"N/A")</f>
        <v>0.39209891949251</v>
      </c>
      <c r="AN69" s="32" t="n">
        <v>451359</v>
      </c>
      <c r="AO69" s="32" t="n">
        <v>0</v>
      </c>
      <c r="AP69" s="35" t="n">
        <f aca="false">IFERROR(AO69/AN69*100,"N/A")</f>
        <v>0</v>
      </c>
      <c r="AQ69" s="60" t="str">
        <f aca="false">IF(AND(AH69&gt;0, AI69&gt;0),
    IF(ROUND(N(AK69),5)&lt;&gt;ROUND(N(AN69),5),
        IF(AND(ROUND(N(AL69),8)=0, ROUND(N(AO69),8)=0), "Group 1: Flaky | Passed (no variation: SD = 0) AND Failed (no variation: SD = 0) | Different Means",
        IF(AND(ROUND(N(AL69),8)&gt;0, ROUND(N(AO69),8)&gt;0), "Group 2: Flaky | Passed (with variation: SD &gt; 0) AND Failed (with variation: SD &gt; 0) | Different Means",
        IF(AND(ROUND(N(AL69),8)=0, ROUND(N(AO69),8)&gt;0), "Group 3: Flaky | Passed (no variation: SD = 0) AND Failed (with variation: SD &gt; 0) | Different Means",
        "Group 4: Flaky | Passed (with variation: SD &gt; 0) AND Failed (no variation: SD = 0) | Different Means"))),
        IF(AND(ROUND(N(AL69),8)=0, ROUND(N(AO69),8)=0), "Group 5: Flaky | Passed (no var SD = 0) AND Failed (no var SD = 0) | Equal Means",
        IF(AND(ROUND(N(AL69),8)&gt;0, ROUND(N(AO69),8)&gt;0), "Group 6: Flaky | Passed (with var SD &gt; 0 ) AND Failed (with var SD &gt; 0) | Equal Means",
        IF(AND(ROUND(N(AL69),8)=0, ROUND(N(AO69),8)&gt;0), "Group 7: Flaky | Passed (no var SD = 0) AND Failed (with var SD &gt; 0) | Equal Means",
        "Group 8: Flaky | Passed (with var SD &gt; 0 ) AND Failed (no var SD = 0) | Equal Means")))
    ),
    IF(AH69&gt;0,
        IF(N(AL69)&gt;0, "Group 10: Only Passed | With variation (with var SD &gt; 0)", "Group 9: Only Passed | Without variation (no var SD = 0)"),
        IF(AI69&gt;0,
            IF(N(AO69)&gt;0,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69" s="42" t="str">
        <f aca="false">IF(OR(F69="Observed Flaky Test", I69="Observed Flaky Test", S69="Observed Flaky Test", AJ69="Observed Flaky Test"), "Observed Flaky Test", "Non-observed Flaky Test")</f>
        <v>Observed Flaky Test</v>
      </c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customFormat="false" ht="15.75" hidden="false" customHeight="true" outlineLevel="0" collapsed="false">
      <c r="A70" s="80" t="s">
        <v>162</v>
      </c>
      <c r="B70" s="14" t="s">
        <v>163</v>
      </c>
      <c r="C70" s="14" t="s">
        <v>164</v>
      </c>
      <c r="D70" s="15" t="n">
        <v>0</v>
      </c>
      <c r="E70" s="15" t="n">
        <v>100</v>
      </c>
      <c r="F70" s="16" t="str">
        <f aca="false">IF(AND(D70&gt;0, E70&gt;0), "Observed Flaky Test", "Non-observed Flaky Test")</f>
        <v>Non-observed Flaky Test</v>
      </c>
      <c r="G70" s="17" t="n">
        <v>0</v>
      </c>
      <c r="H70" s="17" t="n">
        <v>100</v>
      </c>
      <c r="I70" s="16" t="str">
        <f aca="false">IF(AND(G70&gt;0, H70&gt;0), "Observed Flaky Test", "Non-observed Flaky Test")</f>
        <v>Non-observed Flaky Test</v>
      </c>
      <c r="J70" s="18" t="n">
        <v>0</v>
      </c>
      <c r="K70" s="18" t="n">
        <v>0</v>
      </c>
      <c r="L70" s="19" t="str">
        <f aca="false">IFERROR(K70/J70*100,"N/A")</f>
        <v>N/A</v>
      </c>
      <c r="M70" s="18" t="n">
        <v>34.12</v>
      </c>
      <c r="N70" s="18" t="n">
        <v>0</v>
      </c>
      <c r="O70" s="20" t="n">
        <f aca="false">IFERROR(N70/M70*100,"N/A")</f>
        <v>0</v>
      </c>
      <c r="P70" s="21" t="str">
        <f aca="false">IF(AND(G70&gt;0, H70=0), IF(ROUND(K70,8)=0, "Group 9: Only Passed | Without variation (SD Passed = 0)", "Group 10: Only Passed | With variation (SD Passed &gt; 0)"), IF(AND(G70=0, H70&gt;0), IF(ROUND(N70,8)=0, "Group 11: Only Failed | Without variation (SD Failed = 0)", "Group 12: Only Failed | With variation (SD Failed &gt; 0)"), IF(AND(G70&gt;0, H70&gt;0), IF(ROUND(J70,5)&lt;&gt;ROUND(M70,5), IF(AND(ROUND(K70,8)=0, ROUND(N70,8)=0), "Group 1: Flaky | Passed (no variation) AND Failed (no variation) | Different Means", IF(AND(ROUND(K70,8)&gt;0, ROUND(N70,8)&gt;0), "Group 2: Flaky | Passed (with variation) AND Failed (with variation) | Different Means", IF(AND(ROUND(K70,8)=0, ROUND(N70,8)&gt;0), "Group 3: Flaky | Passed (no variation) AND Failed (with variation) | Different Means", "Group 4: Flaky | Passed (with variation) AND Failed (no variation) | Different Means"))), IF(AND(ROUND(K70,8)=0, ROUND(N70,8)=0), "Group 5: Flaky | Passed (no variation) AND Failed (no variation) | Equal Means", IF(AND(ROUND(K70,8)&gt;0, ROUND(N70,8)&gt;0), "Group 6: Flaky | Passed (with variation) AND Failed (with variation) | Equal Means", IF(AND(ROUND(K70,8)=0, ROUND(N70,8)&gt;0),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70" s="22" t="n">
        <v>0</v>
      </c>
      <c r="R70" s="22" t="n">
        <v>100</v>
      </c>
      <c r="S70" s="23" t="str">
        <f aca="false">IF(AND(Q70&gt;0, R70&gt;0), "Observed Flaky Test", "Non-observed Flaky Test")</f>
        <v>Non-observed Flaky Test</v>
      </c>
      <c r="T70" s="24" t="n">
        <v>0</v>
      </c>
      <c r="U70" s="26" t="n">
        <v>0</v>
      </c>
      <c r="V70" s="25" t="str">
        <f aca="false">IFERROR(U70/T70*100,"N/A")</f>
        <v>N/A</v>
      </c>
      <c r="W70" s="55" t="n">
        <v>5038071.1</v>
      </c>
      <c r="X70" s="24" t="n">
        <v>64.112669</v>
      </c>
      <c r="Y70" s="27" t="n">
        <f aca="false">IFERROR(X70/W70*100,"N/A")</f>
        <v>0.00127256379926834</v>
      </c>
      <c r="Z70" s="28" t="str">
        <f aca="false">IF(AND(Q70&gt;0, R70=0), IF(IFERROR(ROUND(V70,8),0)=0, "Group 9: Only Passed | Without variation (no var CV = 0)", "Group 10: Only Passed | With variation (with var CV &gt; 0)"), IF(AND(Q70=0, R70&gt;0), IF(IFERROR(ROUND(Y70,8),0)=0, "Group 11: Only Failed | Without variation (no var CV = 0)", "Group 12: Only Failed | With variation (with var CV &gt; 0)"), IF(AND(Q70&gt;0, R70&gt;0), IF(ROUND(T70,5)&lt;&gt;ROUND(W70,5), IF(AND(IFERROR(ROUND(V70,8),0)=0, IFERROR(ROUND(Y70,8),0)=0), "Group 1: Flaky | Passed (no variation: CV = 0) AND Failed (no variation: CV = 0) | Different Means", IF(AND(IFERROR(ROUND(V70,8),0)&gt;0, IFERROR(ROUND(Y70,8),0)&gt;0), "Group 2: Flaky | Passed (with variation: CV &gt; 0) AND Failed (with variation: CV &gt; 0) | Different Means", IF(AND(IFERROR(ROUND(V70,8),0)=0, IFERROR(ROUND(Y70,8),0)&gt;0), "Group 3: Flaky | Passed (no variation: CV = 0) AND Failed (with variation: CV &gt; 0) | Different Means", "Group 4: Flaky | Passed (with variation: CV &gt; 0) AND Failed (no variation: CV = 0) | Different Means"))), IF(AND(IFERROR(ROUND(V70,8),0)=0, IFERROR(ROUND(Y70,8),0)=0), "Group 5: Flaky | Passed (no var CV = 0) AND Failed (no var CV = 0) | Equal Means", IF(AND(IFERROR(ROUND(V70,8),0)&gt;0, IFERROR(ROUND(Y70,8),0)&gt;0), "Group 6: Flaky | Passed (with var CV &gt; 0) AND Failed (with var CV &gt; 0) | Equal Means", IF(AND(IFERROR(ROUND(V70,8),0)=0, IFERROR(ROUND(Y70,8),0)&gt;0),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70" s="29" t="n">
        <v>0</v>
      </c>
      <c r="AB70" s="29" t="n">
        <v>0</v>
      </c>
      <c r="AC70" s="29" t="str">
        <f aca="false">IFERROR(AB70/AA70*100,"N/A")</f>
        <v>N/A</v>
      </c>
      <c r="AD70" s="29" t="n">
        <v>2.992036</v>
      </c>
      <c r="AE70" s="29" t="n">
        <v>0.314003</v>
      </c>
      <c r="AF70" s="29" t="n">
        <f aca="false">IFERROR(AE70/AD70*100,"N/A")</f>
        <v>10.494626401554</v>
      </c>
      <c r="AG70" s="30" t="str">
        <f aca="false">IF(AND(Q70&gt;0, R70=0), IF(IFERROR(ROUND(AC70,8),0)=0, "Group 9: Only Passed | Without variation (no var CV = 0)", "Group 10: Only Passed | With variation (with var CV &gt; 0)"), IF(AND(Q70=0, R70&gt;0), IF(IFERROR(ROUND(AF70,8),0)=0, "Group 11: Only Failed | Without variation (no var CV = 0)", "Group 12: Only Failed | With variation (with var CV &gt; 0)"), IF(AND(Q70&gt;0, R70&gt;0), IF(ROUND(AA70,5)&lt;&gt;ROUND(AD70,5), IF(AND(IFERROR(ROUND(AC70,8),0)=0, IFERROR(ROUND(AF70,8),0)=0), "Group 1: Flaky | Passed (no variation: CV = 0) AND Failed (no variation: CV = 0) | Different Means", IF(AND(IFERROR(ROUND(AC70,8),0)&gt;0, IFERROR(ROUND(AF70,8),0)&gt;0), "Group 2: Flaky | Passed (with variation: CV &gt; 0) AND Failed (with variation: CV &gt; 0) | Different Means", IF(AND(IFERROR(ROUND(AC70,8),0)=0, IFERROR(ROUND(AF70,8),0)&gt;0), "Group 3: Flaky | Passed (no variation: CV = 0) AND Failed (with variation: CV &gt; 0) | Different Means", "Group 4: Flaky | Passed (with variation: CV &gt; 0) AND Failed (no variation: CV = 0) | Different Means"))), IF(AND(IFERROR(ROUND(AC70,8),0)=0, IFERROR(ROUND(AF70,8),0)=0), "Group 5: Flaky | Passed (no var CV = 0) AND Failed (no var CV = 0) | Equal Means", IF(AND(IFERROR(ROUND(AC70,8),0)&gt;0, IFERROR(ROUND(AF70,8),0)&gt;0), "Group 6: Flaky | Passed (with var CV &gt; 0) AND Failed (with var CV &gt; 0) | Equal Means", IF(AND(IFERROR(ROUND(AC70,8),0)=0, IFERROR(ROUND(AF70,8),0)&gt;0),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70" s="22" t="n">
        <v>0</v>
      </c>
      <c r="AI70" s="17" t="n">
        <v>100</v>
      </c>
      <c r="AJ70" s="31" t="str">
        <f aca="false">IF(AND(AH70&gt;0, AI70&gt;0), "Observed Flaky Test", "Non-observed Flaky Test")</f>
        <v>Non-observed Flaky Test</v>
      </c>
      <c r="AK70" s="32" t="n">
        <v>0</v>
      </c>
      <c r="AL70" s="32" t="n">
        <v>0</v>
      </c>
      <c r="AM70" s="33" t="str">
        <f aca="false">IFERROR(AL70/AK70*100,"N/A")</f>
        <v>N/A</v>
      </c>
      <c r="AN70" s="32" t="n">
        <v>18611</v>
      </c>
      <c r="AO70" s="32" t="n">
        <v>0</v>
      </c>
      <c r="AP70" s="35" t="n">
        <f aca="false">IFERROR(AO70/AN70*100,"N/A")</f>
        <v>0</v>
      </c>
      <c r="AQ70" s="73" t="str">
        <f aca="false">IF(AND(AH70&gt;0, AI70&gt;0),
    IF(ROUND(N(AK70),5)&lt;&gt;ROUND(N(AN70),5),
        IF(AND(ROUND(N(AL70),8)=0, ROUND(N(AO70),8)=0), "Group 1: Flaky | Passed (no variation: SD = 0) AND Failed (no variation: SD = 0) | Different Means",
        IF(AND(ROUND(N(AL70),8)&gt;0, ROUND(N(AO70),8)&gt;0), "Group 2: Flaky | Passed (with variation: SD &gt; 0) AND Failed (with variation: SD &gt; 0) | Different Means",
        IF(AND(ROUND(N(AL70),8)=0, ROUND(N(AO70),8)&gt;0), "Group 3: Flaky | Passed (no variation: SD = 0) AND Failed (with variation: SD &gt; 0) | Different Means",
        "Group 4: Flaky | Passed (with variation: SD &gt; 0) AND Failed (no variation: SD = 0) | Different Means"))),
        IF(AND(ROUND(N(AL70),8)=0, ROUND(N(AO70),8)=0), "Group 5: Flaky | Passed (no var SD = 0) AND Failed (no var SD = 0) | Equal Means",
        IF(AND(ROUND(N(AL70),8)&gt;0, ROUND(N(AO70),8)&gt;0), "Group 6: Flaky | Passed (with var SD &gt; 0 ) AND Failed (with var SD &gt; 0) | Equal Means",
        IF(AND(ROUND(N(AL70),8)=0, ROUND(N(AO70),8)&gt;0), "Group 7: Flaky | Passed (no var SD = 0) AND Failed (with var SD &gt; 0) | Equal Means",
        "Group 8: Flaky | Passed (with var SD &gt; 0 ) AND Failed (no var SD = 0) | Equal Means")))
    ),
    IF(AH70&gt;0,
        IF(N(AL70)&gt;0, "Group 10: Only Passed | With variation (with var SD &gt; 0)", "Group 9: Only Passed | Without variation (no var SD = 0)"),
        IF(AI70&gt;0,
            IF(N(AO70)&gt;0,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70" s="37" t="str">
        <f aca="false">IF(OR(F70="Observed Flaky Test", I70="Observed Flaky Test", S70="Observed Flaky Test", AJ70="Observed Flaky Test"), "Observed Flaky Test", "Non-observed Flaky Test")</f>
        <v>Non-observed Flaky Test</v>
      </c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</row>
    <row r="71" customFormat="false" ht="15.75" hidden="false" customHeight="true" outlineLevel="0" collapsed="false">
      <c r="A71" s="81" t="s">
        <v>165</v>
      </c>
      <c r="B71" s="14" t="s">
        <v>166</v>
      </c>
      <c r="C71" s="14" t="s">
        <v>167</v>
      </c>
      <c r="D71" s="15" t="n">
        <v>100</v>
      </c>
      <c r="E71" s="15" t="n">
        <v>0</v>
      </c>
      <c r="F71" s="16" t="str">
        <f aca="false">IF(AND(D71&gt;0, E71&gt;0), "Observed Flaky Test", "Non-observed Flaky Test")</f>
        <v>Non-observed Flaky Test</v>
      </c>
      <c r="G71" s="17" t="n">
        <v>100</v>
      </c>
      <c r="H71" s="17" t="n">
        <v>0</v>
      </c>
      <c r="I71" s="16" t="str">
        <f aca="false">IF(AND(G71&gt;0, H71&gt;0), "Observed Flaky Test", "Non-observed Flaky Test")</f>
        <v>Non-observed Flaky Test</v>
      </c>
      <c r="J71" s="18" t="n">
        <v>18.92</v>
      </c>
      <c r="K71" s="18" t="n">
        <v>0</v>
      </c>
      <c r="L71" s="19" t="n">
        <f aca="false">IFERROR(K71/J71*100,"N/A")</f>
        <v>0</v>
      </c>
      <c r="M71" s="18" t="n">
        <v>0</v>
      </c>
      <c r="N71" s="18" t="n">
        <v>0</v>
      </c>
      <c r="O71" s="20" t="str">
        <f aca="false">IFERROR(N71/M71*100,"N/A")</f>
        <v>N/A</v>
      </c>
      <c r="P71" s="56" t="str">
        <f aca="false">IF(AND(G71&gt;0, H71=0), IF(ROUND(K71,8)=0, "Group 9: Only Passed | Without variation (SD Passed = 0)", "Group 10: Only Passed | With variation (SD Passed &gt; 0)"), IF(AND(G71=0, H71&gt;0), IF(ROUND(N71,8)=0, "Group 11: Only Failed | Without variation (SD Failed = 0)", "Group 12: Only Failed | With variation (SD Failed &gt; 0)"), IF(AND(G71&gt;0, H71&gt;0), IF(ROUND(J71,5)&lt;&gt;ROUND(M71,5), IF(AND(ROUND(K71,8)=0, ROUND(N71,8)=0), "Group 1: Flaky | Passed (no variation) AND Failed (no variation) | Different Means", IF(AND(ROUND(K71,8)&gt;0, ROUND(N71,8)&gt;0), "Group 2: Flaky | Passed (with variation) AND Failed (with variation) | Different Means", IF(AND(ROUND(K71,8)=0, ROUND(N71,8)&gt;0), "Group 3: Flaky | Passed (no variation) AND Failed (with variation) | Different Means", "Group 4: Flaky | Passed (with variation) AND Failed (no variation) | Different Means"))), IF(AND(ROUND(K71,8)=0, ROUND(N71,8)=0), "Group 5: Flaky | Passed (no variation) AND Failed (no variation) | Equal Means", IF(AND(ROUND(K71,8)&gt;0, ROUND(N71,8)&gt;0), "Group 6: Flaky | Passed (with variation) AND Failed (with variation) | Equal Means", IF(AND(ROUND(K71,8)=0, ROUND(N71,8)&gt;0),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71" s="22" t="n">
        <v>100</v>
      </c>
      <c r="R71" s="22" t="n">
        <v>0</v>
      </c>
      <c r="S71" s="23" t="str">
        <f aca="false">IF(AND(Q71&gt;0, R71&gt;0), "Observed Flaky Test", "Non-observed Flaky Test")</f>
        <v>Non-observed Flaky Test</v>
      </c>
      <c r="T71" s="55" t="n">
        <v>412281.6</v>
      </c>
      <c r="U71" s="24" t="n">
        <v>8.146388</v>
      </c>
      <c r="V71" s="25" t="n">
        <f aca="false">IFERROR(U71/T71*100,"N/A")</f>
        <v>0.00197592810350983</v>
      </c>
      <c r="W71" s="22" t="n">
        <v>0</v>
      </c>
      <c r="X71" s="22" t="n">
        <v>0</v>
      </c>
      <c r="Y71" s="27" t="str">
        <f aca="false">IFERROR(X71/W71*100,"N/A")</f>
        <v>N/A</v>
      </c>
      <c r="Z71" s="50" t="str">
        <f aca="false">IF(AND(Q71&gt;0, R71=0), IF(IFERROR(ROUND(V71,8),0)=0, "Group 9: Only Passed | Without variation (no var CV = 0)", "Group 10: Only Passed | With variation (with var CV &gt; 0)"), IF(AND(Q71=0, R71&gt;0), IF(IFERROR(ROUND(Y71,8),0)=0, "Group 11: Only Failed | Without variation (no var CV = 0)", "Group 12: Only Failed | With variation (with var CV &gt; 0)"), IF(AND(Q71&gt;0, R71&gt;0), IF(ROUND(T71,5)&lt;&gt;ROUND(W71,5), IF(AND(IFERROR(ROUND(V71,8),0)=0, IFERROR(ROUND(Y71,8),0)=0), "Group 1: Flaky | Passed (no variation: CV = 0) AND Failed (no variation: CV = 0) | Different Means", IF(AND(IFERROR(ROUND(V71,8),0)&gt;0, IFERROR(ROUND(Y71,8),0)&gt;0), "Group 2: Flaky | Passed (with variation: CV &gt; 0) AND Failed (with variation: CV &gt; 0) | Different Means", IF(AND(IFERROR(ROUND(V71,8),0)=0, IFERROR(ROUND(Y71,8),0)&gt;0), "Group 3: Flaky | Passed (no variation: CV = 0) AND Failed (with variation: CV &gt; 0) | Different Means", "Group 4: Flaky | Passed (with variation: CV &gt; 0) AND Failed (no variation: CV = 0) | Different Means"))), IF(AND(IFERROR(ROUND(V71,8),0)=0, IFERROR(ROUND(Y71,8),0)=0), "Group 5: Flaky | Passed (no var CV = 0) AND Failed (no var CV = 0) | Equal Means", IF(AND(IFERROR(ROUND(V71,8),0)&gt;0, IFERROR(ROUND(Y71,8),0)&gt;0), "Group 6: Flaky | Passed (with var CV &gt; 0) AND Failed (with var CV &gt; 0) | Equal Means", IF(AND(IFERROR(ROUND(V71,8),0)=0, IFERROR(ROUND(Y71,8),0)&gt;0),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71" s="29" t="n">
        <v>0.464188</v>
      </c>
      <c r="AB71" s="29" t="n">
        <v>0.049643</v>
      </c>
      <c r="AC71" s="29" t="n">
        <f aca="false">IFERROR(AB71/AA71*100,"N/A")</f>
        <v>10.6945892612476</v>
      </c>
      <c r="AD71" s="29" t="n">
        <v>0</v>
      </c>
      <c r="AE71" s="29" t="n">
        <v>0</v>
      </c>
      <c r="AF71" s="29" t="str">
        <f aca="false">IFERROR(AE71/AD71*100,"N/A")</f>
        <v>N/A</v>
      </c>
      <c r="AG71" s="51" t="str">
        <f aca="false">IF(AND(Q71&gt;0, R71=0), IF(IFERROR(ROUND(AC71,8),0)=0, "Group 9: Only Passed | Without variation (no var CV = 0)", "Group 10: Only Passed | With variation (with var CV &gt; 0)"), IF(AND(Q71=0, R71&gt;0), IF(IFERROR(ROUND(AF71,8),0)=0, "Group 11: Only Failed | Without variation (no var CV = 0)", "Group 12: Only Failed | With variation (with var CV &gt; 0)"), IF(AND(Q71&gt;0, R71&gt;0), IF(ROUND(AA71,5)&lt;&gt;ROUND(AD71,5), IF(AND(IFERROR(ROUND(AC71,8),0)=0, IFERROR(ROUND(AF71,8),0)=0), "Group 1: Flaky | Passed (no variation: CV = 0) AND Failed (no variation: CV = 0) | Different Means", IF(AND(IFERROR(ROUND(AC71,8),0)&gt;0, IFERROR(ROUND(AF71,8),0)&gt;0), "Group 2: Flaky | Passed (with variation: CV &gt; 0) AND Failed (with variation: CV &gt; 0) | Different Means", IF(AND(IFERROR(ROUND(AC71,8),0)=0, IFERROR(ROUND(AF71,8),0)&gt;0), "Group 3: Flaky | Passed (no variation: CV = 0) AND Failed (with variation: CV &gt; 0) | Different Means", "Group 4: Flaky | Passed (with variation: CV &gt; 0) AND Failed (no variation: CV = 0) | Different Means"))), IF(AND(IFERROR(ROUND(AC71,8),0)=0, IFERROR(ROUND(AF71,8),0)=0), "Group 5: Flaky | Passed (no var CV = 0) AND Failed (no var CV = 0) | Equal Means", IF(AND(IFERROR(ROUND(AC71,8),0)&gt;0, IFERROR(ROUND(AF71,8),0)&gt;0), "Group 6: Flaky | Passed (with var CV &gt; 0) AND Failed (with var CV &gt; 0) | Equal Means", IF(AND(IFERROR(ROUND(AC71,8),0)=0, IFERROR(ROUND(AF71,8),0)&gt;0),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71" s="22" t="n">
        <v>100</v>
      </c>
      <c r="AI71" s="17" t="n">
        <v>0</v>
      </c>
      <c r="AJ71" s="31" t="str">
        <f aca="false">IF(AND(AH71&gt;0, AI71&gt;0), "Observed Flaky Test", "Non-observed Flaky Test")</f>
        <v>Non-observed Flaky Test</v>
      </c>
      <c r="AK71" s="81" t="n">
        <v>943.64</v>
      </c>
      <c r="AL71" s="82" t="n">
        <v>0.611671001553461</v>
      </c>
      <c r="AM71" s="33" t="n">
        <f aca="false">IFERROR(AL71/AK71*100,"N/A")</f>
        <v>0.0648203765793588</v>
      </c>
      <c r="AN71" s="32" t="n">
        <v>0</v>
      </c>
      <c r="AO71" s="32" t="n">
        <v>0</v>
      </c>
      <c r="AP71" s="35" t="str">
        <f aca="false">IFERROR(AO71/AN71*100,"N/A")</f>
        <v>N/A</v>
      </c>
      <c r="AQ71" s="52" t="str">
        <f aca="false">IF(AND(AH71&gt;0, AI71&gt;0),
    IF(ROUND(N(AK71),5)&lt;&gt;ROUND(N(AN71),5),
        IF(AND(ROUND(N(AL71),8)=0, ROUND(N(AO71),8)=0), "Group 1: Flaky | Passed (no variation: SD = 0) AND Failed (no variation: SD = 0) | Different Means",
        IF(AND(ROUND(N(AL71),8)&gt;0, ROUND(N(AO71),8)&gt;0), "Group 2: Flaky | Passed (with variation: SD &gt; 0) AND Failed (with variation: SD &gt; 0) | Different Means",
        IF(AND(ROUND(N(AL71),8)=0, ROUND(N(AO71),8)&gt;0), "Group 3: Flaky | Passed (no variation: SD = 0) AND Failed (with variation: SD &gt; 0) | Different Means",
        "Group 4: Flaky | Passed (with variation: SD &gt; 0) AND Failed (no variation: SD = 0) | Different Means"))),
        IF(AND(ROUND(N(AL71),8)=0, ROUND(N(AO71),8)=0), "Group 5: Flaky | Passed (no var SD = 0) AND Failed (no var SD = 0) | Equal Means",
        IF(AND(ROUND(N(AL71),8)&gt;0, ROUND(N(AO71),8)&gt;0), "Group 6: Flaky | Passed (with var SD &gt; 0 ) AND Failed (with var SD &gt; 0) | Equal Means",
        IF(AND(ROUND(N(AL71),8)=0, ROUND(N(AO71),8)&gt;0), "Group 7: Flaky | Passed (no var SD = 0) AND Failed (with var SD &gt; 0) | Equal Means",
        "Group 8: Flaky | Passed (with var SD &gt; 0 ) AND Failed (no var SD = 0) | Equal Means")))
    ),
    IF(AH71&gt;0,
        IF(N(AL71)&gt;0, "Group 10: Only Passed | With variation (with var SD &gt; 0)", "Group 9: Only Passed | Without variation (no var SD = 0)"),
        IF(AI71&gt;0,
            IF(N(AO71)&gt;0,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1" s="37" t="str">
        <f aca="false">IF(OR(F71="Observed Flaky Test", I71="Observed Flaky Test", S71="Observed Flaky Test", AJ71="Observed Flaky Test"), "Observed Flaky Test", "Non-observed Flaky Test")</f>
        <v>Non-observed Flaky Test</v>
      </c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</row>
    <row r="72" customFormat="false" ht="26.25" hidden="false" customHeight="true" outlineLevel="0" collapsed="false">
      <c r="A72" s="81" t="s">
        <v>168</v>
      </c>
      <c r="B72" s="14" t="s">
        <v>169</v>
      </c>
      <c r="C72" s="14" t="s">
        <v>170</v>
      </c>
      <c r="D72" s="15" t="n">
        <v>0</v>
      </c>
      <c r="E72" s="15" t="n">
        <v>100</v>
      </c>
      <c r="F72" s="16" t="str">
        <f aca="false">IF(AND(D72&gt;0, E72&gt;0), "Observed Flaky Test", "Non-observed Flaky Test")</f>
        <v>Non-observed Flaky Test</v>
      </c>
      <c r="G72" s="17" t="n">
        <v>100</v>
      </c>
      <c r="H72" s="17" t="n">
        <v>0</v>
      </c>
      <c r="I72" s="16" t="str">
        <f aca="false">IF(AND(G72&gt;0, H72&gt;0), "Observed Flaky Test", "Non-observed Flaky Test")</f>
        <v>Non-observed Flaky Test</v>
      </c>
      <c r="J72" s="46" t="n">
        <v>12.9206</v>
      </c>
      <c r="K72" s="53" t="n">
        <v>0.125442</v>
      </c>
      <c r="L72" s="19" t="n">
        <f aca="false">IFERROR(K72/J72*100,"N/A")</f>
        <v>0.97086822593378</v>
      </c>
      <c r="M72" s="18" t="n">
        <v>0</v>
      </c>
      <c r="N72" s="18" t="n">
        <v>0</v>
      </c>
      <c r="O72" s="20" t="str">
        <f aca="false">IFERROR(N72/M72*100,"N/A")</f>
        <v>N/A</v>
      </c>
      <c r="P72" s="48" t="str">
        <f aca="false">IF(AND(G72&gt;0, H72=0), IF(ROUND(K72,8)=0, "Group 9: Only Passed | Without variation (SD Passed = 0)", "Group 10: Only Passed | With variation (SD Passed &gt; 0)"), IF(AND(G72=0, H72&gt;0), IF(ROUND(N72,8)=0, "Group 11: Only Failed | Without variation (SD Failed = 0)", "Group 12: Only Failed | With variation (SD Failed &gt; 0)"), IF(AND(G72&gt;0, H72&gt;0), IF(ROUND(J72,5)&lt;&gt;ROUND(M72,5), IF(AND(ROUND(K72,8)=0, ROUND(N72,8)=0), "Group 1: Flaky | Passed (no variation) AND Failed (no variation) | Different Means", IF(AND(ROUND(K72,8)&gt;0, ROUND(N72,8)&gt;0), "Group 2: Flaky | Passed (with variation) AND Failed (with variation) | Different Means", IF(AND(ROUND(K72,8)=0, ROUND(N72,8)&gt;0), "Group 3: Flaky | Passed (no variation) AND Failed (with variation) | Different Means", "Group 4: Flaky | Passed (with variation) AND Failed (no variation) | Different Means"))), IF(AND(ROUND(K72,8)=0, ROUND(N72,8)=0), "Group 5: Flaky | Passed (no variation) AND Failed (no variation) | Equal Means", IF(AND(ROUND(K72,8)&gt;0, ROUND(N72,8)&gt;0), "Group 6: Flaky | Passed (with variation) AND Failed (with variation) | Equal Means", IF(AND(ROUND(K72,8)=0, ROUND(N72,8)&gt;0),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2" s="22" t="n">
        <v>99</v>
      </c>
      <c r="R72" s="22" t="n">
        <v>1</v>
      </c>
      <c r="S72" s="43" t="str">
        <f aca="false">IF(AND(Q72&gt;0, R72&gt;0), "Observed Flaky Test", "Non-observed Flaky Test")</f>
        <v>Observed Flaky Test</v>
      </c>
      <c r="T72" s="24" t="n">
        <v>3393967.353535</v>
      </c>
      <c r="U72" s="24" t="n">
        <v>17584.020606</v>
      </c>
      <c r="V72" s="25" t="n">
        <f aca="false">IFERROR(U72/T72*100,"N/A")</f>
        <v>0.518096339014142</v>
      </c>
      <c r="W72" s="58" t="n">
        <v>3004189</v>
      </c>
      <c r="X72" s="22" t="n">
        <v>0</v>
      </c>
      <c r="Y72" s="27" t="n">
        <f aca="false">IFERROR(X72/W72*100,"N/A")</f>
        <v>0</v>
      </c>
      <c r="Z72" s="69" t="str">
        <f aca="false">IF(AND(Q72&gt;0, R72=0), IF(IFERROR(ROUND(V72,8),0)=0, "Group 9: Only Passed | Without variation (no var CV = 0)", "Group 10: Only Passed | With variation (with var CV &gt; 0)"), IF(AND(Q72=0, R72&gt;0), IF(IFERROR(ROUND(Y72,8),0)=0, "Group 11: Only Failed | Without variation (no var CV = 0)", "Group 12: Only Failed | With variation (with var CV &gt; 0)"), IF(AND(Q72&gt;0, R72&gt;0), IF(ROUND(T72,5)&lt;&gt;ROUND(W72,5), IF(AND(IFERROR(ROUND(V72,8),0)=0, IFERROR(ROUND(Y72,8),0)=0), "Group 1: Flaky | Passed (no variation: CV = 0) AND Failed (no variation: CV = 0) | Different Means", IF(AND(IFERROR(ROUND(V72,8),0)&gt;0, IFERROR(ROUND(Y72,8),0)&gt;0), "Group 2: Flaky | Passed (with variation: CV &gt; 0) AND Failed (with variation: CV &gt; 0) | Different Means", IF(AND(IFERROR(ROUND(V72,8),0)=0, IFERROR(ROUND(Y72,8),0)&gt;0), "Group 3: Flaky | Passed (no variation: CV = 0) AND Failed (with variation: CV &gt; 0) | Different Means", "Group 4: Flaky | Passed (with variation: CV &gt; 0) AND Failed (no variation: CV = 0) | Different Means"))), IF(AND(IFERROR(ROUND(V72,8),0)=0, IFERROR(ROUND(Y72,8),0)=0), "Group 5: Flaky | Passed (no var CV = 0) AND Failed (no var CV = 0) | Equal Means", IF(AND(IFERROR(ROUND(V72,8),0)&gt;0, IFERROR(ROUND(Y72,8),0)&gt;0), "Group 6: Flaky | Passed (with var CV &gt; 0) AND Failed (with var CV &gt; 0) | Equal Means", IF(AND(IFERROR(ROUND(V72,8),0)=0, IFERROR(ROUND(Y72,8),0)&gt;0),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72" s="29" t="n">
        <v>1.009419</v>
      </c>
      <c r="AB72" s="29" t="n">
        <v>0.03993</v>
      </c>
      <c r="AC72" s="29" t="n">
        <f aca="false">IFERROR(AB72/AA72*100,"N/A")</f>
        <v>3.95574087668253</v>
      </c>
      <c r="AD72" s="29" t="n">
        <v>0.846735</v>
      </c>
      <c r="AE72" s="29" t="n">
        <v>0</v>
      </c>
      <c r="AF72" s="29" t="n">
        <f aca="false">IFERROR(AE72/AD72*100,"N/A")</f>
        <v>0</v>
      </c>
      <c r="AG72" s="70" t="str">
        <f aca="false">IF(AND(Q72&gt;0, R72=0), IF(IFERROR(ROUND(AC72,8),0)=0, "Group 9: Only Passed | Without variation (no var CV = 0)", "Group 10: Only Passed | With variation (with var CV &gt; 0)"), IF(AND(Q72=0, R72&gt;0), IF(IFERROR(ROUND(AF72,8),0)=0, "Group 11: Only Failed | Without variation (no var CV = 0)", "Group 12: Only Failed | With variation (with var CV &gt; 0)"), IF(AND(Q72&gt;0, R72&gt;0), IF(ROUND(AA72,5)&lt;&gt;ROUND(AD72,5), IF(AND(IFERROR(ROUND(AC72,8),0)=0, IFERROR(ROUND(AF72,8),0)=0), "Group 1: Flaky | Passed (no variation: CV = 0) AND Failed (no variation: CV = 0) | Different Means", IF(AND(IFERROR(ROUND(AC72,8),0)&gt;0, IFERROR(ROUND(AF72,8),0)&gt;0), "Group 2: Flaky | Passed (with variation: CV &gt; 0) AND Failed (with variation: CV &gt; 0) | Different Means", IF(AND(IFERROR(ROUND(AC72,8),0)=0, IFERROR(ROUND(AF72,8),0)&gt;0), "Group 3: Flaky | Passed (no variation: CV = 0) AND Failed (with variation: CV &gt; 0) | Different Means", "Group 4: Flaky | Passed (with variation: CV &gt; 0) AND Failed (no variation: CV = 0) | Different Means"))), IF(AND(IFERROR(ROUND(AC72,8),0)=0, IFERROR(ROUND(AF72,8),0)=0), "Group 5: Flaky | Passed (no var CV = 0) AND Failed (no var CV = 0) | Equal Means", IF(AND(IFERROR(ROUND(AC72,8),0)&gt;0, IFERROR(ROUND(AF72,8),0)&gt;0), "Group 6: Flaky | Passed (with var CV &gt; 0) AND Failed (with var CV &gt; 0) | Equal Means", IF(AND(IFERROR(ROUND(AC72,8),0)=0, IFERROR(ROUND(AF72,8),0)&gt;0),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72" s="22" t="n">
        <v>100</v>
      </c>
      <c r="AI72" s="17" t="n">
        <v>0</v>
      </c>
      <c r="AJ72" s="31" t="str">
        <f aca="false">IF(AND(AH72&gt;0, AI72&gt;0), "Observed Flaky Test", "Non-observed Flaky Test")</f>
        <v>Non-observed Flaky Test</v>
      </c>
      <c r="AK72" s="32" t="n">
        <v>47345957.71</v>
      </c>
      <c r="AL72" s="59" t="n">
        <v>1837919.98409281</v>
      </c>
      <c r="AM72" s="33" t="n">
        <f aca="false">IFERROR(AL72/AK72*100,"N/A")</f>
        <v>3.88189419538264</v>
      </c>
      <c r="AN72" s="32" t="n">
        <v>0</v>
      </c>
      <c r="AO72" s="32" t="n">
        <v>0</v>
      </c>
      <c r="AP72" s="35" t="str">
        <f aca="false">IFERROR(AO72/AN72*100,"N/A")</f>
        <v>N/A</v>
      </c>
      <c r="AQ72" s="52" t="str">
        <f aca="false">IF(AND(AH72&gt;0, AI72&gt;0),
    IF(ROUND(N(AK72),5)&lt;&gt;ROUND(N(AN72),5),
        IF(AND(ROUND(N(AL72),8)=0, ROUND(N(AO72),8)=0), "Group 1: Flaky | Passed (no variation: SD = 0) AND Failed (no variation: SD = 0) | Different Means",
        IF(AND(ROUND(N(AL72),8)&gt;0, ROUND(N(AO72),8)&gt;0), "Group 2: Flaky | Passed (with variation: SD &gt; 0) AND Failed (with variation: SD &gt; 0) | Different Means",
        IF(AND(ROUND(N(AL72),8)=0, ROUND(N(AO72),8)&gt;0), "Group 3: Flaky | Passed (no variation: SD = 0) AND Failed (with variation: SD &gt; 0) | Different Means",
        "Group 4: Flaky | Passed (with variation: SD &gt; 0) AND Failed (no variation: SD = 0) | Different Means"))),
        IF(AND(ROUND(N(AL72),8)=0, ROUND(N(AO72),8)=0), "Group 5: Flaky | Passed (no var SD = 0) AND Failed (no var SD = 0) | Equal Means",
        IF(AND(ROUND(N(AL72),8)&gt;0, ROUND(N(AO72),8)&gt;0), "Group 6: Flaky | Passed (with var SD &gt; 0 ) AND Failed (with var SD &gt; 0) | Equal Means",
        IF(AND(ROUND(N(AL72),8)=0, ROUND(N(AO72),8)&gt;0), "Group 7: Flaky | Passed (no var SD = 0) AND Failed (with var SD &gt; 0) | Equal Means",
        "Group 8: Flaky | Passed (with var SD &gt; 0 ) AND Failed (no var SD = 0) | Equal Means")))
    ),
    IF(AH72&gt;0,
        IF(N(AL72)&gt;0, "Group 10: Only Passed | With variation (with var SD &gt; 0)", "Group 9: Only Passed | Without variation (no var SD = 0)"),
        IF(AI72&gt;0,
            IF(N(AO72)&gt;0,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2" s="42" t="str">
        <f aca="false">IF(OR(F72="Observed Flaky Test", I72="Observed Flaky Test", S72="Observed Flaky Test", AJ72="Observed Flaky Test"), "Observed Flaky Test", "Non-observed Flaky Test")</f>
        <v>Observed Flaky Test</v>
      </c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</row>
    <row r="73" customFormat="false" ht="15.75" hidden="false" customHeight="true" outlineLevel="0" collapsed="false">
      <c r="A73" s="81"/>
      <c r="B73" s="14" t="s">
        <v>171</v>
      </c>
      <c r="C73" s="14" t="s">
        <v>172</v>
      </c>
      <c r="D73" s="15" t="n">
        <v>0</v>
      </c>
      <c r="E73" s="15" t="n">
        <v>100</v>
      </c>
      <c r="F73" s="16" t="str">
        <f aca="false">IF(AND(D73&gt;0, E73&gt;0), "Observed Flaky Test", "Non-observed Flaky Test")</f>
        <v>Non-observed Flaky Test</v>
      </c>
      <c r="G73" s="17" t="n">
        <v>100</v>
      </c>
      <c r="H73" s="17" t="n">
        <v>0</v>
      </c>
      <c r="I73" s="16" t="str">
        <f aca="false">IF(AND(G73&gt;0, H73&gt;0), "Observed Flaky Test", "Non-observed Flaky Test")</f>
        <v>Non-observed Flaky Test</v>
      </c>
      <c r="J73" s="66" t="n">
        <v>11.827</v>
      </c>
      <c r="K73" s="53" t="n">
        <v>0.100722</v>
      </c>
      <c r="L73" s="19" t="n">
        <f aca="false">IFERROR(K73/J73*100,"N/A")</f>
        <v>0.8516276316902</v>
      </c>
      <c r="M73" s="18" t="n">
        <v>0</v>
      </c>
      <c r="N73" s="18" t="n">
        <v>0</v>
      </c>
      <c r="O73" s="20" t="str">
        <f aca="false">IFERROR(N73/M73*100,"N/A")</f>
        <v>N/A</v>
      </c>
      <c r="P73" s="48" t="str">
        <f aca="false">IF(AND(G73&gt;0, H73=0), IF(ROUND(K73,8)=0, "Group 9: Only Passed | Without variation (SD Passed = 0)", "Group 10: Only Passed | With variation (SD Passed &gt; 0)"), IF(AND(G73=0, H73&gt;0), IF(ROUND(N73,8)=0, "Group 11: Only Failed | Without variation (SD Failed = 0)", "Group 12: Only Failed | With variation (SD Failed &gt; 0)"), IF(AND(G73&gt;0, H73&gt;0), IF(ROUND(J73,5)&lt;&gt;ROUND(M73,5), IF(AND(ROUND(K73,8)=0, ROUND(N73,8)=0), "Group 1: Flaky | Passed (no variation) AND Failed (no variation) | Different Means", IF(AND(ROUND(K73,8)&gt;0, ROUND(N73,8)&gt;0), "Group 2: Flaky | Passed (with variation) AND Failed (with variation) | Different Means", IF(AND(ROUND(K73,8)=0, ROUND(N73,8)&gt;0), "Group 3: Flaky | Passed (no variation) AND Failed (with variation) | Different Means", "Group 4: Flaky | Passed (with variation) AND Failed (no variation) | Different Means"))), IF(AND(ROUND(K73,8)=0, ROUND(N73,8)=0), "Group 5: Flaky | Passed (no variation) AND Failed (no variation) | Equal Means", IF(AND(ROUND(K73,8)&gt;0, ROUND(N73,8)&gt;0), "Group 6: Flaky | Passed (with variation) AND Failed (with variation) | Equal Means", IF(AND(ROUND(K73,8)=0, ROUND(N73,8)&gt;0),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3" s="22" t="n">
        <v>0</v>
      </c>
      <c r="R73" s="22" t="n">
        <v>100</v>
      </c>
      <c r="S73" s="23" t="str">
        <f aca="false">IF(AND(Q73&gt;0, R73&gt;0), "Observed Flaky Test", "Non-observed Flaky Test")</f>
        <v>Non-observed Flaky Test</v>
      </c>
      <c r="T73" s="22" t="n">
        <v>0</v>
      </c>
      <c r="U73" s="22" t="n">
        <v>0</v>
      </c>
      <c r="V73" s="25" t="str">
        <f aca="false">IFERROR(U73/T73*100,"N/A")</f>
        <v>N/A</v>
      </c>
      <c r="W73" s="22" t="n">
        <v>2895342.59</v>
      </c>
      <c r="X73" s="24" t="n">
        <v>14.997033</v>
      </c>
      <c r="Y73" s="27" t="n">
        <f aca="false">IFERROR(X73/W73*100,"N/A")</f>
        <v>0.000517970932068526</v>
      </c>
      <c r="Z73" s="28" t="str">
        <f aca="false">IF(AND(Q73&gt;0, R73=0), IF(IFERROR(ROUND(V73,8),0)=0, "Group 9: Only Passed | Without variation (no var CV = 0)", "Group 10: Only Passed | With variation (with var CV &gt; 0)"), IF(AND(Q73=0, R73&gt;0), IF(IFERROR(ROUND(Y73,8),0)=0, "Group 11: Only Failed | Without variation (no var CV = 0)", "Group 12: Only Failed | With variation (with var CV &gt; 0)"), IF(AND(Q73&gt;0, R73&gt;0), IF(ROUND(T73,5)&lt;&gt;ROUND(W73,5), IF(AND(IFERROR(ROUND(V73,8),0)=0, IFERROR(ROUND(Y73,8),0)=0), "Group 1: Flaky | Passed (no variation: CV = 0) AND Failed (no variation: CV = 0) | Different Means", IF(AND(IFERROR(ROUND(V73,8),0)&gt;0, IFERROR(ROUND(Y73,8),0)&gt;0), "Group 2: Flaky | Passed (with variation: CV &gt; 0) AND Failed (with variation: CV &gt; 0) | Different Means", IF(AND(IFERROR(ROUND(V73,8),0)=0, IFERROR(ROUND(Y73,8),0)&gt;0), "Group 3: Flaky | Passed (no variation: CV = 0) AND Failed (with variation: CV &gt; 0) | Different Means", "Group 4: Flaky | Passed (with variation: CV &gt; 0) AND Failed (no variation: CV = 0) | Different Means"))), IF(AND(IFERROR(ROUND(V73,8),0)=0, IFERROR(ROUND(Y73,8),0)=0), "Group 5: Flaky | Passed (no var CV = 0) AND Failed (no var CV = 0) | Equal Means", IF(AND(IFERROR(ROUND(V73,8),0)&gt;0, IFERROR(ROUND(Y73,8),0)&gt;0), "Group 6: Flaky | Passed (with var CV &gt; 0) AND Failed (with var CV &gt; 0) | Equal Means", IF(AND(IFERROR(ROUND(V73,8),0)=0, IFERROR(ROUND(Y73,8),0)&gt;0),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73" s="29" t="n">
        <v>0</v>
      </c>
      <c r="AB73" s="29" t="n">
        <v>0</v>
      </c>
      <c r="AC73" s="29" t="str">
        <f aca="false">IFERROR(AB73/AA73*100,"N/A")</f>
        <v>N/A</v>
      </c>
      <c r="AD73" s="29" t="n">
        <v>0.823607</v>
      </c>
      <c r="AE73" s="29" t="n">
        <v>0.033896</v>
      </c>
      <c r="AF73" s="29" t="n">
        <f aca="false">IFERROR(AE73/AD73*100,"N/A")</f>
        <v>4.11555511305756</v>
      </c>
      <c r="AG73" s="30" t="str">
        <f aca="false">IF(AND(Q73&gt;0, R73=0), IF(IFERROR(ROUND(AC73,8),0)=0, "Group 9: Only Passed | Without variation (no var CV = 0)", "Group 10: Only Passed | With variation (with var CV &gt; 0)"), IF(AND(Q73=0, R73&gt;0), IF(IFERROR(ROUND(AF73,8),0)=0, "Group 11: Only Failed | Without variation (no var CV = 0)", "Group 12: Only Failed | With variation (with var CV &gt; 0)"), IF(AND(Q73&gt;0, R73&gt;0), IF(ROUND(AA73,5)&lt;&gt;ROUND(AD73,5), IF(AND(IFERROR(ROUND(AC73,8),0)=0, IFERROR(ROUND(AF73,8),0)=0), "Group 1: Flaky | Passed (no variation: CV = 0) AND Failed (no variation: CV = 0) | Different Means", IF(AND(IFERROR(ROUND(AC73,8),0)&gt;0, IFERROR(ROUND(AF73,8),0)&gt;0), "Group 2: Flaky | Passed (with variation: CV &gt; 0) AND Failed (with variation: CV &gt; 0) | Different Means", IF(AND(IFERROR(ROUND(AC73,8),0)=0, IFERROR(ROUND(AF73,8),0)&gt;0), "Group 3: Flaky | Passed (no variation: CV = 0) AND Failed (with variation: CV &gt; 0) | Different Means", "Group 4: Flaky | Passed (with variation: CV &gt; 0) AND Failed (no variation: CV = 0) | Different Means"))), IF(AND(IFERROR(ROUND(AC73,8),0)=0, IFERROR(ROUND(AF73,8),0)=0), "Group 5: Flaky | Passed (no var CV = 0) AND Failed (no var CV = 0) | Equal Means", IF(AND(IFERROR(ROUND(AC73,8),0)&gt;0, IFERROR(ROUND(AF73,8),0)&gt;0), "Group 6: Flaky | Passed (with var CV &gt; 0) AND Failed (with var CV &gt; 0) | Equal Means", IF(AND(IFERROR(ROUND(AC73,8),0)=0, IFERROR(ROUND(AF73,8),0)&gt;0),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73" s="22" t="n">
        <v>100</v>
      </c>
      <c r="AI73" s="17" t="n">
        <v>0</v>
      </c>
      <c r="AJ73" s="31" t="str">
        <f aca="false">IF(AND(AH73&gt;0, AI73&gt;0), "Observed Flaky Test", "Non-observed Flaky Test")</f>
        <v>Non-observed Flaky Test</v>
      </c>
      <c r="AK73" s="32" t="n">
        <v>22869107.89</v>
      </c>
      <c r="AL73" s="71" t="n">
        <v>722456.258922644</v>
      </c>
      <c r="AM73" s="33" t="n">
        <f aca="false">IFERROR(AL73/AK73*100,"N/A")</f>
        <v>3.15909244207358</v>
      </c>
      <c r="AN73" s="32" t="n">
        <v>0</v>
      </c>
      <c r="AO73" s="32" t="n">
        <v>0</v>
      </c>
      <c r="AP73" s="35" t="str">
        <f aca="false">IFERROR(AO73/AN73*100,"N/A")</f>
        <v>N/A</v>
      </c>
      <c r="AQ73" s="52" t="str">
        <f aca="false">IF(AND(AH73&gt;0, AI73&gt;0),
    IF(ROUND(N(AK73),5)&lt;&gt;ROUND(N(AN73),5),
        IF(AND(ROUND(N(AL73),8)=0, ROUND(N(AO73),8)=0), "Group 1: Flaky | Passed (no variation: SD = 0) AND Failed (no variation: SD = 0) | Different Means",
        IF(AND(ROUND(N(AL73),8)&gt;0, ROUND(N(AO73),8)&gt;0), "Group 2: Flaky | Passed (with variation: SD &gt; 0) AND Failed (with variation: SD &gt; 0) | Different Means",
        IF(AND(ROUND(N(AL73),8)=0, ROUND(N(AO73),8)&gt;0), "Group 3: Flaky | Passed (no variation: SD = 0) AND Failed (with variation: SD &gt; 0) | Different Means",
        "Group 4: Flaky | Passed (with variation: SD &gt; 0) AND Failed (no variation: SD = 0) | Different Means"))),
        IF(AND(ROUND(N(AL73),8)=0, ROUND(N(AO73),8)=0), "Group 5: Flaky | Passed (no var SD = 0) AND Failed (no var SD = 0) | Equal Means",
        IF(AND(ROUND(N(AL73),8)&gt;0, ROUND(N(AO73),8)&gt;0), "Group 6: Flaky | Passed (with var SD &gt; 0 ) AND Failed (with var SD &gt; 0) | Equal Means",
        IF(AND(ROUND(N(AL73),8)=0, ROUND(N(AO73),8)&gt;0), "Group 7: Flaky | Passed (no var SD = 0) AND Failed (with var SD &gt; 0) | Equal Means",
        "Group 8: Flaky | Passed (with var SD &gt; 0 ) AND Failed (no var SD = 0) | Equal Means")))
    ),
    IF(AH73&gt;0,
        IF(N(AL73)&gt;0, "Group 10: Only Passed | With variation (with var SD &gt; 0)", "Group 9: Only Passed | Without variation (no var SD = 0)"),
        IF(AI73&gt;0,
            IF(N(AO73)&gt;0,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3" s="37" t="str">
        <f aca="false">IF(OR(F73="Observed Flaky Test", I73="Observed Flaky Test", S73="Observed Flaky Test", AJ73="Observed Flaky Test"), "Observed Flaky Test", "Non-observed Flaky Test")</f>
        <v>Non-observed Flaky Test</v>
      </c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</row>
    <row r="74" customFormat="false" ht="15.75" hidden="false" customHeight="true" outlineLevel="0" collapsed="false">
      <c r="A74" s="81"/>
      <c r="B74" s="14" t="s">
        <v>173</v>
      </c>
      <c r="C74" s="14" t="s">
        <v>174</v>
      </c>
      <c r="D74" s="15" t="n">
        <v>0</v>
      </c>
      <c r="E74" s="15" t="n">
        <v>100</v>
      </c>
      <c r="F74" s="16" t="str">
        <f aca="false">IF(AND(D74&gt;0, E74&gt;0), "Observed Flaky Test", "Non-observed Flaky Test")</f>
        <v>Non-observed Flaky Test</v>
      </c>
      <c r="G74" s="17" t="n">
        <v>100</v>
      </c>
      <c r="H74" s="17" t="n">
        <v>0</v>
      </c>
      <c r="I74" s="16" t="str">
        <f aca="false">IF(AND(G74&gt;0, H74&gt;0), "Observed Flaky Test", "Non-observed Flaky Test")</f>
        <v>Non-observed Flaky Test</v>
      </c>
      <c r="J74" s="83" t="n">
        <v>13.3669</v>
      </c>
      <c r="K74" s="84" t="n">
        <v>0.622755</v>
      </c>
      <c r="L74" s="19" t="n">
        <f aca="false">IFERROR(K74/J74*100,"N/A")</f>
        <v>4.65893363457496</v>
      </c>
      <c r="M74" s="74" t="n">
        <v>0</v>
      </c>
      <c r="N74" s="74" t="n">
        <v>0</v>
      </c>
      <c r="O74" s="20" t="str">
        <f aca="false">IFERROR(N74/M74*100,"N/A")</f>
        <v>N/A</v>
      </c>
      <c r="P74" s="48" t="str">
        <f aca="false">IF(AND(G74&gt;0, H74=0), IF(ROUND(K74,8)=0, "Group 9: Only Passed | Without variation (SD Passed = 0)", "Group 10: Only Passed | With variation (SD Passed &gt; 0)"), IF(AND(G74=0, H74&gt;0), IF(ROUND(N74,8)=0, "Group 11: Only Failed | Without variation (SD Failed = 0)", "Group 12: Only Failed | With variation (SD Failed &gt; 0)"), IF(AND(G74&gt;0, H74&gt;0), IF(ROUND(J74,5)&lt;&gt;ROUND(M74,5), IF(AND(ROUND(K74,8)=0, ROUND(N74,8)=0), "Group 1: Flaky | Passed (no variation) AND Failed (no variation) | Different Means", IF(AND(ROUND(K74,8)&gt;0, ROUND(N74,8)&gt;0), "Group 2: Flaky | Passed (with variation) AND Failed (with variation) | Different Means", IF(AND(ROUND(K74,8)=0, ROUND(N74,8)&gt;0), "Group 3: Flaky | Passed (no variation) AND Failed (with variation) | Different Means", "Group 4: Flaky | Passed (with variation) AND Failed (no variation) | Different Means"))), IF(AND(ROUND(K74,8)=0, ROUND(N74,8)=0), "Group 5: Flaky | Passed (no variation) AND Failed (no variation) | Equal Means", IF(AND(ROUND(K74,8)&gt;0, ROUND(N74,8)&gt;0), "Group 6: Flaky | Passed (with variation) AND Failed (with variation) | Equal Means", IF(AND(ROUND(K74,8)=0, ROUND(N74,8)&gt;0),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4" s="22" t="n">
        <v>100</v>
      </c>
      <c r="R74" s="22" t="n">
        <v>0</v>
      </c>
      <c r="S74" s="23" t="str">
        <f aca="false">IF(AND(Q74&gt;0, R74&gt;0), "Observed Flaky Test", "Non-observed Flaky Test")</f>
        <v>Non-observed Flaky Test</v>
      </c>
      <c r="T74" s="22" t="n">
        <v>6792678.26</v>
      </c>
      <c r="U74" s="24" t="n">
        <v>2832798.942832</v>
      </c>
      <c r="V74" s="25" t="n">
        <f aca="false">IFERROR(U74/T74*100,"N/A")</f>
        <v>41.7037114728882</v>
      </c>
      <c r="W74" s="22" t="n">
        <v>0</v>
      </c>
      <c r="X74" s="22" t="n">
        <v>0</v>
      </c>
      <c r="Y74" s="27" t="str">
        <f aca="false">IFERROR(X74/W74*100,"N/A")</f>
        <v>N/A</v>
      </c>
      <c r="Z74" s="50" t="str">
        <f aca="false">IF(AND(Q74&gt;0, R74=0), IF(IFERROR(ROUND(V74,8),0)=0, "Group 9: Only Passed | Without variation (no var CV = 0)", "Group 10: Only Passed | With variation (with var CV &gt; 0)"), IF(AND(Q74=0, R74&gt;0), IF(IFERROR(ROUND(Y74,8),0)=0, "Group 11: Only Failed | Without variation (no var CV = 0)", "Group 12: Only Failed | With variation (with var CV &gt; 0)"), IF(AND(Q74&gt;0, R74&gt;0), IF(ROUND(T74,5)&lt;&gt;ROUND(W74,5), IF(AND(IFERROR(ROUND(V74,8),0)=0, IFERROR(ROUND(Y74,8),0)=0), "Group 1: Flaky | Passed (no variation: CV = 0) AND Failed (no variation: CV = 0) | Different Means", IF(AND(IFERROR(ROUND(V74,8),0)&gt;0, IFERROR(ROUND(Y74,8),0)&gt;0), "Group 2: Flaky | Passed (with variation: CV &gt; 0) AND Failed (with variation: CV &gt; 0) | Different Means", IF(AND(IFERROR(ROUND(V74,8),0)=0, IFERROR(ROUND(Y74,8),0)&gt;0), "Group 3: Flaky | Passed (no variation: CV = 0) AND Failed (with variation: CV &gt; 0) | Different Means", "Group 4: Flaky | Passed (with variation: CV &gt; 0) AND Failed (no variation: CV = 0) | Different Means"))), IF(AND(IFERROR(ROUND(V74,8),0)=0, IFERROR(ROUND(Y74,8),0)=0), "Group 5: Flaky | Passed (no var CV = 0) AND Failed (no var CV = 0) | Equal Means", IF(AND(IFERROR(ROUND(V74,8),0)&gt;0, IFERROR(ROUND(Y74,8),0)&gt;0), "Group 6: Flaky | Passed (with var CV &gt; 0) AND Failed (with var CV &gt; 0) | Equal Means", IF(AND(IFERROR(ROUND(V74,8),0)=0, IFERROR(ROUND(Y74,8),0)&gt;0),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74" s="29" t="n">
        <v>2.648252</v>
      </c>
      <c r="AB74" s="29" t="n">
        <v>1.389905</v>
      </c>
      <c r="AC74" s="29" t="n">
        <f aca="false">IFERROR(AB74/AA74*100,"N/A")</f>
        <v>52.4838648285737</v>
      </c>
      <c r="AD74" s="29" t="n">
        <v>0</v>
      </c>
      <c r="AE74" s="29" t="n">
        <v>0</v>
      </c>
      <c r="AF74" s="29" t="str">
        <f aca="false">IFERROR(AE74/AD74*100,"N/A")</f>
        <v>N/A</v>
      </c>
      <c r="AG74" s="51" t="str">
        <f aca="false">IF(AND(Q74&gt;0, R74=0), IF(IFERROR(ROUND(AC74,8),0)=0, "Group 9: Only Passed | Without variation (no var CV = 0)", "Group 10: Only Passed | With variation (with var CV &gt; 0)"), IF(AND(Q74=0, R74&gt;0), IF(IFERROR(ROUND(AF74,8),0)=0, "Group 11: Only Failed | Without variation (no var CV = 0)", "Group 12: Only Failed | With variation (with var CV &gt; 0)"), IF(AND(Q74&gt;0, R74&gt;0), IF(ROUND(AA74,5)&lt;&gt;ROUND(AD74,5), IF(AND(IFERROR(ROUND(AC74,8),0)=0, IFERROR(ROUND(AF74,8),0)=0), "Group 1: Flaky | Passed (no variation: CV = 0) AND Failed (no variation: CV = 0) | Different Means", IF(AND(IFERROR(ROUND(AC74,8),0)&gt;0, IFERROR(ROUND(AF74,8),0)&gt;0), "Group 2: Flaky | Passed (with variation: CV &gt; 0) AND Failed (with variation: CV &gt; 0) | Different Means", IF(AND(IFERROR(ROUND(AC74,8),0)=0, IFERROR(ROUND(AF74,8),0)&gt;0), "Group 3: Flaky | Passed (no variation: CV = 0) AND Failed (with variation: CV &gt; 0) | Different Means", "Group 4: Flaky | Passed (with variation: CV &gt; 0) AND Failed (no variation: CV = 0) | Different Means"))), IF(AND(IFERROR(ROUND(AC74,8),0)=0, IFERROR(ROUND(AF74,8),0)=0), "Group 5: Flaky | Passed (no var CV = 0) AND Failed (no var CV = 0) | Equal Means", IF(AND(IFERROR(ROUND(AC74,8),0)&gt;0, IFERROR(ROUND(AF74,8),0)&gt;0), "Group 6: Flaky | Passed (with var CV &gt; 0) AND Failed (with var CV &gt; 0) | Equal Means", IF(AND(IFERROR(ROUND(AC74,8),0)=0, IFERROR(ROUND(AF74,8),0)&gt;0),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74" s="22" t="n">
        <v>100</v>
      </c>
      <c r="AI74" s="17" t="n">
        <v>0</v>
      </c>
      <c r="AJ74" s="31" t="str">
        <f aca="false">IF(AND(AH74&gt;0, AI74&gt;0), "Observed Flaky Test", "Non-observed Flaky Test")</f>
        <v>Non-observed Flaky Test</v>
      </c>
      <c r="AK74" s="32" t="n">
        <v>443898498.82</v>
      </c>
      <c r="AL74" s="65" t="n">
        <v>391805750.18882</v>
      </c>
      <c r="AM74" s="33" t="n">
        <f aca="false">IFERROR(AL74/AK74*100,"N/A")</f>
        <v>88.2647161975865</v>
      </c>
      <c r="AN74" s="32" t="n">
        <v>0</v>
      </c>
      <c r="AO74" s="32" t="n">
        <v>0</v>
      </c>
      <c r="AP74" s="35" t="str">
        <f aca="false">IFERROR(AO74/AN74*100,"N/A")</f>
        <v>N/A</v>
      </c>
      <c r="AQ74" s="52" t="str">
        <f aca="false">IF(AND(AH74&gt;0, AI74&gt;0),
    IF(ROUND(N(AK74),5)&lt;&gt;ROUND(N(AN74),5),
        IF(AND(ROUND(N(AL74),8)=0, ROUND(N(AO74),8)=0), "Group 1: Flaky | Passed (no variation: SD = 0) AND Failed (no variation: SD = 0) | Different Means",
        IF(AND(ROUND(N(AL74),8)&gt;0, ROUND(N(AO74),8)&gt;0), "Group 2: Flaky | Passed (with variation: SD &gt; 0) AND Failed (with variation: SD &gt; 0) | Different Means",
        IF(AND(ROUND(N(AL74),8)=0, ROUND(N(AO74),8)&gt;0), "Group 3: Flaky | Passed (no variation: SD = 0) AND Failed (with variation: SD &gt; 0) | Different Means",
        "Group 4: Flaky | Passed (with variation: SD &gt; 0) AND Failed (no variation: SD = 0) | Different Means"))),
        IF(AND(ROUND(N(AL74),8)=0, ROUND(N(AO74),8)=0), "Group 5: Flaky | Passed (no var SD = 0) AND Failed (no var SD = 0) | Equal Means",
        IF(AND(ROUND(N(AL74),8)&gt;0, ROUND(N(AO74),8)&gt;0), "Group 6: Flaky | Passed (with var SD &gt; 0 ) AND Failed (with var SD &gt; 0) | Equal Means",
        IF(AND(ROUND(N(AL74),8)=0, ROUND(N(AO74),8)&gt;0), "Group 7: Flaky | Passed (no var SD = 0) AND Failed (with var SD &gt; 0) | Equal Means",
        "Group 8: Flaky | Passed (with var SD &gt; 0 ) AND Failed (no var SD = 0) | Equal Means")))
    ),
    IF(AH74&gt;0,
        IF(N(AL74)&gt;0, "Group 10: Only Passed | With variation (with var SD &gt; 0)", "Group 9: Only Passed | Without variation (no var SD = 0)"),
        IF(AI74&gt;0,
            IF(N(AO74)&gt;0,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4" s="37" t="str">
        <f aca="false">IF(OR(F74="Observed Flaky Test", I74="Observed Flaky Test", S74="Observed Flaky Test", AJ74="Observed Flaky Test"), "Observed Flaky Test", "Non-observed Flaky Test")</f>
        <v>Non-observed Flaky Test</v>
      </c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customFormat="false" ht="15.75" hidden="false" customHeight="true" outlineLevel="0" collapsed="false">
      <c r="A75" s="81"/>
      <c r="B75" s="14" t="s">
        <v>175</v>
      </c>
      <c r="C75" s="14" t="s">
        <v>176</v>
      </c>
      <c r="D75" s="15" t="n">
        <v>0</v>
      </c>
      <c r="E75" s="15" t="n">
        <v>100</v>
      </c>
      <c r="F75" s="16" t="str">
        <f aca="false">IF(AND(D75&gt;0, E75&gt;0), "Observed Flaky Test", "Non-observed Flaky Test")</f>
        <v>Non-observed Flaky Test</v>
      </c>
      <c r="G75" s="17" t="n">
        <v>100</v>
      </c>
      <c r="H75" s="17" t="n">
        <v>0</v>
      </c>
      <c r="I75" s="16" t="str">
        <f aca="false">IF(AND(G75&gt;0, H75&gt;0), "Observed Flaky Test", "Non-observed Flaky Test")</f>
        <v>Non-observed Flaky Test</v>
      </c>
      <c r="J75" s="46" t="n">
        <v>15.2213</v>
      </c>
      <c r="K75" s="47" t="n">
        <v>0.06906</v>
      </c>
      <c r="L75" s="19" t="n">
        <f aca="false">IFERROR(K75/J75*100,"N/A")</f>
        <v>0.453706319433951</v>
      </c>
      <c r="M75" s="18" t="n">
        <v>0</v>
      </c>
      <c r="N75" s="18" t="n">
        <v>0</v>
      </c>
      <c r="O75" s="20" t="str">
        <f aca="false">IFERROR(N75/M75*100,"N/A")</f>
        <v>N/A</v>
      </c>
      <c r="P75" s="48" t="str">
        <f aca="false">IF(AND(G75&gt;0, H75=0), IF(ROUND(K75,8)=0, "Group 9: Only Passed | Without variation (SD Passed = 0)", "Group 10: Only Passed | With variation (SD Passed &gt; 0)"), IF(AND(G75=0, H75&gt;0), IF(ROUND(N75,8)=0, "Group 11: Only Failed | Without variation (SD Failed = 0)", "Group 12: Only Failed | With variation (SD Failed &gt; 0)"), IF(AND(G75&gt;0, H75&gt;0), IF(ROUND(J75,5)&lt;&gt;ROUND(M75,5), IF(AND(ROUND(K75,8)=0, ROUND(N75,8)=0), "Group 1: Flaky | Passed (no variation) AND Failed (no variation) | Different Means", IF(AND(ROUND(K75,8)&gt;0, ROUND(N75,8)&gt;0), "Group 2: Flaky | Passed (with variation) AND Failed (with variation) | Different Means", IF(AND(ROUND(K75,8)=0, ROUND(N75,8)&gt;0), "Group 3: Flaky | Passed (no variation) AND Failed (with variation) | Different Means", "Group 4: Flaky | Passed (with variation) AND Failed (no variation) | Different Means"))), IF(AND(ROUND(K75,8)=0, ROUND(N75,8)=0), "Group 5: Flaky | Passed (no variation) AND Failed (no variation) | Equal Means", IF(AND(ROUND(K75,8)&gt;0, ROUND(N75,8)&gt;0), "Group 6: Flaky | Passed (with variation) AND Failed (with variation) | Equal Means", IF(AND(ROUND(K75,8)=0, ROUND(N75,8)&gt;0),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5" s="22" t="n">
        <v>100</v>
      </c>
      <c r="R75" s="22" t="n">
        <v>0</v>
      </c>
      <c r="S75" s="23" t="str">
        <f aca="false">IF(AND(Q75&gt;0, R75&gt;0), "Observed Flaky Test", "Non-observed Flaky Test")</f>
        <v>Non-observed Flaky Test</v>
      </c>
      <c r="T75" s="22" t="n">
        <v>69244136.64</v>
      </c>
      <c r="U75" s="24" t="n">
        <v>20466301.433489</v>
      </c>
      <c r="V75" s="25" t="n">
        <f aca="false">IFERROR(U75/T75*100,"N/A")</f>
        <v>29.5567284489273</v>
      </c>
      <c r="W75" s="22" t="n">
        <v>0</v>
      </c>
      <c r="X75" s="22" t="n">
        <v>0</v>
      </c>
      <c r="Y75" s="27" t="str">
        <f aca="false">IFERROR(X75/W75*100,"N/A")</f>
        <v>N/A</v>
      </c>
      <c r="Z75" s="50" t="str">
        <f aca="false">IF(AND(Q75&gt;0, R75=0), IF(IFERROR(ROUND(V75,8),0)=0, "Group 9: Only Passed | Without variation (no var CV = 0)", "Group 10: Only Passed | With variation (with var CV &gt; 0)"), IF(AND(Q75=0, R75&gt;0), IF(IFERROR(ROUND(Y75,8),0)=0, "Group 11: Only Failed | Without variation (no var CV = 0)", "Group 12: Only Failed | With variation (with var CV &gt; 0)"), IF(AND(Q75&gt;0, R75&gt;0), IF(ROUND(T75,5)&lt;&gt;ROUND(W75,5), IF(AND(IFERROR(ROUND(V75,8),0)=0, IFERROR(ROUND(Y75,8),0)=0), "Group 1: Flaky | Passed (no variation: CV = 0) AND Failed (no variation: CV = 0) | Different Means", IF(AND(IFERROR(ROUND(V75,8),0)&gt;0, IFERROR(ROUND(Y75,8),0)&gt;0), "Group 2: Flaky | Passed (with variation: CV &gt; 0) AND Failed (with variation: CV &gt; 0) | Different Means", IF(AND(IFERROR(ROUND(V75,8),0)=0, IFERROR(ROUND(Y75,8),0)&gt;0), "Group 3: Flaky | Passed (no variation: CV = 0) AND Failed (with variation: CV &gt; 0) | Different Means", "Group 4: Flaky | Passed (with variation: CV &gt; 0) AND Failed (no variation: CV = 0) | Different Means"))), IF(AND(IFERROR(ROUND(V75,8),0)=0, IFERROR(ROUND(Y75,8),0)=0), "Group 5: Flaky | Passed (no var CV = 0) AND Failed (no var CV = 0) | Equal Means", IF(AND(IFERROR(ROUND(V75,8),0)&gt;0, IFERROR(ROUND(Y75,8),0)&gt;0), "Group 6: Flaky | Passed (with var CV &gt; 0) AND Failed (with var CV &gt; 0) | Equal Means", IF(AND(IFERROR(ROUND(V75,8),0)=0, IFERROR(ROUND(Y75,8),0)&gt;0),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75" s="29" t="n">
        <v>25.090427</v>
      </c>
      <c r="AB75" s="29" t="n">
        <v>8.347771</v>
      </c>
      <c r="AC75" s="29" t="n">
        <f aca="false">IFERROR(AB75/AA75*100,"N/A")</f>
        <v>33.2707410678981</v>
      </c>
      <c r="AD75" s="29" t="n">
        <v>0</v>
      </c>
      <c r="AE75" s="29" t="n">
        <v>0</v>
      </c>
      <c r="AF75" s="29" t="str">
        <f aca="false">IFERROR(AE75/AD75*100,"N/A")</f>
        <v>N/A</v>
      </c>
      <c r="AG75" s="51" t="str">
        <f aca="false">IF(AND(Q75&gt;0, R75=0), IF(IFERROR(ROUND(AC75,8),0)=0, "Group 9: Only Passed | Without variation (no var CV = 0)", "Group 10: Only Passed | With variation (with var CV &gt; 0)"), IF(AND(Q75=0, R75&gt;0), IF(IFERROR(ROUND(AF75,8),0)=0, "Group 11: Only Failed | Without variation (no var CV = 0)", "Group 12: Only Failed | With variation (with var CV &gt; 0)"), IF(AND(Q75&gt;0, R75&gt;0), IF(ROUND(AA75,5)&lt;&gt;ROUND(AD75,5), IF(AND(IFERROR(ROUND(AC75,8),0)=0, IFERROR(ROUND(AF75,8),0)=0), "Group 1: Flaky | Passed (no variation: CV = 0) AND Failed (no variation: CV = 0) | Different Means", IF(AND(IFERROR(ROUND(AC75,8),0)&gt;0, IFERROR(ROUND(AF75,8),0)&gt;0), "Group 2: Flaky | Passed (with variation: CV &gt; 0) AND Failed (with variation: CV &gt; 0) | Different Means", IF(AND(IFERROR(ROUND(AC75,8),0)=0, IFERROR(ROUND(AF75,8),0)&gt;0), "Group 3: Flaky | Passed (no variation: CV = 0) AND Failed (with variation: CV &gt; 0) | Different Means", "Group 4: Flaky | Passed (with variation: CV &gt; 0) AND Failed (no variation: CV = 0) | Different Means"))), IF(AND(IFERROR(ROUND(AC75,8),0)=0, IFERROR(ROUND(AF75,8),0)=0), "Group 5: Flaky | Passed (no var CV = 0) AND Failed (no var CV = 0) | Equal Means", IF(AND(IFERROR(ROUND(AC75,8),0)&gt;0, IFERROR(ROUND(AF75,8),0)&gt;0), "Group 6: Flaky | Passed (with var CV &gt; 0) AND Failed (with var CV &gt; 0) | Equal Means", IF(AND(IFERROR(ROUND(AC75,8),0)=0, IFERROR(ROUND(AF75,8),0)&gt;0),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75" s="22" t="n">
        <v>100</v>
      </c>
      <c r="AI75" s="17" t="n">
        <v>0</v>
      </c>
      <c r="AJ75" s="31" t="str">
        <f aca="false">IF(AND(AH75&gt;0, AI75&gt;0), "Observed Flaky Test", "Non-observed Flaky Test")</f>
        <v>Non-observed Flaky Test</v>
      </c>
      <c r="AK75" s="32" t="n">
        <v>7634933056.44</v>
      </c>
      <c r="AL75" s="65" t="n">
        <v>2856026994.94754</v>
      </c>
      <c r="AM75" s="33" t="n">
        <f aca="false">IFERROR(AL75/AK75*100,"N/A")</f>
        <v>37.4073613198024</v>
      </c>
      <c r="AN75" s="32" t="n">
        <v>0</v>
      </c>
      <c r="AO75" s="32" t="n">
        <v>0</v>
      </c>
      <c r="AP75" s="35" t="str">
        <f aca="false">IFERROR(AO75/AN75*100,"N/A")</f>
        <v>N/A</v>
      </c>
      <c r="AQ75" s="52" t="str">
        <f aca="false">IF(AND(AH75&gt;0, AI75&gt;0),
    IF(ROUND(N(AK75),5)&lt;&gt;ROUND(N(AN75),5),
        IF(AND(ROUND(N(AL75),8)=0, ROUND(N(AO75),8)=0), "Group 1: Flaky | Passed (no variation: SD = 0) AND Failed (no variation: SD = 0) | Different Means",
        IF(AND(ROUND(N(AL75),8)&gt;0, ROUND(N(AO75),8)&gt;0), "Group 2: Flaky | Passed (with variation: SD &gt; 0) AND Failed (with variation: SD &gt; 0) | Different Means",
        IF(AND(ROUND(N(AL75),8)=0, ROUND(N(AO75),8)&gt;0), "Group 3: Flaky | Passed (no variation: SD = 0) AND Failed (with variation: SD &gt; 0) | Different Means",
        "Group 4: Flaky | Passed (with variation: SD &gt; 0) AND Failed (no variation: SD = 0) | Different Means"))),
        IF(AND(ROUND(N(AL75),8)=0, ROUND(N(AO75),8)=0), "Group 5: Flaky | Passed (no var SD = 0) AND Failed (no var SD = 0) | Equal Means",
        IF(AND(ROUND(N(AL75),8)&gt;0, ROUND(N(AO75),8)&gt;0), "Group 6: Flaky | Passed (with var SD &gt; 0 ) AND Failed (with var SD &gt; 0) | Equal Means",
        IF(AND(ROUND(N(AL75),8)=0, ROUND(N(AO75),8)&gt;0), "Group 7: Flaky | Passed (no var SD = 0) AND Failed (with var SD &gt; 0) | Equal Means",
        "Group 8: Flaky | Passed (with var SD &gt; 0 ) AND Failed (no var SD = 0) | Equal Means")))
    ),
    IF(AH75&gt;0,
        IF(N(AL75)&gt;0, "Group 10: Only Passed | With variation (with var SD &gt; 0)", "Group 9: Only Passed | Without variation (no var SD = 0)"),
        IF(AI75&gt;0,
            IF(N(AO75)&gt;0,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5" s="37" t="str">
        <f aca="false">IF(OR(F75="Observed Flaky Test", I75="Observed Flaky Test", S75="Observed Flaky Test", AJ75="Observed Flaky Test"), "Observed Flaky Test", "Non-observed Flaky Test")</f>
        <v>Non-observed Flaky Test</v>
      </c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customFormat="false" ht="15.75" hidden="false" customHeight="true" outlineLevel="0" collapsed="false">
      <c r="A76" s="81"/>
      <c r="B76" s="14" t="s">
        <v>177</v>
      </c>
      <c r="C76" s="14" t="s">
        <v>178</v>
      </c>
      <c r="D76" s="15" t="n">
        <v>0</v>
      </c>
      <c r="E76" s="15" t="n">
        <v>100</v>
      </c>
      <c r="F76" s="16" t="str">
        <f aca="false">IF(AND(D76&gt;0, E76&gt;0), "Observed Flaky Test", "Non-observed Flaky Test")</f>
        <v>Non-observed Flaky Test</v>
      </c>
      <c r="G76" s="17" t="n">
        <v>100</v>
      </c>
      <c r="H76" s="17" t="n">
        <v>0</v>
      </c>
      <c r="I76" s="16" t="str">
        <f aca="false">IF(AND(G76&gt;0, H76&gt;0), "Observed Flaky Test", "Non-observed Flaky Test")</f>
        <v>Non-observed Flaky Test</v>
      </c>
      <c r="J76" s="46" t="n">
        <v>12.5041</v>
      </c>
      <c r="K76" s="53" t="n">
        <v>0.014219</v>
      </c>
      <c r="L76" s="19" t="n">
        <f aca="false">IFERROR(K76/J76*100,"N/A")</f>
        <v>0.113714701577882</v>
      </c>
      <c r="M76" s="18" t="n">
        <v>0</v>
      </c>
      <c r="N76" s="18" t="n">
        <v>0</v>
      </c>
      <c r="O76" s="20" t="str">
        <f aca="false">IFERROR(N76/M76*100,"N/A")</f>
        <v>N/A</v>
      </c>
      <c r="P76" s="48" t="str">
        <f aca="false">IF(AND(G76&gt;0, H76=0), IF(ROUND(K76,8)=0, "Group 9: Only Passed | Without variation (SD Passed = 0)", "Group 10: Only Passed | With variation (SD Passed &gt; 0)"), IF(AND(G76=0, H76&gt;0), IF(ROUND(N76,8)=0, "Group 11: Only Failed | Without variation (SD Failed = 0)", "Group 12: Only Failed | With variation (SD Failed &gt; 0)"), IF(AND(G76&gt;0, H76&gt;0), IF(ROUND(J76,5)&lt;&gt;ROUND(M76,5), IF(AND(ROUND(K76,8)=0, ROUND(N76,8)=0), "Group 1: Flaky | Passed (no variation) AND Failed (no variation) | Different Means", IF(AND(ROUND(K76,8)&gt;0, ROUND(N76,8)&gt;0), "Group 2: Flaky | Passed (with variation) AND Failed (with variation) | Different Means", IF(AND(ROUND(K76,8)=0, ROUND(N76,8)&gt;0), "Group 3: Flaky | Passed (no variation) AND Failed (with variation) | Different Means", "Group 4: Flaky | Passed (with variation) AND Failed (no variation) | Different Means"))), IF(AND(ROUND(K76,8)=0, ROUND(N76,8)=0), "Group 5: Flaky | Passed (no variation) AND Failed (no variation) | Equal Means", IF(AND(ROUND(K76,8)&gt;0, ROUND(N76,8)&gt;0), "Group 6: Flaky | Passed (with variation) AND Failed (with variation) | Equal Means", IF(AND(ROUND(K76,8)=0, ROUND(N76,8)&gt;0),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76" s="17" t="n">
        <v>100</v>
      </c>
      <c r="R76" s="17" t="n">
        <v>0</v>
      </c>
      <c r="S76" s="23" t="str">
        <f aca="false">IF(AND(Q76&gt;0, R76&gt;0), "Observed Flaky Test", "Non-observed Flaky Test")</f>
        <v>Non-observed Flaky Test</v>
      </c>
      <c r="T76" s="22" t="n">
        <v>3825549.24</v>
      </c>
      <c r="U76" s="24" t="n">
        <v>32830.865254</v>
      </c>
      <c r="V76" s="25" t="n">
        <f aca="false">IFERROR(U76/T76*100,"N/A")</f>
        <v>0.858200043819067</v>
      </c>
      <c r="W76" s="22" t="n">
        <v>0</v>
      </c>
      <c r="X76" s="22" t="n">
        <v>0</v>
      </c>
      <c r="Y76" s="27" t="str">
        <f aca="false">IFERROR(X76/W76*100,"N/A")</f>
        <v>N/A</v>
      </c>
      <c r="Z76" s="50" t="str">
        <f aca="false">IF(AND(Q76&gt;0, R76=0), IF(IFERROR(ROUND(V76,8),0)=0, "Group 9: Only Passed | Without variation (no var CV = 0)", "Group 10: Only Passed | With variation (with var CV &gt; 0)"), IF(AND(Q76=0, R76&gt;0), IF(IFERROR(ROUND(Y76,8),0)=0, "Group 11: Only Failed | Without variation (no var CV = 0)", "Group 12: Only Failed | With variation (with var CV &gt; 0)"), IF(AND(Q76&gt;0, R76&gt;0), IF(ROUND(T76,5)&lt;&gt;ROUND(W76,5), IF(AND(IFERROR(ROUND(V76,8),0)=0, IFERROR(ROUND(Y76,8),0)=0), "Group 1: Flaky | Passed (no variation: CV = 0) AND Failed (no variation: CV = 0) | Different Means", IF(AND(IFERROR(ROUND(V76,8),0)&gt;0, IFERROR(ROUND(Y76,8),0)&gt;0), "Group 2: Flaky | Passed (with variation: CV &gt; 0) AND Failed (with variation: CV &gt; 0) | Different Means", IF(AND(IFERROR(ROUND(V76,8),0)=0, IFERROR(ROUND(Y76,8),0)&gt;0), "Group 3: Flaky | Passed (no variation: CV = 0) AND Failed (with variation: CV &gt; 0) | Different Means", "Group 4: Flaky | Passed (with variation: CV &gt; 0) AND Failed (no variation: CV = 0) | Different Means"))), IF(AND(IFERROR(ROUND(V76,8),0)=0, IFERROR(ROUND(Y76,8),0)=0), "Group 5: Flaky | Passed (no var CV = 0) AND Failed (no var CV = 0) | Equal Means", IF(AND(IFERROR(ROUND(V76,8),0)&gt;0, IFERROR(ROUND(Y76,8),0)&gt;0), "Group 6: Flaky | Passed (with var CV &gt; 0) AND Failed (with var CV &gt; 0) | Equal Means", IF(AND(IFERROR(ROUND(V76,8),0)=0, IFERROR(ROUND(Y76,8),0)&gt;0),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76" s="29" t="n">
        <v>1.183132</v>
      </c>
      <c r="AB76" s="29" t="n">
        <v>0.035352</v>
      </c>
      <c r="AC76" s="29" t="n">
        <f aca="false">IFERROR(AB76/AA76*100,"N/A")</f>
        <v>2.98800133881934</v>
      </c>
      <c r="AD76" s="29" t="n">
        <v>0</v>
      </c>
      <c r="AE76" s="29" t="n">
        <v>0</v>
      </c>
      <c r="AF76" s="29" t="str">
        <f aca="false">IFERROR(AE76/AD76*100,"N/A")</f>
        <v>N/A</v>
      </c>
      <c r="AG76" s="51" t="str">
        <f aca="false">IF(AND(Q76&gt;0, R76=0), IF(IFERROR(ROUND(AC76,8),0)=0, "Group 9: Only Passed | Without variation (no var CV = 0)", "Group 10: Only Passed | With variation (with var CV &gt; 0)"), IF(AND(Q76=0, R76&gt;0), IF(IFERROR(ROUND(AF76,8),0)=0, "Group 11: Only Failed | Without variation (no var CV = 0)", "Group 12: Only Failed | With variation (with var CV &gt; 0)"), IF(AND(Q76&gt;0, R76&gt;0), IF(ROUND(AA76,5)&lt;&gt;ROUND(AD76,5), IF(AND(IFERROR(ROUND(AC76,8),0)=0, IFERROR(ROUND(AF76,8),0)=0), "Group 1: Flaky | Passed (no variation: CV = 0) AND Failed (no variation: CV = 0) | Different Means", IF(AND(IFERROR(ROUND(AC76,8),0)&gt;0, IFERROR(ROUND(AF76,8),0)&gt;0), "Group 2: Flaky | Passed (with variation: CV &gt; 0) AND Failed (with variation: CV &gt; 0) | Different Means", IF(AND(IFERROR(ROUND(AC76,8),0)=0, IFERROR(ROUND(AF76,8),0)&gt;0), "Group 3: Flaky | Passed (no variation: CV = 0) AND Failed (with variation: CV &gt; 0) | Different Means", "Group 4: Flaky | Passed (with variation: CV &gt; 0) AND Failed (no variation: CV = 0) | Different Means"))), IF(AND(IFERROR(ROUND(AC76,8),0)=0, IFERROR(ROUND(AF76,8),0)=0), "Group 5: Flaky | Passed (no var CV = 0) AND Failed (no var CV = 0) | Equal Means", IF(AND(IFERROR(ROUND(AC76,8),0)&gt;0, IFERROR(ROUND(AF76,8),0)&gt;0), "Group 6: Flaky | Passed (with var CV &gt; 0) AND Failed (with var CV &gt; 0) | Equal Means", IF(AND(IFERROR(ROUND(AC76,8),0)=0, IFERROR(ROUND(AF76,8),0)&gt;0),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76" s="22" t="n">
        <v>100</v>
      </c>
      <c r="AI76" s="17" t="n">
        <v>0</v>
      </c>
      <c r="AJ76" s="31" t="str">
        <f aca="false">IF(AND(AH76&gt;0, AI76&gt;0), "Observed Flaky Test", "Non-observed Flaky Test")</f>
        <v>Non-observed Flaky Test</v>
      </c>
      <c r="AK76" s="81" t="n">
        <v>59885482.79</v>
      </c>
      <c r="AL76" s="59" t="n">
        <v>4362768.70968476</v>
      </c>
      <c r="AM76" s="33" t="n">
        <f aca="false">IFERROR(AL76/AK76*100,"N/A")</f>
        <v>7.28518583541132</v>
      </c>
      <c r="AN76" s="32" t="n">
        <v>0</v>
      </c>
      <c r="AO76" s="32" t="n">
        <v>0</v>
      </c>
      <c r="AP76" s="35" t="str">
        <f aca="false">IFERROR(AO76/AN76*100,"N/A")</f>
        <v>N/A</v>
      </c>
      <c r="AQ76" s="52" t="str">
        <f aca="false">IF(AND(AH76&gt;0, AI76&gt;0),
    IF(ROUND(N(AK76),5)&lt;&gt;ROUND(N(AN76),5),
        IF(AND(ROUND(N(AL76),8)=0, ROUND(N(AO76),8)=0), "Group 1: Flaky | Passed (no variation: SD = 0) AND Failed (no variation: SD = 0) | Different Means",
        IF(AND(ROUND(N(AL76),8)&gt;0, ROUND(N(AO76),8)&gt;0), "Group 2: Flaky | Passed (with variation: SD &gt; 0) AND Failed (with variation: SD &gt; 0) | Different Means",
        IF(AND(ROUND(N(AL76),8)=0, ROUND(N(AO76),8)&gt;0), "Group 3: Flaky | Passed (no variation: SD = 0) AND Failed (with variation: SD &gt; 0) | Different Means",
        "Group 4: Flaky | Passed (with variation: SD &gt; 0) AND Failed (no variation: SD = 0) | Different Means"))),
        IF(AND(ROUND(N(AL76),8)=0, ROUND(N(AO76),8)=0), "Group 5: Flaky | Passed (no var SD = 0) AND Failed (no var SD = 0) | Equal Means",
        IF(AND(ROUND(N(AL76),8)&gt;0, ROUND(N(AO76),8)&gt;0), "Group 6: Flaky | Passed (with var SD &gt; 0 ) AND Failed (with var SD &gt; 0) | Equal Means",
        IF(AND(ROUND(N(AL76),8)=0, ROUND(N(AO76),8)&gt;0), "Group 7: Flaky | Passed (no var SD = 0) AND Failed (with var SD &gt; 0) | Equal Means",
        "Group 8: Flaky | Passed (with var SD &gt; 0 ) AND Failed (no var SD = 0) | Equal Means")))
    ),
    IF(AH76&gt;0,
        IF(N(AL76)&gt;0, "Group 10: Only Passed | With variation (with var SD &gt; 0)", "Group 9: Only Passed | Without variation (no var SD = 0)"),
        IF(AI76&gt;0,
            IF(N(AO76)&gt;0,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76" s="37" t="str">
        <f aca="false">IF(OR(F76="Observed Flaky Test", I76="Observed Flaky Test", S76="Observed Flaky Test", AJ76="Observed Flaky Test"), "Observed Flaky Test", "Non-observed Flaky Test")</f>
        <v>Non-observed Flaky Test</v>
      </c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customFormat="false" ht="15.75" hidden="false" customHeight="true" outlineLevel="0" collapsed="false">
      <c r="A77" s="13" t="s">
        <v>179</v>
      </c>
      <c r="B77" s="14" t="s">
        <v>180</v>
      </c>
      <c r="C77" s="14" t="s">
        <v>181</v>
      </c>
      <c r="D77" s="15" t="n">
        <v>100</v>
      </c>
      <c r="E77" s="15" t="n">
        <v>0</v>
      </c>
      <c r="F77" s="16" t="str">
        <f aca="false">IF(AND(D77&gt;0, E77&gt;0), "Observed Flaky Test", "Non-observed Flaky Test")</f>
        <v>Non-observed Flaky Test</v>
      </c>
      <c r="G77" s="17" t="n">
        <v>57</v>
      </c>
      <c r="H77" s="17" t="n">
        <v>43</v>
      </c>
      <c r="I77" s="61" t="str">
        <f aca="false">IF(AND(G77&gt;0, H77&gt;0), "Observed Flaky Test", "Non-observed Flaky Test")</f>
        <v>Observed Flaky Test</v>
      </c>
      <c r="J77" s="18" t="n">
        <v>16.5</v>
      </c>
      <c r="K77" s="18" t="n">
        <v>0</v>
      </c>
      <c r="L77" s="19" t="n">
        <f aca="false">IFERROR(K77/J77*100,"N/A")</f>
        <v>0</v>
      </c>
      <c r="M77" s="18" t="n">
        <v>16.4</v>
      </c>
      <c r="N77" s="18" t="n">
        <v>0</v>
      </c>
      <c r="O77" s="20" t="n">
        <f aca="false">IFERROR(N77/M77*100,"N/A")</f>
        <v>0</v>
      </c>
      <c r="P77" s="78" t="str">
        <f aca="false">IF(AND(G77&gt;0, H77=0), IF(ROUND(K77,8)=0, "Group 9: Only Passed | Without variation (SD Passed = 0)", "Group 10: Only Passed | With variation (SD Passed &gt; 0)"), IF(AND(G77=0, H77&gt;0), IF(ROUND(N77,8)=0, "Group 11: Only Failed | Without variation (SD Failed = 0)", "Group 12: Only Failed | With variation (SD Failed &gt; 0)"), IF(AND(G77&gt;0, H77&gt;0), IF(ROUND(J77,5)&lt;&gt;ROUND(M77,5), IF(AND(ROUND(K77,8)=0, ROUND(N77,8)=0), "Group 1: Flaky | Passed (no variation) AND Failed (no variation) | Different Means", IF(AND(ROUND(K77,8)&gt;0, ROUND(N77,8)&gt;0), "Group 2: Flaky | Passed (with variation) AND Failed (with variation) | Different Means", IF(AND(ROUND(K77,8)=0, ROUND(N77,8)&gt;0), "Group 3: Flaky | Passed (no variation) AND Failed (with variation) | Different Means", "Group 4: Flaky | Passed (with variation) AND Failed (no variation) | Different Means"))), IF(AND(ROUND(K77,8)=0, ROUND(N77,8)=0), "Group 5: Flaky | Passed (no variation) AND Failed (no variation) | Equal Means", IF(AND(ROUND(K77,8)&gt;0, ROUND(N77,8)&gt;0), "Group 6: Flaky | Passed (with variation) AND Failed (with variation) | Equal Means", IF(AND(ROUND(K77,8)=0, ROUND(N77,8)&gt;0),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77" s="22" t="n">
        <v>38</v>
      </c>
      <c r="R77" s="17" t="n">
        <v>62</v>
      </c>
      <c r="S77" s="43" t="str">
        <f aca="false">IF(AND(Q77&gt;0, R77&gt;0), "Observed Flaky Test", "Non-observed Flaky Test")</f>
        <v>Observed Flaky Test</v>
      </c>
      <c r="T77" s="24" t="n">
        <v>924972.789474</v>
      </c>
      <c r="U77" s="24" t="n">
        <v>210.853242</v>
      </c>
      <c r="V77" s="25" t="n">
        <f aca="false">IFERROR(U77/T77*100,"N/A")</f>
        <v>0.0227956156548027</v>
      </c>
      <c r="W77" s="24" t="n">
        <v>1087593.709677</v>
      </c>
      <c r="X77" s="24" t="n">
        <v>200.788559</v>
      </c>
      <c r="Y77" s="27" t="n">
        <f aca="false">IFERROR(X77/W77*100,"N/A")</f>
        <v>0.0184617249266393</v>
      </c>
      <c r="Z77" s="68" t="str">
        <f aca="false">IF(AND(Q77&gt;0, R77=0), IF(IFERROR(ROUND(V77,8),0)=0, "Group 9: Only Passed | Without variation (no var CV = 0)", "Group 10: Only Passed | With variation (with var CV &gt; 0)"), IF(AND(Q77=0, R77&gt;0), IF(IFERROR(ROUND(Y77,8),0)=0, "Group 11: Only Failed | Without variation (no var CV = 0)", "Group 12: Only Failed | With variation (with var CV &gt; 0)"), IF(AND(Q77&gt;0, R77&gt;0), IF(ROUND(T77,5)&lt;&gt;ROUND(W77,5), IF(AND(IFERROR(ROUND(V77,8),0)=0, IFERROR(ROUND(Y77,8),0)=0), "Group 1: Flaky | Passed (no variation: CV = 0) AND Failed (no variation: CV = 0) | Different Means", IF(AND(IFERROR(ROUND(V77,8),0)&gt;0, IFERROR(ROUND(Y77,8),0)&gt;0), "Group 2: Flaky | Passed (with variation: CV &gt; 0) AND Failed (with variation: CV &gt; 0) | Different Means", IF(AND(IFERROR(ROUND(V77,8),0)=0, IFERROR(ROUND(Y77,8),0)&gt;0), "Group 3: Flaky | Passed (no variation: CV = 0) AND Failed (with variation: CV &gt; 0) | Different Means", "Group 4: Flaky | Passed (with variation: CV &gt; 0) AND Failed (no variation: CV = 0) | Different Means"))), IF(AND(IFERROR(ROUND(V77,8),0)=0, IFERROR(ROUND(Y77,8),0)=0), "Group 5: Flaky | Passed (no var CV = 0) AND Failed (no var CV = 0) | Equal Means", IF(AND(IFERROR(ROUND(V77,8),0)&gt;0, IFERROR(ROUND(Y77,8),0)&gt;0), "Group 6: Flaky | Passed (with var CV &gt; 0) AND Failed (with var CV &gt; 0) | Equal Means", IF(AND(IFERROR(ROUND(V77,8),0)=0, IFERROR(ROUND(Y77,8),0)&gt;0),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77" s="29" t="n">
        <v>3.309994</v>
      </c>
      <c r="AB77" s="29" t="n">
        <v>0.048225</v>
      </c>
      <c r="AC77" s="29" t="n">
        <f aca="false">IFERROR(AB77/AA77*100,"N/A")</f>
        <v>1.45695128148269</v>
      </c>
      <c r="AD77" s="29" t="n">
        <v>0.600863</v>
      </c>
      <c r="AE77" s="29" t="n">
        <v>0.020296</v>
      </c>
      <c r="AF77" s="29" t="n">
        <f aca="false">IFERROR(AE77/AD77*100,"N/A")</f>
        <v>3.37780825246354</v>
      </c>
      <c r="AG77" s="36" t="str">
        <f aca="false">IF(AND(Q77&gt;0, R77=0), IF(IFERROR(ROUND(AC77,8),0)=0, "Group 9: Only Passed | Without variation (no var CV = 0)", "Group 10: Only Passed | With variation (with var CV &gt; 0)"), IF(AND(Q77=0, R77&gt;0), IF(IFERROR(ROUND(AF77,8),0)=0, "Group 11: Only Failed | Without variation (no var CV = 0)", "Group 12: Only Failed | With variation (with var CV &gt; 0)"), IF(AND(Q77&gt;0, R77&gt;0), IF(ROUND(AA77,5)&lt;&gt;ROUND(AD77,5), IF(AND(IFERROR(ROUND(AC77,8),0)=0, IFERROR(ROUND(AF77,8),0)=0), "Group 1: Flaky | Passed (no variation: CV = 0) AND Failed (no variation: CV = 0) | Different Means", IF(AND(IFERROR(ROUND(AC77,8),0)&gt;0, IFERROR(ROUND(AF77,8),0)&gt;0), "Group 2: Flaky | Passed (with variation: CV &gt; 0) AND Failed (with variation: CV &gt; 0) | Different Means", IF(AND(IFERROR(ROUND(AC77,8),0)=0, IFERROR(ROUND(AF77,8),0)&gt;0), "Group 3: Flaky | Passed (no variation: CV = 0) AND Failed (with variation: CV &gt; 0) | Different Means", "Group 4: Flaky | Passed (with variation: CV &gt; 0) AND Failed (no variation: CV = 0) | Different Means"))), IF(AND(IFERROR(ROUND(AC77,8),0)=0, IFERROR(ROUND(AF77,8),0)=0), "Group 5: Flaky | Passed (no var CV = 0) AND Failed (no var CV = 0) | Equal Means", IF(AND(IFERROR(ROUND(AC77,8),0)&gt;0, IFERROR(ROUND(AF77,8),0)&gt;0), "Group 6: Flaky | Passed (with var CV &gt; 0) AND Failed (with var CV &gt; 0) | Equal Means", IF(AND(IFERROR(ROUND(AC77,8),0)=0, IFERROR(ROUND(AF77,8),0)&gt;0),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77" s="22" t="n">
        <v>67</v>
      </c>
      <c r="AI77" s="17" t="n">
        <v>33</v>
      </c>
      <c r="AJ77" s="39" t="str">
        <f aca="false">IF(AND(AH77&gt;0, AI77&gt;0), "Observed Flaky Test", "Non-observed Flaky Test")</f>
        <v>Observed Flaky Test</v>
      </c>
      <c r="AK77" s="32" t="n">
        <v>632</v>
      </c>
      <c r="AL77" s="32" t="n">
        <v>0</v>
      </c>
      <c r="AM77" s="33" t="n">
        <f aca="false">IFERROR(AL77/AK77*100,"N/A")</f>
        <v>0</v>
      </c>
      <c r="AN77" s="32" t="n">
        <v>265</v>
      </c>
      <c r="AO77" s="32" t="n">
        <v>0</v>
      </c>
      <c r="AP77" s="35" t="n">
        <f aca="false">IFERROR(AO77/AN77*100,"N/A")</f>
        <v>0</v>
      </c>
      <c r="AQ77" s="85" t="str">
        <f aca="false">IF(AND(AH77&gt;0, AI77&gt;0),
    IF(ROUND(N(AK77),5)&lt;&gt;ROUND(N(AN77),5),
        IF(AND(ROUND(N(AL77),8)=0, ROUND(N(AO77),8)=0), "Group 1: Flaky | Passed (no variation: SD = 0) AND Failed (no variation: SD = 0) | Different Means",
        IF(AND(ROUND(N(AL77),8)&gt;0, ROUND(N(AO77),8)&gt;0), "Group 2: Flaky | Passed (with variation: SD &gt; 0) AND Failed (with variation: SD &gt; 0) | Different Means",
        IF(AND(ROUND(N(AL77),8)=0, ROUND(N(AO77),8)&gt;0), "Group 3: Flaky | Passed (no variation: SD = 0) AND Failed (with variation: SD &gt; 0) | Different Means",
        "Group 4: Flaky | Passed (with variation: SD &gt; 0) AND Failed (no variation: SD = 0) | Different Means"))),
        IF(AND(ROUND(N(AL77),8)=0, ROUND(N(AO77),8)=0), "Group 5: Flaky | Passed (no var SD = 0) AND Failed (no var SD = 0) | Equal Means",
        IF(AND(ROUND(N(AL77),8)&gt;0, ROUND(N(AO77),8)&gt;0), "Group 6: Flaky | Passed (with var SD &gt; 0 ) AND Failed (with var SD &gt; 0) | Equal Means",
        IF(AND(ROUND(N(AL77),8)=0, ROUND(N(AO77),8)&gt;0), "Group 7: Flaky | Passed (no var SD = 0) AND Failed (with var SD &gt; 0) | Equal Means",
        "Group 8: Flaky | Passed (with var SD &gt; 0 ) AND Failed (no var SD = 0) | Equal Means")))
    ),
    IF(AH77&gt;0,
        IF(N(AL77)&gt;0, "Group 10: Only Passed | With variation (with var SD &gt; 0)", "Group 9: Only Passed | Without variation (no var SD = 0)"),
        IF(AI77&gt;0,
            IF(N(AO77)&gt;0,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77" s="42" t="str">
        <f aca="false">IF(OR(F77="Observed Flaky Test", I77="Observed Flaky Test", S77="Observed Flaky Test", AJ77="Observed Flaky Test"), "Observed Flaky Test", "Non-observed Flaky Test")</f>
        <v>Observed Flaky Test</v>
      </c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</row>
    <row r="78" customFormat="false" ht="15.75" hidden="false" customHeight="true" outlineLevel="0" collapsed="false">
      <c r="A78" s="13"/>
      <c r="B78" s="14" t="s">
        <v>182</v>
      </c>
      <c r="C78" s="14" t="s">
        <v>183</v>
      </c>
      <c r="D78" s="15" t="n">
        <v>100</v>
      </c>
      <c r="E78" s="15" t="n">
        <v>0</v>
      </c>
      <c r="F78" s="16" t="str">
        <f aca="false">IF(AND(D78&gt;0, E78&gt;0), "Observed Flaky Test", "Non-observed Flaky Test")</f>
        <v>Non-observed Flaky Test</v>
      </c>
      <c r="G78" s="17" t="n">
        <v>45</v>
      </c>
      <c r="H78" s="17" t="n">
        <v>55</v>
      </c>
      <c r="I78" s="61" t="str">
        <f aca="false">IF(AND(G78&gt;0, H78&gt;0), "Observed Flaky Test", "Non-observed Flaky Test")</f>
        <v>Observed Flaky Test</v>
      </c>
      <c r="J78" s="18" t="n">
        <v>16.45</v>
      </c>
      <c r="K78" s="18" t="n">
        <v>0</v>
      </c>
      <c r="L78" s="19" t="n">
        <f aca="false">IFERROR(K78/J78*100,"N/A")</f>
        <v>0</v>
      </c>
      <c r="M78" s="18" t="n">
        <v>16.32</v>
      </c>
      <c r="N78" s="18" t="n">
        <v>0</v>
      </c>
      <c r="O78" s="20" t="n">
        <f aca="false">IFERROR(N78/M78*100,"N/A")</f>
        <v>0</v>
      </c>
      <c r="P78" s="78" t="str">
        <f aca="false">IF(AND(G78&gt;0, H78=0), IF(ROUND(K78,8)=0, "Group 9: Only Passed | Without variation (SD Passed = 0)", "Group 10: Only Passed | With variation (SD Passed &gt; 0)"), IF(AND(G78=0, H78&gt;0), IF(ROUND(N78,8)=0, "Group 11: Only Failed | Without variation (SD Failed = 0)", "Group 12: Only Failed | With variation (SD Failed &gt; 0)"), IF(AND(G78&gt;0, H78&gt;0), IF(ROUND(J78,5)&lt;&gt;ROUND(M78,5), IF(AND(ROUND(K78,8)=0, ROUND(N78,8)=0), "Group 1: Flaky | Passed (no variation) AND Failed (no variation) | Different Means", IF(AND(ROUND(K78,8)&gt;0, ROUND(N78,8)&gt;0), "Group 2: Flaky | Passed (with variation) AND Failed (with variation) | Different Means", IF(AND(ROUND(K78,8)=0, ROUND(N78,8)&gt;0), "Group 3: Flaky | Passed (no variation) AND Failed (with variation) | Different Means", "Group 4: Flaky | Passed (with variation) AND Failed (no variation) | Different Means"))), IF(AND(ROUND(K78,8)=0, ROUND(N78,8)=0), "Group 5: Flaky | Passed (no variation) AND Failed (no variation) | Equal Means", IF(AND(ROUND(K78,8)&gt;0, ROUND(N78,8)&gt;0), "Group 6: Flaky | Passed (with variation) AND Failed (with variation) | Equal Means", IF(AND(ROUND(K78,8)=0, ROUND(N78,8)&gt;0),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78" s="22" t="n">
        <v>27</v>
      </c>
      <c r="R78" s="17" t="n">
        <v>73</v>
      </c>
      <c r="S78" s="43" t="str">
        <f aca="false">IF(AND(Q78&gt;0, R78&gt;0), "Observed Flaky Test", "Non-observed Flaky Test")</f>
        <v>Observed Flaky Test</v>
      </c>
      <c r="T78" s="24" t="n">
        <v>887594.925926</v>
      </c>
      <c r="U78" s="24" t="n">
        <v>94.64343</v>
      </c>
      <c r="V78" s="25" t="n">
        <f aca="false">IFERROR(U78/T78*100,"N/A")</f>
        <v>0.0106629079589726</v>
      </c>
      <c r="W78" s="24" t="n">
        <v>1051015.945205</v>
      </c>
      <c r="X78" s="24" t="n">
        <v>113.534245</v>
      </c>
      <c r="Y78" s="27" t="n">
        <f aca="false">IFERROR(X78/W78*100,"N/A")</f>
        <v>0.0108023332584032</v>
      </c>
      <c r="Z78" s="68" t="str">
        <f aca="false">IF(AND(Q78&gt;0, R78=0), IF(IFERROR(ROUND(V78,8),0)=0, "Group 9: Only Passed | Without variation (no var CV = 0)", "Group 10: Only Passed | With variation (with var CV &gt; 0)"), IF(AND(Q78=0, R78&gt;0), IF(IFERROR(ROUND(Y78,8),0)=0, "Group 11: Only Failed | Without variation (no var CV = 0)", "Group 12: Only Failed | With variation (with var CV &gt; 0)"), IF(AND(Q78&gt;0, R78&gt;0), IF(ROUND(T78,5)&lt;&gt;ROUND(W78,5), IF(AND(IFERROR(ROUND(V78,8),0)=0, IFERROR(ROUND(Y78,8),0)=0), "Group 1: Flaky | Passed (no variation: CV = 0) AND Failed (no variation: CV = 0) | Different Means", IF(AND(IFERROR(ROUND(V78,8),0)&gt;0, IFERROR(ROUND(Y78,8),0)&gt;0), "Group 2: Flaky | Passed (with variation: CV &gt; 0) AND Failed (with variation: CV &gt; 0) | Different Means", IF(AND(IFERROR(ROUND(V78,8),0)=0, IFERROR(ROUND(Y78,8),0)&gt;0), "Group 3: Flaky | Passed (no variation: CV = 0) AND Failed (with variation: CV &gt; 0) | Different Means", "Group 4: Flaky | Passed (with variation: CV &gt; 0) AND Failed (no variation: CV = 0) | Different Means"))), IF(AND(IFERROR(ROUND(V78,8),0)=0, IFERROR(ROUND(Y78,8),0)=0), "Group 5: Flaky | Passed (no var CV = 0) AND Failed (no var CV = 0) | Equal Means", IF(AND(IFERROR(ROUND(V78,8),0)&gt;0, IFERROR(ROUND(Y78,8),0)&gt;0), "Group 6: Flaky | Passed (with var CV &gt; 0) AND Failed (with var CV &gt; 0) | Equal Means", IF(AND(IFERROR(ROUND(V78,8),0)=0, IFERROR(ROUND(Y78,8),0)&gt;0),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78" s="29" t="n">
        <v>2.487612</v>
      </c>
      <c r="AB78" s="29" t="n">
        <v>0.037554</v>
      </c>
      <c r="AC78" s="29" t="n">
        <f aca="false">IFERROR(AB78/AA78*100,"N/A")</f>
        <v>1.50964057095721</v>
      </c>
      <c r="AD78" s="29" t="n">
        <v>0.581824</v>
      </c>
      <c r="AE78" s="29" t="n">
        <v>0.012075</v>
      </c>
      <c r="AF78" s="29" t="n">
        <f aca="false">IFERROR(AE78/AD78*100,"N/A")</f>
        <v>2.07536987130129</v>
      </c>
      <c r="AG78" s="36" t="str">
        <f aca="false">IF(AND(Q78&gt;0, R78=0), IF(IFERROR(ROUND(AC78,8),0)=0, "Group 9: Only Passed | Without variation (no var CV = 0)", "Group 10: Only Passed | With variation (with var CV &gt; 0)"), IF(AND(Q78=0, R78&gt;0), IF(IFERROR(ROUND(AF78,8),0)=0, "Group 11: Only Failed | Without variation (no var CV = 0)", "Group 12: Only Failed | With variation (with var CV &gt; 0)"), IF(AND(Q78&gt;0, R78&gt;0), IF(ROUND(AA78,5)&lt;&gt;ROUND(AD78,5), IF(AND(IFERROR(ROUND(AC78,8),0)=0, IFERROR(ROUND(AF78,8),0)=0), "Group 1: Flaky | Passed (no variation: CV = 0) AND Failed (no variation: CV = 0) | Different Means", IF(AND(IFERROR(ROUND(AC78,8),0)&gt;0, IFERROR(ROUND(AF78,8),0)&gt;0), "Group 2: Flaky | Passed (with variation: CV &gt; 0) AND Failed (with variation: CV &gt; 0) | Different Means", IF(AND(IFERROR(ROUND(AC78,8),0)=0, IFERROR(ROUND(AF78,8),0)&gt;0), "Group 3: Flaky | Passed (no variation: CV = 0) AND Failed (with variation: CV &gt; 0) | Different Means", "Group 4: Flaky | Passed (with variation: CV &gt; 0) AND Failed (no variation: CV = 0) | Different Means"))), IF(AND(IFERROR(ROUND(AC78,8),0)=0, IFERROR(ROUND(AF78,8),0)=0), "Group 5: Flaky | Passed (no var CV = 0) AND Failed (no var CV = 0) | Equal Means", IF(AND(IFERROR(ROUND(AC78,8),0)&gt;0, IFERROR(ROUND(AF78,8),0)&gt;0), "Group 6: Flaky | Passed (with var CV &gt; 0) AND Failed (with var CV &gt; 0) | Equal Means", IF(AND(IFERROR(ROUND(AC78,8),0)=0, IFERROR(ROUND(AF78,8),0)&gt;0),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78" s="22" t="n">
        <v>41</v>
      </c>
      <c r="AI78" s="17" t="n">
        <v>59</v>
      </c>
      <c r="AJ78" s="39" t="str">
        <f aca="false">IF(AND(AH78&gt;0, AI78&gt;0), "Observed Flaky Test", "Non-observed Flaky Test")</f>
        <v>Observed Flaky Test</v>
      </c>
      <c r="AK78" s="32" t="n">
        <v>693</v>
      </c>
      <c r="AL78" s="32" t="n">
        <v>0</v>
      </c>
      <c r="AM78" s="33" t="n">
        <f aca="false">IFERROR(AL78/AK78*100,"N/A")</f>
        <v>0</v>
      </c>
      <c r="AN78" s="32" t="n">
        <v>265</v>
      </c>
      <c r="AO78" s="32" t="n">
        <v>0</v>
      </c>
      <c r="AP78" s="35" t="n">
        <f aca="false">IFERROR(AO78/AN78*100,"N/A")</f>
        <v>0</v>
      </c>
      <c r="AQ78" s="85" t="str">
        <f aca="false">IF(AND(AH78&gt;0, AI78&gt;0),
    IF(ROUND(N(AK78),5)&lt;&gt;ROUND(N(AN78),5),
        IF(AND(ROUND(N(AL78),8)=0, ROUND(N(AO78),8)=0), "Group 1: Flaky | Passed (no variation: SD = 0) AND Failed (no variation: SD = 0) | Different Means",
        IF(AND(ROUND(N(AL78),8)&gt;0, ROUND(N(AO78),8)&gt;0), "Group 2: Flaky | Passed (with variation: SD &gt; 0) AND Failed (with variation: SD &gt; 0) | Different Means",
        IF(AND(ROUND(N(AL78),8)=0, ROUND(N(AO78),8)&gt;0), "Group 3: Flaky | Passed (no variation: SD = 0) AND Failed (with variation: SD &gt; 0) | Different Means",
        "Group 4: Flaky | Passed (with variation: SD &gt; 0) AND Failed (no variation: SD = 0) | Different Means"))),
        IF(AND(ROUND(N(AL78),8)=0, ROUND(N(AO78),8)=0), "Group 5: Flaky | Passed (no var SD = 0) AND Failed (no var SD = 0) | Equal Means",
        IF(AND(ROUND(N(AL78),8)&gt;0, ROUND(N(AO78),8)&gt;0), "Group 6: Flaky | Passed (with var SD &gt; 0 ) AND Failed (with var SD &gt; 0) | Equal Means",
        IF(AND(ROUND(N(AL78),8)=0, ROUND(N(AO78),8)&gt;0), "Group 7: Flaky | Passed (no var SD = 0) AND Failed (with var SD &gt; 0) | Equal Means",
        "Group 8: Flaky | Passed (with var SD &gt; 0 ) AND Failed (no var SD = 0) | Equal Means")))
    ),
    IF(AH78&gt;0,
        IF(N(AL78)&gt;0, "Group 10: Only Passed | With variation (with var SD &gt; 0)", "Group 9: Only Passed | Without variation (no var SD = 0)"),
        IF(AI78&gt;0,
            IF(N(AO78)&gt;0,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78" s="42" t="str">
        <f aca="false">IF(OR(F78="Observed Flaky Test", I78="Observed Flaky Test", S78="Observed Flaky Test", AJ78="Observed Flaky Test"), "Observed Flaky Test", "Non-observed Flaky Test")</f>
        <v>Observed Flaky Test</v>
      </c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</row>
    <row r="79" customFormat="false" ht="15.75" hidden="false" customHeight="true" outlineLevel="0" collapsed="false">
      <c r="A79" s="13"/>
      <c r="B79" s="14" t="s">
        <v>184</v>
      </c>
      <c r="C79" s="14" t="s">
        <v>185</v>
      </c>
      <c r="D79" s="15" t="n">
        <v>100</v>
      </c>
      <c r="E79" s="15" t="n">
        <v>0</v>
      </c>
      <c r="F79" s="16" t="str">
        <f aca="false">IF(AND(D79&gt;0, E79&gt;0), "Observed Flaky Test", "Non-observed Flaky Test")</f>
        <v>Non-observed Flaky Test</v>
      </c>
      <c r="G79" s="17" t="n">
        <v>52</v>
      </c>
      <c r="H79" s="17" t="n">
        <v>48</v>
      </c>
      <c r="I79" s="61" t="str">
        <f aca="false">IF(AND(G79&gt;0, H79&gt;0), "Observed Flaky Test", "Non-observed Flaky Test")</f>
        <v>Observed Flaky Test</v>
      </c>
      <c r="J79" s="18" t="n">
        <v>16.53</v>
      </c>
      <c r="K79" s="18" t="n">
        <v>0</v>
      </c>
      <c r="L79" s="19" t="n">
        <f aca="false">IFERROR(K79/J79*100,"N/A")</f>
        <v>0</v>
      </c>
      <c r="M79" s="18" t="n">
        <v>16.34</v>
      </c>
      <c r="N79" s="18" t="n">
        <v>0</v>
      </c>
      <c r="O79" s="20" t="n">
        <f aca="false">IFERROR(N79/M79*100,"N/A")</f>
        <v>0</v>
      </c>
      <c r="P79" s="78" t="str">
        <f aca="false">IF(AND(G79&gt;0, H79=0), IF(ROUND(K79,8)=0, "Group 9: Only Passed | Without variation (SD Passed = 0)", "Group 10: Only Passed | With variation (SD Passed &gt; 0)"), IF(AND(G79=0, H79&gt;0), IF(ROUND(N79,8)=0, "Group 11: Only Failed | Without variation (SD Failed = 0)", "Group 12: Only Failed | With variation (SD Failed &gt; 0)"), IF(AND(G79&gt;0, H79&gt;0), IF(ROUND(J79,5)&lt;&gt;ROUND(M79,5), IF(AND(ROUND(K79,8)=0, ROUND(N79,8)=0), "Group 1: Flaky | Passed (no variation) AND Failed (no variation) | Different Means", IF(AND(ROUND(K79,8)&gt;0, ROUND(N79,8)&gt;0), "Group 2: Flaky | Passed (with variation) AND Failed (with variation) | Different Means", IF(AND(ROUND(K79,8)=0, ROUND(N79,8)&gt;0), "Group 3: Flaky | Passed (no variation) AND Failed (with variation) | Different Means", "Group 4: Flaky | Passed (with variation) AND Failed (no variation) | Different Means"))), IF(AND(ROUND(K79,8)=0, ROUND(N79,8)=0), "Group 5: Flaky | Passed (no variation) AND Failed (no variation) | Equal Means", IF(AND(ROUND(K79,8)&gt;0, ROUND(N79,8)&gt;0), "Group 6: Flaky | Passed (with variation) AND Failed (with variation) | Equal Means", IF(AND(ROUND(K79,8)=0, ROUND(N79,8)&gt;0),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79" s="22" t="n">
        <v>52</v>
      </c>
      <c r="R79" s="17" t="n">
        <v>48</v>
      </c>
      <c r="S79" s="43" t="str">
        <f aca="false">IF(AND(Q79&gt;0, R79&gt;0), "Observed Flaky Test", "Non-observed Flaky Test")</f>
        <v>Observed Flaky Test</v>
      </c>
      <c r="T79" s="24" t="n">
        <v>889229.480769</v>
      </c>
      <c r="U79" s="24" t="n">
        <v>109.678048</v>
      </c>
      <c r="V79" s="25" t="n">
        <f aca="false">IFERROR(U79/T79*100,"N/A")</f>
        <v>0.012334054411371</v>
      </c>
      <c r="W79" s="26" t="n">
        <v>1051622.416667</v>
      </c>
      <c r="X79" s="24" t="n">
        <v>196.570363</v>
      </c>
      <c r="Y79" s="27" t="n">
        <f aca="false">IFERROR(X79/W79*100,"N/A")</f>
        <v>0.0186921046836381</v>
      </c>
      <c r="Z79" s="68" t="str">
        <f aca="false">IF(AND(Q79&gt;0, R79=0), IF(IFERROR(ROUND(V79,8),0)=0, "Group 9: Only Passed | Without variation (no var CV = 0)", "Group 10: Only Passed | With variation (with var CV &gt; 0)"), IF(AND(Q79=0, R79&gt;0), IF(IFERROR(ROUND(Y79,8),0)=0, "Group 11: Only Failed | Without variation (no var CV = 0)", "Group 12: Only Failed | With variation (with var CV &gt; 0)"), IF(AND(Q79&gt;0, R79&gt;0), IF(ROUND(T79,5)&lt;&gt;ROUND(W79,5), IF(AND(IFERROR(ROUND(V79,8),0)=0, IFERROR(ROUND(Y79,8),0)=0), "Group 1: Flaky | Passed (no variation: CV = 0) AND Failed (no variation: CV = 0) | Different Means", IF(AND(IFERROR(ROUND(V79,8),0)&gt;0, IFERROR(ROUND(Y79,8),0)&gt;0), "Group 2: Flaky | Passed (with variation: CV &gt; 0) AND Failed (with variation: CV &gt; 0) | Different Means", IF(AND(IFERROR(ROUND(V79,8),0)=0, IFERROR(ROUND(Y79,8),0)&gt;0), "Group 3: Flaky | Passed (no variation: CV = 0) AND Failed (with variation: CV &gt; 0) | Different Means", "Group 4: Flaky | Passed (with variation: CV &gt; 0) AND Failed (no variation: CV = 0) | Different Means"))), IF(AND(IFERROR(ROUND(V79,8),0)=0, IFERROR(ROUND(Y79,8),0)=0), "Group 5: Flaky | Passed (no var CV = 0) AND Failed (no var CV = 0) | Equal Means", IF(AND(IFERROR(ROUND(V79,8),0)&gt;0, IFERROR(ROUND(Y79,8),0)&gt;0), "Group 6: Flaky | Passed (with var CV &gt; 0) AND Failed (with var CV &gt; 0) | Equal Means", IF(AND(IFERROR(ROUND(V79,8),0)=0, IFERROR(ROUND(Y79,8),0)&gt;0),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79" s="29" t="n">
        <v>2.802708</v>
      </c>
      <c r="AB79" s="29" t="n">
        <v>0.032177</v>
      </c>
      <c r="AC79" s="29" t="n">
        <f aca="false">IFERROR(AB79/AA79*100,"N/A")</f>
        <v>1.14806822544482</v>
      </c>
      <c r="AD79" s="29" t="n">
        <v>0.593241</v>
      </c>
      <c r="AE79" s="29" t="n">
        <v>0.015713</v>
      </c>
      <c r="AF79" s="29" t="n">
        <f aca="false">IFERROR(AE79/AD79*100,"N/A")</f>
        <v>2.64867060772941</v>
      </c>
      <c r="AG79" s="36" t="str">
        <f aca="false">IF(AND(Q79&gt;0, R79=0), IF(IFERROR(ROUND(AC79,8),0)=0, "Group 9: Only Passed | Without variation (no var CV = 0)", "Group 10: Only Passed | With variation (with var CV &gt; 0)"), IF(AND(Q79=0, R79&gt;0), IF(IFERROR(ROUND(AF79,8),0)=0, "Group 11: Only Failed | Without variation (no var CV = 0)", "Group 12: Only Failed | With variation (with var CV &gt; 0)"), IF(AND(Q79&gt;0, R79&gt;0), IF(ROUND(AA79,5)&lt;&gt;ROUND(AD79,5), IF(AND(IFERROR(ROUND(AC79,8),0)=0, IFERROR(ROUND(AF79,8),0)=0), "Group 1: Flaky | Passed (no variation: CV = 0) AND Failed (no variation: CV = 0) | Different Means", IF(AND(IFERROR(ROUND(AC79,8),0)&gt;0, IFERROR(ROUND(AF79,8),0)&gt;0), "Group 2: Flaky | Passed (with variation: CV &gt; 0) AND Failed (with variation: CV &gt; 0) | Different Means", IF(AND(IFERROR(ROUND(AC79,8),0)=0, IFERROR(ROUND(AF79,8),0)&gt;0), "Group 3: Flaky | Passed (no variation: CV = 0) AND Failed (with variation: CV &gt; 0) | Different Means", "Group 4: Flaky | Passed (with variation: CV &gt; 0) AND Failed (no variation: CV = 0) | Different Means"))), IF(AND(IFERROR(ROUND(AC79,8),0)=0, IFERROR(ROUND(AF79,8),0)=0), "Group 5: Flaky | Passed (no var CV = 0) AND Failed (no var CV = 0) | Equal Means", IF(AND(IFERROR(ROUND(AC79,8),0)&gt;0, IFERROR(ROUND(AF79,8),0)&gt;0), "Group 6: Flaky | Passed (with var CV &gt; 0) AND Failed (with var CV &gt; 0) | Equal Means", IF(AND(IFERROR(ROUND(AC79,8),0)=0, IFERROR(ROUND(AF79,8),0)&gt;0),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79" s="22" t="n">
        <v>55</v>
      </c>
      <c r="AI79" s="17" t="n">
        <v>45</v>
      </c>
      <c r="AJ79" s="39" t="str">
        <f aca="false">IF(AND(AH79&gt;0, AI79&gt;0), "Observed Flaky Test", "Non-observed Flaky Test")</f>
        <v>Observed Flaky Test</v>
      </c>
      <c r="AK79" s="32" t="n">
        <v>633</v>
      </c>
      <c r="AL79" s="32" t="n">
        <v>0</v>
      </c>
      <c r="AM79" s="33" t="n">
        <f aca="false">IFERROR(AL79/AK79*100,"N/A")</f>
        <v>0</v>
      </c>
      <c r="AN79" s="32" t="n">
        <v>265</v>
      </c>
      <c r="AO79" s="32" t="n">
        <v>0</v>
      </c>
      <c r="AP79" s="35" t="n">
        <f aca="false">IFERROR(AO79/AN79*100,"N/A")</f>
        <v>0</v>
      </c>
      <c r="AQ79" s="85" t="str">
        <f aca="false">IF(AND(AH79&gt;0, AI79&gt;0),
    IF(ROUND(N(AK79),5)&lt;&gt;ROUND(N(AN79),5),
        IF(AND(ROUND(N(AL79),8)=0, ROUND(N(AO79),8)=0), "Group 1: Flaky | Passed (no variation: SD = 0) AND Failed (no variation: SD = 0) | Different Means",
        IF(AND(ROUND(N(AL79),8)&gt;0, ROUND(N(AO79),8)&gt;0), "Group 2: Flaky | Passed (with variation: SD &gt; 0) AND Failed (with variation: SD &gt; 0) | Different Means",
        IF(AND(ROUND(N(AL79),8)=0, ROUND(N(AO79),8)&gt;0), "Group 3: Flaky | Passed (no variation: SD = 0) AND Failed (with variation: SD &gt; 0) | Different Means",
        "Group 4: Flaky | Passed (with variation: SD &gt; 0) AND Failed (no variation: SD = 0) | Different Means"))),
        IF(AND(ROUND(N(AL79),8)=0, ROUND(N(AO79),8)=0), "Group 5: Flaky | Passed (no var SD = 0) AND Failed (no var SD = 0) | Equal Means",
        IF(AND(ROUND(N(AL79),8)&gt;0, ROUND(N(AO79),8)&gt;0), "Group 6: Flaky | Passed (with var SD &gt; 0 ) AND Failed (with var SD &gt; 0) | Equal Means",
        IF(AND(ROUND(N(AL79),8)=0, ROUND(N(AO79),8)&gt;0), "Group 7: Flaky | Passed (no var SD = 0) AND Failed (with var SD &gt; 0) | Equal Means",
        "Group 8: Flaky | Passed (with var SD &gt; 0 ) AND Failed (no var SD = 0) | Equal Means")))
    ),
    IF(AH79&gt;0,
        IF(N(AL79)&gt;0, "Group 10: Only Passed | With variation (with var SD &gt; 0)", "Group 9: Only Passed | Without variation (no var SD = 0)"),
        IF(AI79&gt;0,
            IF(N(AO79)&gt;0,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79" s="42" t="str">
        <f aca="false">IF(OR(F79="Observed Flaky Test", I79="Observed Flaky Test", S79="Observed Flaky Test", AJ79="Observed Flaky Test"), "Observed Flaky Test", "Non-observed Flaky Test")</f>
        <v>Observed Flaky Test</v>
      </c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customFormat="false" ht="15.75" hidden="false" customHeight="true" outlineLevel="0" collapsed="false">
      <c r="A80" s="13"/>
      <c r="B80" s="14" t="s">
        <v>186</v>
      </c>
      <c r="C80" s="14" t="s">
        <v>187</v>
      </c>
      <c r="D80" s="15" t="n">
        <v>100</v>
      </c>
      <c r="E80" s="15" t="n">
        <v>0</v>
      </c>
      <c r="F80" s="16" t="str">
        <f aca="false">IF(AND(D80&gt;0, E80&gt;0), "Observed Flaky Test", "Non-observed Flaky Test")</f>
        <v>Non-observed Flaky Test</v>
      </c>
      <c r="G80" s="17" t="n">
        <v>45</v>
      </c>
      <c r="H80" s="17" t="n">
        <v>55</v>
      </c>
      <c r="I80" s="61" t="str">
        <f aca="false">IF(AND(G80&gt;0, H80&gt;0), "Observed Flaky Test", "Non-observed Flaky Test")</f>
        <v>Observed Flaky Test</v>
      </c>
      <c r="J80" s="18" t="n">
        <v>17.66</v>
      </c>
      <c r="K80" s="18" t="n">
        <v>0</v>
      </c>
      <c r="L80" s="19" t="n">
        <f aca="false">IFERROR(K80/J80*100,"N/A")</f>
        <v>0</v>
      </c>
      <c r="M80" s="18" t="n">
        <v>16.37</v>
      </c>
      <c r="N80" s="18" t="n">
        <v>0</v>
      </c>
      <c r="O80" s="20" t="n">
        <f aca="false">IFERROR(N80/M80*100,"N/A")</f>
        <v>0</v>
      </c>
      <c r="P80" s="78" t="str">
        <f aca="false">IF(AND(G80&gt;0, H80=0), IF(ROUND(K80,8)=0, "Group 9: Only Passed | Without variation (SD Passed = 0)", "Group 10: Only Passed | With variation (SD Passed &gt; 0)"), IF(AND(G80=0, H80&gt;0), IF(ROUND(N80,8)=0, "Group 11: Only Failed | Without variation (SD Failed = 0)", "Group 12: Only Failed | With variation (SD Failed &gt; 0)"), IF(AND(G80&gt;0, H80&gt;0), IF(ROUND(J80,5)&lt;&gt;ROUND(M80,5), IF(AND(ROUND(K80,8)=0, ROUND(N80,8)=0), "Group 1: Flaky | Passed (no variation) AND Failed (no variation) | Different Means", IF(AND(ROUND(K80,8)&gt;0, ROUND(N80,8)&gt;0), "Group 2: Flaky | Passed (with variation) AND Failed (with variation) | Different Means", IF(AND(ROUND(K80,8)=0, ROUND(N80,8)&gt;0), "Group 3: Flaky | Passed (no variation) AND Failed (with variation) | Different Means", "Group 4: Flaky | Passed (with variation) AND Failed (no variation) | Different Means"))), IF(AND(ROUND(K80,8)=0, ROUND(N80,8)=0), "Group 5: Flaky | Passed (no variation) AND Failed (no variation) | Equal Means", IF(AND(ROUND(K80,8)&gt;0, ROUND(N80,8)&gt;0), "Group 6: Flaky | Passed (with variation) AND Failed (with variation) | Equal Means", IF(AND(ROUND(K80,8)=0, ROUND(N80,8)&gt;0),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80" s="22" t="n">
        <v>31</v>
      </c>
      <c r="R80" s="17" t="n">
        <v>69</v>
      </c>
      <c r="S80" s="43" t="str">
        <f aca="false">IF(AND(Q80&gt;0, R80&gt;0), "Observed Flaky Test", "Non-observed Flaky Test")</f>
        <v>Observed Flaky Test</v>
      </c>
      <c r="T80" s="24" t="n">
        <v>889177.193548</v>
      </c>
      <c r="U80" s="24" t="n">
        <v>84.720883</v>
      </c>
      <c r="V80" s="25" t="n">
        <f aca="false">IFERROR(U80/T80*100,"N/A")</f>
        <v>0.0095280089969409</v>
      </c>
      <c r="W80" s="24" t="n">
        <v>1054176.101449</v>
      </c>
      <c r="X80" s="24" t="n">
        <v>168.977474</v>
      </c>
      <c r="Y80" s="27" t="n">
        <f aca="false">IFERROR(X80/W80*100,"N/A")</f>
        <v>0.0160293402371515</v>
      </c>
      <c r="Z80" s="68" t="str">
        <f aca="false">IF(AND(Q80&gt;0, R80=0), IF(IFERROR(ROUND(V80,8),0)=0, "Group 9: Only Passed | Without variation (no var CV = 0)", "Group 10: Only Passed | With variation (with var CV &gt; 0)"), IF(AND(Q80=0, R80&gt;0), IF(IFERROR(ROUND(Y80,8),0)=0, "Group 11: Only Failed | Without variation (no var CV = 0)", "Group 12: Only Failed | With variation (with var CV &gt; 0)"), IF(AND(Q80&gt;0, R80&gt;0), IF(ROUND(T80,5)&lt;&gt;ROUND(W80,5), IF(AND(IFERROR(ROUND(V80,8),0)=0, IFERROR(ROUND(Y80,8),0)=0), "Group 1: Flaky | Passed (no variation: CV = 0) AND Failed (no variation: CV = 0) | Different Means", IF(AND(IFERROR(ROUND(V80,8),0)&gt;0, IFERROR(ROUND(Y80,8),0)&gt;0), "Group 2: Flaky | Passed (with variation: CV &gt; 0) AND Failed (with variation: CV &gt; 0) | Different Means", IF(AND(IFERROR(ROUND(V80,8),0)=0, IFERROR(ROUND(Y80,8),0)&gt;0), "Group 3: Flaky | Passed (no variation: CV = 0) AND Failed (with variation: CV &gt; 0) | Different Means", "Group 4: Flaky | Passed (with variation: CV &gt; 0) AND Failed (no variation: CV = 0) | Different Means"))), IF(AND(IFERROR(ROUND(V80,8),0)=0, IFERROR(ROUND(Y80,8),0)=0), "Group 5: Flaky | Passed (no var CV = 0) AND Failed (no var CV = 0) | Equal Means", IF(AND(IFERROR(ROUND(V80,8),0)&gt;0, IFERROR(ROUND(Y80,8),0)&gt;0), "Group 6: Flaky | Passed (with var CV &gt; 0) AND Failed (with var CV &gt; 0) | Equal Means", IF(AND(IFERROR(ROUND(V80,8),0)=0, IFERROR(ROUND(Y80,8),0)&gt;0),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80" s="29" t="n">
        <v>0.893153</v>
      </c>
      <c r="AB80" s="29" t="n">
        <v>0.025035</v>
      </c>
      <c r="AC80" s="29" t="n">
        <f aca="false">IFERROR(AB80/AA80*100,"N/A")</f>
        <v>2.80299120083569</v>
      </c>
      <c r="AD80" s="29" t="n">
        <v>0.585325</v>
      </c>
      <c r="AE80" s="29" t="n">
        <v>0.01365</v>
      </c>
      <c r="AF80" s="29" t="n">
        <f aca="false">IFERROR(AE80/AD80*100,"N/A")</f>
        <v>2.33203775680178</v>
      </c>
      <c r="AG80" s="36" t="str">
        <f aca="false">IF(AND(Q80&gt;0, R80=0), IF(IFERROR(ROUND(AC80,8),0)=0, "Group 9: Only Passed | Without variation (no var CV = 0)", "Group 10: Only Passed | With variation (with var CV &gt; 0)"), IF(AND(Q80=0, R80&gt;0), IF(IFERROR(ROUND(AF80,8),0)=0, "Group 11: Only Failed | Without variation (no var CV = 0)", "Group 12: Only Failed | With variation (with var CV &gt; 0)"), IF(AND(Q80&gt;0, R80&gt;0), IF(ROUND(AA80,5)&lt;&gt;ROUND(AD80,5), IF(AND(IFERROR(ROUND(AC80,8),0)=0, IFERROR(ROUND(AF80,8),0)=0), "Group 1: Flaky | Passed (no variation: CV = 0) AND Failed (no variation: CV = 0) | Different Means", IF(AND(IFERROR(ROUND(AC80,8),0)&gt;0, IFERROR(ROUND(AF80,8),0)&gt;0), "Group 2: Flaky | Passed (with variation: CV &gt; 0) AND Failed (with variation: CV &gt; 0) | Different Means", IF(AND(IFERROR(ROUND(AC80,8),0)=0, IFERROR(ROUND(AF80,8),0)&gt;0), "Group 3: Flaky | Passed (no variation: CV = 0) AND Failed (with variation: CV &gt; 0) | Different Means", "Group 4: Flaky | Passed (with variation: CV &gt; 0) AND Failed (no variation: CV = 0) | Different Means"))), IF(AND(IFERROR(ROUND(AC80,8),0)=0, IFERROR(ROUND(AF80,8),0)=0), "Group 5: Flaky | Passed (no var CV = 0) AND Failed (no var CV = 0) | Equal Means", IF(AND(IFERROR(ROUND(AC80,8),0)&gt;0, IFERROR(ROUND(AF80,8),0)&gt;0), "Group 6: Flaky | Passed (with var CV &gt; 0) AND Failed (with var CV &gt; 0) | Equal Means", IF(AND(IFERROR(ROUND(AC80,8),0)=0, IFERROR(ROUND(AF80,8),0)&gt;0),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80" s="22" t="n">
        <v>29</v>
      </c>
      <c r="AI80" s="17" t="n">
        <v>71</v>
      </c>
      <c r="AJ80" s="39" t="str">
        <f aca="false">IF(AND(AH80&gt;0, AI80&gt;0), "Observed Flaky Test", "Non-observed Flaky Test")</f>
        <v>Observed Flaky Test</v>
      </c>
      <c r="AK80" s="32" t="n">
        <v>1893</v>
      </c>
      <c r="AL80" s="32" t="n">
        <v>0</v>
      </c>
      <c r="AM80" s="33" t="n">
        <f aca="false">IFERROR(AL80/AK80*100,"N/A")</f>
        <v>0</v>
      </c>
      <c r="AN80" s="32" t="n">
        <v>265</v>
      </c>
      <c r="AO80" s="32" t="n">
        <v>0</v>
      </c>
      <c r="AP80" s="35" t="n">
        <f aca="false">IFERROR(AO80/AN80*100,"N/A")</f>
        <v>0</v>
      </c>
      <c r="AQ80" s="85" t="str">
        <f aca="false">IF(AND(AH80&gt;0, AI80&gt;0),
    IF(ROUND(N(AK80),5)&lt;&gt;ROUND(N(AN80),5),
        IF(AND(ROUND(N(AL80),8)=0, ROUND(N(AO80),8)=0), "Group 1: Flaky | Passed (no variation: SD = 0) AND Failed (no variation: SD = 0) | Different Means",
        IF(AND(ROUND(N(AL80),8)&gt;0, ROUND(N(AO80),8)&gt;0), "Group 2: Flaky | Passed (with variation: SD &gt; 0) AND Failed (with variation: SD &gt; 0) | Different Means",
        IF(AND(ROUND(N(AL80),8)=0, ROUND(N(AO80),8)&gt;0), "Group 3: Flaky | Passed (no variation: SD = 0) AND Failed (with variation: SD &gt; 0) | Different Means",
        "Group 4: Flaky | Passed (with variation: SD &gt; 0) AND Failed (no variation: SD = 0) | Different Means"))),
        IF(AND(ROUND(N(AL80),8)=0, ROUND(N(AO80),8)=0), "Group 5: Flaky | Passed (no var SD = 0) AND Failed (no var SD = 0) | Equal Means",
        IF(AND(ROUND(N(AL80),8)&gt;0, ROUND(N(AO80),8)&gt;0), "Group 6: Flaky | Passed (with var SD &gt; 0 ) AND Failed (with var SD &gt; 0) | Equal Means",
        IF(AND(ROUND(N(AL80),8)=0, ROUND(N(AO80),8)&gt;0), "Group 7: Flaky | Passed (no var SD = 0) AND Failed (with var SD &gt; 0) | Equal Means",
        "Group 8: Flaky | Passed (with var SD &gt; 0 ) AND Failed (no var SD = 0) | Equal Means")))
    ),
    IF(AH80&gt;0,
        IF(N(AL80)&gt;0, "Group 10: Only Passed | With variation (with var SD &gt; 0)", "Group 9: Only Passed | Without variation (no var SD = 0)"),
        IF(AI80&gt;0,
            IF(N(AO80)&gt;0,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80" s="42" t="str">
        <f aca="false">IF(OR(F80="Observed Flaky Test", I80="Observed Flaky Test", S80="Observed Flaky Test", AJ80="Observed Flaky Test"), "Observed Flaky Test", "Non-observed Flaky Test")</f>
        <v>Observed Flaky Test</v>
      </c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</row>
    <row r="81" customFormat="false" ht="15.75" hidden="false" customHeight="true" outlineLevel="0" collapsed="false">
      <c r="A81" s="13"/>
      <c r="B81" s="14" t="s">
        <v>188</v>
      </c>
      <c r="C81" s="14" t="s">
        <v>189</v>
      </c>
      <c r="D81" s="15" t="n">
        <v>100</v>
      </c>
      <c r="E81" s="15" t="n">
        <v>0</v>
      </c>
      <c r="F81" s="16" t="str">
        <f aca="false">IF(AND(D81&gt;0, E81&gt;0), "Observed Flaky Test", "Non-observed Flaky Test")</f>
        <v>Non-observed Flaky Test</v>
      </c>
      <c r="G81" s="17" t="n">
        <v>43</v>
      </c>
      <c r="H81" s="17" t="n">
        <v>57</v>
      </c>
      <c r="I81" s="61" t="str">
        <f aca="false">IF(AND(G81&gt;0, H81&gt;0), "Observed Flaky Test", "Non-observed Flaky Test")</f>
        <v>Observed Flaky Test</v>
      </c>
      <c r="J81" s="18" t="n">
        <v>17.66</v>
      </c>
      <c r="K81" s="18" t="n">
        <v>0</v>
      </c>
      <c r="L81" s="19" t="n">
        <f aca="false">IFERROR(K81/J81*100,"N/A")</f>
        <v>0</v>
      </c>
      <c r="M81" s="18" t="n">
        <v>16.37</v>
      </c>
      <c r="N81" s="18" t="n">
        <v>0</v>
      </c>
      <c r="O81" s="20" t="n">
        <f aca="false">IFERROR(N81/M81*100,"N/A")</f>
        <v>0</v>
      </c>
      <c r="P81" s="78" t="str">
        <f aca="false">IF(AND(G81&gt;0, H81=0), IF(ROUND(K81,8)=0, "Group 9: Only Passed | Without variation (SD Passed = 0)", "Group 10: Only Passed | With variation (SD Passed &gt; 0)"), IF(AND(G81=0, H81&gt;0), IF(ROUND(N81,8)=0, "Group 11: Only Failed | Without variation (SD Failed = 0)", "Group 12: Only Failed | With variation (SD Failed &gt; 0)"), IF(AND(G81&gt;0, H81&gt;0), IF(ROUND(J81,5)&lt;&gt;ROUND(M81,5), IF(AND(ROUND(K81,8)=0, ROUND(N81,8)=0), "Group 1: Flaky | Passed (no variation) AND Failed (no variation) | Different Means", IF(AND(ROUND(K81,8)&gt;0, ROUND(N81,8)&gt;0), "Group 2: Flaky | Passed (with variation) AND Failed (with variation) | Different Means", IF(AND(ROUND(K81,8)=0, ROUND(N81,8)&gt;0), "Group 3: Flaky | Passed (no variation) AND Failed (with variation) | Different Means", "Group 4: Flaky | Passed (with variation) AND Failed (no variation) | Different Means"))), IF(AND(ROUND(K81,8)=0, ROUND(N81,8)=0), "Group 5: Flaky | Passed (no variation) AND Failed (no variation) | Equal Means", IF(AND(ROUND(K81,8)&gt;0, ROUND(N81,8)&gt;0), "Group 6: Flaky | Passed (with variation) AND Failed (with variation) | Equal Means", IF(AND(ROUND(K81,8)=0, ROUND(N81,8)&gt;0),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81" s="22" t="n">
        <v>26</v>
      </c>
      <c r="R81" s="17" t="n">
        <v>74</v>
      </c>
      <c r="S81" s="43" t="str">
        <f aca="false">IF(AND(Q81&gt;0, R81&gt;0), "Observed Flaky Test", "Non-observed Flaky Test")</f>
        <v>Observed Flaky Test</v>
      </c>
      <c r="T81" s="24" t="n">
        <v>889222.230769</v>
      </c>
      <c r="U81" s="24" t="n">
        <v>86.527826</v>
      </c>
      <c r="V81" s="25" t="n">
        <f aca="false">IFERROR(U81/T81*100,"N/A")</f>
        <v>0.0097307313071976</v>
      </c>
      <c r="W81" s="24" t="n">
        <v>1054195.891892</v>
      </c>
      <c r="X81" s="24" t="n">
        <v>160.473833</v>
      </c>
      <c r="Y81" s="27" t="n">
        <f aca="false">IFERROR(X81/W81*100,"N/A")</f>
        <v>0.0152223921791226</v>
      </c>
      <c r="Z81" s="68" t="str">
        <f aca="false">IF(AND(Q81&gt;0, R81=0), IF(IFERROR(ROUND(V81,8),0)=0, "Group 9: Only Passed | Without variation (no var CV = 0)", "Group 10: Only Passed | With variation (with var CV &gt; 0)"), IF(AND(Q81=0, R81&gt;0), IF(IFERROR(ROUND(Y81,8),0)=0, "Group 11: Only Failed | Without variation (no var CV = 0)", "Group 12: Only Failed | With variation (with var CV &gt; 0)"), IF(AND(Q81&gt;0, R81&gt;0), IF(ROUND(T81,5)&lt;&gt;ROUND(W81,5), IF(AND(IFERROR(ROUND(V81,8),0)=0, IFERROR(ROUND(Y81,8),0)=0), "Group 1: Flaky | Passed (no variation: CV = 0) AND Failed (no variation: CV = 0) | Different Means", IF(AND(IFERROR(ROUND(V81,8),0)&gt;0, IFERROR(ROUND(Y81,8),0)&gt;0), "Group 2: Flaky | Passed (with variation: CV &gt; 0) AND Failed (with variation: CV &gt; 0) | Different Means", IF(AND(IFERROR(ROUND(V81,8),0)=0, IFERROR(ROUND(Y81,8),0)&gt;0), "Group 3: Flaky | Passed (no variation: CV = 0) AND Failed (with variation: CV &gt; 0) | Different Means", "Group 4: Flaky | Passed (with variation: CV &gt; 0) AND Failed (no variation: CV = 0) | Different Means"))), IF(AND(IFERROR(ROUND(V81,8),0)=0, IFERROR(ROUND(Y81,8),0)=0), "Group 5: Flaky | Passed (no var CV = 0) AND Failed (no var CV = 0) | Equal Means", IF(AND(IFERROR(ROUND(V81,8),0)&gt;0, IFERROR(ROUND(Y81,8),0)&gt;0), "Group 6: Flaky | Passed (with var CV &gt; 0) AND Failed (with var CV &gt; 0) | Equal Means", IF(AND(IFERROR(ROUND(V81,8),0)=0, IFERROR(ROUND(Y81,8),0)&gt;0),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81" s="29" t="n">
        <v>0.899752</v>
      </c>
      <c r="AB81" s="29" t="n">
        <v>0.029042</v>
      </c>
      <c r="AC81" s="29" t="n">
        <f aca="false">IFERROR(AB81/AA81*100,"N/A")</f>
        <v>3.22777832113738</v>
      </c>
      <c r="AD81" s="29" t="n">
        <v>0.591414</v>
      </c>
      <c r="AE81" s="29" t="n">
        <v>0.014358</v>
      </c>
      <c r="AF81" s="29" t="n">
        <f aca="false">IFERROR(AE81/AD81*100,"N/A")</f>
        <v>2.42774097332833</v>
      </c>
      <c r="AG81" s="36" t="str">
        <f aca="false">IF(AND(Q81&gt;0, R81=0), IF(IFERROR(ROUND(AC81,8),0)=0, "Group 9: Only Passed | Without variation (no var CV = 0)", "Group 10: Only Passed | With variation (with var CV &gt; 0)"), IF(AND(Q81=0, R81&gt;0), IF(IFERROR(ROUND(AF81,8),0)=0, "Group 11: Only Failed | Without variation (no var CV = 0)", "Group 12: Only Failed | With variation (with var CV &gt; 0)"), IF(AND(Q81&gt;0, R81&gt;0), IF(ROUND(AA81,5)&lt;&gt;ROUND(AD81,5), IF(AND(IFERROR(ROUND(AC81,8),0)=0, IFERROR(ROUND(AF81,8),0)=0), "Group 1: Flaky | Passed (no variation: CV = 0) AND Failed (no variation: CV = 0) | Different Means", IF(AND(IFERROR(ROUND(AC81,8),0)&gt;0, IFERROR(ROUND(AF81,8),0)&gt;0), "Group 2: Flaky | Passed (with variation: CV &gt; 0) AND Failed (with variation: CV &gt; 0) | Different Means", IF(AND(IFERROR(ROUND(AC81,8),0)=0, IFERROR(ROUND(AF81,8),0)&gt;0), "Group 3: Flaky | Passed (no variation: CV = 0) AND Failed (with variation: CV &gt; 0) | Different Means", "Group 4: Flaky | Passed (with variation: CV &gt; 0) AND Failed (no variation: CV = 0) | Different Means"))), IF(AND(IFERROR(ROUND(AC81,8),0)=0, IFERROR(ROUND(AF81,8),0)=0), "Group 5: Flaky | Passed (no var CV = 0) AND Failed (no var CV = 0) | Equal Means", IF(AND(IFERROR(ROUND(AC81,8),0)&gt;0, IFERROR(ROUND(AF81,8),0)&gt;0), "Group 6: Flaky | Passed (with var CV &gt; 0) AND Failed (with var CV &gt; 0) | Equal Means", IF(AND(IFERROR(ROUND(AC81,8),0)=0, IFERROR(ROUND(AF81,8),0)&gt;0),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81" s="22" t="n">
        <v>33</v>
      </c>
      <c r="AI81" s="17" t="n">
        <v>67</v>
      </c>
      <c r="AJ81" s="39" t="str">
        <f aca="false">IF(AND(AH81&gt;0, AI81&gt;0), "Observed Flaky Test", "Non-observed Flaky Test")</f>
        <v>Observed Flaky Test</v>
      </c>
      <c r="AK81" s="32" t="n">
        <v>1895</v>
      </c>
      <c r="AL81" s="32" t="n">
        <v>0</v>
      </c>
      <c r="AM81" s="33" t="n">
        <f aca="false">IFERROR(AL81/AK81*100,"N/A")</f>
        <v>0</v>
      </c>
      <c r="AN81" s="32" t="n">
        <v>265</v>
      </c>
      <c r="AO81" s="32" t="n">
        <v>0</v>
      </c>
      <c r="AP81" s="35" t="n">
        <f aca="false">IFERROR(AO81/AN81*100,"N/A")</f>
        <v>0</v>
      </c>
      <c r="AQ81" s="85" t="str">
        <f aca="false">IF(AND(AH81&gt;0, AI81&gt;0),
    IF(ROUND(N(AK81),5)&lt;&gt;ROUND(N(AN81),5),
        IF(AND(ROUND(N(AL81),8)=0, ROUND(N(AO81),8)=0), "Group 1: Flaky | Passed (no variation: SD = 0) AND Failed (no variation: SD = 0) | Different Means",
        IF(AND(ROUND(N(AL81),8)&gt;0, ROUND(N(AO81),8)&gt;0), "Group 2: Flaky | Passed (with variation: SD &gt; 0) AND Failed (with variation: SD &gt; 0) | Different Means",
        IF(AND(ROUND(N(AL81),8)=0, ROUND(N(AO81),8)&gt;0), "Group 3: Flaky | Passed (no variation: SD = 0) AND Failed (with variation: SD &gt; 0) | Different Means",
        "Group 4: Flaky | Passed (with variation: SD &gt; 0) AND Failed (no variation: SD = 0) | Different Means"))),
        IF(AND(ROUND(N(AL81),8)=0, ROUND(N(AO81),8)=0), "Group 5: Flaky | Passed (no var SD = 0) AND Failed (no var SD = 0) | Equal Means",
        IF(AND(ROUND(N(AL81),8)&gt;0, ROUND(N(AO81),8)&gt;0), "Group 6: Flaky | Passed (with var SD &gt; 0 ) AND Failed (with var SD &gt; 0) | Equal Means",
        IF(AND(ROUND(N(AL81),8)=0, ROUND(N(AO81),8)&gt;0), "Group 7: Flaky | Passed (no var SD = 0) AND Failed (with var SD &gt; 0) | Equal Means",
        "Group 8: Flaky | Passed (with var SD &gt; 0 ) AND Failed (no var SD = 0) | Equal Means")))
    ),
    IF(AH81&gt;0,
        IF(N(AL81)&gt;0, "Group 10: Only Passed | With variation (with var SD &gt; 0)", "Group 9: Only Passed | Without variation (no var SD = 0)"),
        IF(AI81&gt;0,
            IF(N(AO81)&gt;0,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81" s="42" t="str">
        <f aca="false">IF(OR(F81="Observed Flaky Test", I81="Observed Flaky Test", S81="Observed Flaky Test", AJ81="Observed Flaky Test"), "Observed Flaky Test", "Non-observed Flaky Test")</f>
        <v>Observed Flaky Test</v>
      </c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customFormat="false" ht="15.75" hidden="false" customHeight="true" outlineLevel="0" collapsed="false">
      <c r="A82" s="13"/>
      <c r="B82" s="14" t="s">
        <v>190</v>
      </c>
      <c r="C82" s="14" t="s">
        <v>191</v>
      </c>
      <c r="D82" s="15" t="n">
        <v>100</v>
      </c>
      <c r="E82" s="15" t="n">
        <v>0</v>
      </c>
      <c r="F82" s="16" t="str">
        <f aca="false">IF(AND(D82&gt;0, E82&gt;0), "Observed Flaky Test", "Non-observed Flaky Test")</f>
        <v>Non-observed Flaky Test</v>
      </c>
      <c r="G82" s="17" t="n">
        <v>49</v>
      </c>
      <c r="H82" s="17" t="n">
        <v>51</v>
      </c>
      <c r="I82" s="61" t="str">
        <f aca="false">IF(AND(G82&gt;0, H82&gt;0), "Observed Flaky Test", "Non-observed Flaky Test")</f>
        <v>Observed Flaky Test</v>
      </c>
      <c r="J82" s="18" t="n">
        <v>16.64</v>
      </c>
      <c r="K82" s="18" t="n">
        <v>0</v>
      </c>
      <c r="L82" s="19" t="n">
        <f aca="false">IFERROR(K82/J82*100,"N/A")</f>
        <v>0</v>
      </c>
      <c r="M82" s="18" t="n">
        <v>16.43</v>
      </c>
      <c r="N82" s="18" t="n">
        <v>0</v>
      </c>
      <c r="O82" s="20" t="n">
        <f aca="false">IFERROR(N82/M82*100,"N/A")</f>
        <v>0</v>
      </c>
      <c r="P82" s="78" t="str">
        <f aca="false">IF(AND(G82&gt;0, H82=0), IF(ROUND(K82,8)=0, "Group 9: Only Passed | Without variation (SD Passed = 0)", "Group 10: Only Passed | With variation (SD Passed &gt; 0)"), IF(AND(G82=0, H82&gt;0), IF(ROUND(N82,8)=0, "Group 11: Only Failed | Without variation (SD Failed = 0)", "Group 12: Only Failed | With variation (SD Failed &gt; 0)"), IF(AND(G82&gt;0, H82&gt;0), IF(ROUND(J82,5)&lt;&gt;ROUND(M82,5), IF(AND(ROUND(K82,8)=0, ROUND(N82,8)=0), "Group 1: Flaky | Passed (no variation) AND Failed (no variation) | Different Means", IF(AND(ROUND(K82,8)&gt;0, ROUND(N82,8)&gt;0), "Group 2: Flaky | Passed (with variation) AND Failed (with variation) | Different Means", IF(AND(ROUND(K82,8)=0, ROUND(N82,8)&gt;0), "Group 3: Flaky | Passed (no variation) AND Failed (with variation) | Different Means", "Group 4: Flaky | Passed (with variation) AND Failed (no variation) | Different Means"))), IF(AND(ROUND(K82,8)=0, ROUND(N82,8)=0), "Group 5: Flaky | Passed (no variation) AND Failed (no variation) | Equal Means", IF(AND(ROUND(K82,8)&gt;0, ROUND(N82,8)&gt;0), "Group 6: Flaky | Passed (with variation) AND Failed (with variation) | Equal Means", IF(AND(ROUND(K82,8)=0, ROUND(N82,8)&gt;0),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82" s="22" t="n">
        <v>51</v>
      </c>
      <c r="R82" s="17" t="n">
        <v>49</v>
      </c>
      <c r="S82" s="43" t="str">
        <f aca="false">IF(AND(Q82&gt;0, R82&gt;0), "Observed Flaky Test", "Non-observed Flaky Test")</f>
        <v>Observed Flaky Test</v>
      </c>
      <c r="T82" s="24" t="n">
        <v>910559.431373</v>
      </c>
      <c r="U82" s="24" t="n">
        <v>71.192768</v>
      </c>
      <c r="V82" s="25" t="n">
        <f aca="false">IFERROR(U82/T82*100,"N/A")</f>
        <v>0.00781857455395866</v>
      </c>
      <c r="W82" s="24" t="n">
        <v>1076052.857143</v>
      </c>
      <c r="X82" s="24" t="n">
        <v>235.823027</v>
      </c>
      <c r="Y82" s="27" t="n">
        <f aca="false">IFERROR(X82/W82*100,"N/A")</f>
        <v>0.0219155616227002</v>
      </c>
      <c r="Z82" s="68" t="str">
        <f aca="false">IF(AND(Q82&gt;0, R82=0), IF(IFERROR(ROUND(V82,8),0)=0, "Group 9: Only Passed | Without variation (no var CV = 0)", "Group 10: Only Passed | With variation (with var CV &gt; 0)"), IF(AND(Q82=0, R82&gt;0), IF(IFERROR(ROUND(Y82,8),0)=0, "Group 11: Only Failed | Without variation (no var CV = 0)", "Group 12: Only Failed | With variation (with var CV &gt; 0)"), IF(AND(Q82&gt;0, R82&gt;0), IF(ROUND(T82,5)&lt;&gt;ROUND(W82,5), IF(AND(IFERROR(ROUND(V82,8),0)=0, IFERROR(ROUND(Y82,8),0)=0), "Group 1: Flaky | Passed (no variation: CV = 0) AND Failed (no variation: CV = 0) | Different Means", IF(AND(IFERROR(ROUND(V82,8),0)&gt;0, IFERROR(ROUND(Y82,8),0)&gt;0), "Group 2: Flaky | Passed (with variation: CV &gt; 0) AND Failed (with variation: CV &gt; 0) | Different Means", IF(AND(IFERROR(ROUND(V82,8),0)=0, IFERROR(ROUND(Y82,8),0)&gt;0), "Group 3: Flaky | Passed (no variation: CV = 0) AND Failed (with variation: CV &gt; 0) | Different Means", "Group 4: Flaky | Passed (with variation: CV &gt; 0) AND Failed (no variation: CV = 0) | Different Means"))), IF(AND(IFERROR(ROUND(V82,8),0)=0, IFERROR(ROUND(Y82,8),0)=0), "Group 5: Flaky | Passed (no var CV = 0) AND Failed (no var CV = 0) | Equal Means", IF(AND(IFERROR(ROUND(V82,8),0)&gt;0, IFERROR(ROUND(Y82,8),0)&gt;0), "Group 6: Flaky | Passed (with var CV &gt; 0) AND Failed (with var CV &gt; 0) | Equal Means", IF(AND(IFERROR(ROUND(V82,8),0)=0, IFERROR(ROUND(Y82,8),0)&gt;0),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82" s="29" t="n">
        <v>1.871397</v>
      </c>
      <c r="AB82" s="29" t="n">
        <v>0.022788</v>
      </c>
      <c r="AC82" s="29" t="n">
        <f aca="false">IFERROR(AB82/AA82*100,"N/A")</f>
        <v>1.2176999321897</v>
      </c>
      <c r="AD82" s="29" t="n">
        <v>0.600686</v>
      </c>
      <c r="AE82" s="29" t="n">
        <v>0.017187</v>
      </c>
      <c r="AF82" s="29" t="n">
        <f aca="false">IFERROR(AE82/AD82*100,"N/A")</f>
        <v>2.86122866189656</v>
      </c>
      <c r="AG82" s="36" t="str">
        <f aca="false">IF(AND(Q82&gt;0, R82=0), IF(IFERROR(ROUND(AC82,8),0)=0, "Group 9: Only Passed | Without variation (no var CV = 0)", "Group 10: Only Passed | With variation (with var CV &gt; 0)"), IF(AND(Q82=0, R82&gt;0), IF(IFERROR(ROUND(AF82,8),0)=0, "Group 11: Only Failed | Without variation (no var CV = 0)", "Group 12: Only Failed | With variation (with var CV &gt; 0)"), IF(AND(Q82&gt;0, R82&gt;0), IF(ROUND(AA82,5)&lt;&gt;ROUND(AD82,5), IF(AND(IFERROR(ROUND(AC82,8),0)=0, IFERROR(ROUND(AF82,8),0)=0), "Group 1: Flaky | Passed (no variation: CV = 0) AND Failed (no variation: CV = 0) | Different Means", IF(AND(IFERROR(ROUND(AC82,8),0)&gt;0, IFERROR(ROUND(AF82,8),0)&gt;0), "Group 2: Flaky | Passed (with variation: CV &gt; 0) AND Failed (with variation: CV &gt; 0) | Different Means", IF(AND(IFERROR(ROUND(AC82,8),0)=0, IFERROR(ROUND(AF82,8),0)&gt;0), "Group 3: Flaky | Passed (no variation: CV = 0) AND Failed (with variation: CV &gt; 0) | Different Means", "Group 4: Flaky | Passed (with variation: CV &gt; 0) AND Failed (no variation: CV = 0) | Different Means"))), IF(AND(IFERROR(ROUND(AC82,8),0)=0, IFERROR(ROUND(AF82,8),0)=0), "Group 5: Flaky | Passed (no var CV = 0) AND Failed (no var CV = 0) | Equal Means", IF(AND(IFERROR(ROUND(AC82,8),0)&gt;0, IFERROR(ROUND(AF82,8),0)&gt;0), "Group 6: Flaky | Passed (with var CV &gt; 0) AND Failed (with var CV &gt; 0) | Equal Means", IF(AND(IFERROR(ROUND(AC82,8),0)=0, IFERROR(ROUND(AF82,8),0)&gt;0),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82" s="22" t="n">
        <v>74</v>
      </c>
      <c r="AI82" s="17" t="n">
        <v>26</v>
      </c>
      <c r="AJ82" s="39" t="str">
        <f aca="false">IF(AND(AH82&gt;0, AI82&gt;0), "Observed Flaky Test", "Non-observed Flaky Test")</f>
        <v>Observed Flaky Test</v>
      </c>
      <c r="AK82" s="32" t="n">
        <v>1550</v>
      </c>
      <c r="AL82" s="32" t="n">
        <v>0</v>
      </c>
      <c r="AM82" s="33" t="n">
        <f aca="false">IFERROR(AL82/AK82*100,"N/A")</f>
        <v>0</v>
      </c>
      <c r="AN82" s="32" t="n">
        <v>265</v>
      </c>
      <c r="AO82" s="32" t="n">
        <v>0</v>
      </c>
      <c r="AP82" s="35" t="n">
        <f aca="false">IFERROR(AO82/AN82*100,"N/A")</f>
        <v>0</v>
      </c>
      <c r="AQ82" s="85" t="str">
        <f aca="false">IF(AND(AH82&gt;0, AI82&gt;0),
    IF(ROUND(N(AK82),5)&lt;&gt;ROUND(N(AN82),5),
        IF(AND(ROUND(N(AL82),8)=0, ROUND(N(AO82),8)=0), "Group 1: Flaky | Passed (no variation: SD = 0) AND Failed (no variation: SD = 0) | Different Means",
        IF(AND(ROUND(N(AL82),8)&gt;0, ROUND(N(AO82),8)&gt;0), "Group 2: Flaky | Passed (with variation: SD &gt; 0) AND Failed (with variation: SD &gt; 0) | Different Means",
        IF(AND(ROUND(N(AL82),8)=0, ROUND(N(AO82),8)&gt;0), "Group 3: Flaky | Passed (no variation: SD = 0) AND Failed (with variation: SD &gt; 0) | Different Means",
        "Group 4: Flaky | Passed (with variation: SD &gt; 0) AND Failed (no variation: SD = 0) | Different Means"))),
        IF(AND(ROUND(N(AL82),8)=0, ROUND(N(AO82),8)=0), "Group 5: Flaky | Passed (no var SD = 0) AND Failed (no var SD = 0) | Equal Means",
        IF(AND(ROUND(N(AL82),8)&gt;0, ROUND(N(AO82),8)&gt;0), "Group 6: Flaky | Passed (with var SD &gt; 0 ) AND Failed (with var SD &gt; 0) | Equal Means",
        IF(AND(ROUND(N(AL82),8)=0, ROUND(N(AO82),8)&gt;0), "Group 7: Flaky | Passed (no var SD = 0) AND Failed (with var SD &gt; 0) | Equal Means",
        "Group 8: Flaky | Passed (with var SD &gt; 0 ) AND Failed (no var SD = 0) | Equal Means")))
    ),
    IF(AH82&gt;0,
        IF(N(AL82)&gt;0, "Group 10: Only Passed | With variation (with var SD &gt; 0)", "Group 9: Only Passed | Without variation (no var SD = 0)"),
        IF(AI82&gt;0,
            IF(N(AO82)&gt;0,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82" s="42" t="str">
        <f aca="false">IF(OR(F82="Observed Flaky Test", I82="Observed Flaky Test", S82="Observed Flaky Test", AJ82="Observed Flaky Test"), "Observed Flaky Test", "Non-observed Flaky Test")</f>
        <v>Observed Flaky Test</v>
      </c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</row>
    <row r="83" customFormat="false" ht="15.75" hidden="false" customHeight="true" outlineLevel="0" collapsed="false">
      <c r="A83" s="13" t="s">
        <v>192</v>
      </c>
      <c r="B83" s="14" t="s">
        <v>193</v>
      </c>
      <c r="C83" s="14" t="s">
        <v>194</v>
      </c>
      <c r="D83" s="15" t="n">
        <v>0</v>
      </c>
      <c r="E83" s="15" t="n">
        <v>100</v>
      </c>
      <c r="F83" s="16" t="str">
        <f aca="false">IF(AND(D83&gt;0, E83&gt;0), "Observed Flaky Test", "Non-observed Flaky Test")</f>
        <v>Non-observed Flaky Test</v>
      </c>
      <c r="G83" s="17" t="n">
        <v>0</v>
      </c>
      <c r="H83" s="17" t="n">
        <v>100</v>
      </c>
      <c r="I83" s="16" t="str">
        <f aca="false">IF(AND(G83&gt;0, H83&gt;0), "Observed Flaky Test", "Non-observed Flaky Test")</f>
        <v>Non-observed Flaky Test</v>
      </c>
      <c r="J83" s="18" t="n">
        <v>0</v>
      </c>
      <c r="K83" s="18" t="n">
        <v>0</v>
      </c>
      <c r="L83" s="19" t="str">
        <f aca="false">IFERROR(K83/J83*100,"N/A")</f>
        <v>N/A</v>
      </c>
      <c r="M83" s="18" t="n">
        <v>6.98</v>
      </c>
      <c r="N83" s="18" t="n">
        <v>0</v>
      </c>
      <c r="O83" s="20" t="n">
        <f aca="false">IFERROR(N83/M83*100,"N/A")</f>
        <v>0</v>
      </c>
      <c r="P83" s="21" t="str">
        <f aca="false">IF(AND(G83&gt;0, H83=0), IF(ROUND(K83,8)=0, "Group 9: Only Passed | Without variation (SD Passed = 0)", "Group 10: Only Passed | With variation (SD Passed &gt; 0)"), IF(AND(G83=0, H83&gt;0), IF(ROUND(N83,8)=0, "Group 11: Only Failed | Without variation (SD Failed = 0)", "Group 12: Only Failed | With variation (SD Failed &gt; 0)"), IF(AND(G83&gt;0, H83&gt;0), IF(ROUND(J83,5)&lt;&gt;ROUND(M83,5), IF(AND(ROUND(K83,8)=0, ROUND(N83,8)=0), "Group 1: Flaky | Passed (no variation) AND Failed (no variation) | Different Means", IF(AND(ROUND(K83,8)&gt;0, ROUND(N83,8)&gt;0), "Group 2: Flaky | Passed (with variation) AND Failed (with variation) | Different Means", IF(AND(ROUND(K83,8)=0, ROUND(N83,8)&gt;0), "Group 3: Flaky | Passed (no variation) AND Failed (with variation) | Different Means", "Group 4: Flaky | Passed (with variation) AND Failed (no variation) | Different Means"))), IF(AND(ROUND(K83,8)=0, ROUND(N83,8)=0), "Group 5: Flaky | Passed (no variation) AND Failed (no variation) | Equal Means", IF(AND(ROUND(K83,8)&gt;0, ROUND(N83,8)&gt;0), "Group 6: Flaky | Passed (with variation) AND Failed (with variation) | Equal Means", IF(AND(ROUND(K83,8)=0, ROUND(N83,8)&gt;0),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83" s="22" t="n">
        <v>0</v>
      </c>
      <c r="R83" s="17" t="n">
        <v>100</v>
      </c>
      <c r="S83" s="23" t="str">
        <f aca="false">IF(AND(Q83&gt;0, R83&gt;0), "Observed Flaky Test", "Non-observed Flaky Test")</f>
        <v>Non-observed Flaky Test</v>
      </c>
      <c r="T83" s="22" t="n">
        <v>0</v>
      </c>
      <c r="U83" s="22" t="n">
        <v>0</v>
      </c>
      <c r="V83" s="25" t="str">
        <f aca="false">IFERROR(U83/T83*100,"N/A")</f>
        <v>N/A</v>
      </c>
      <c r="W83" s="55" t="n">
        <v>695561.2</v>
      </c>
      <c r="X83" s="24" t="n">
        <v>7.567875</v>
      </c>
      <c r="Y83" s="27" t="n">
        <f aca="false">IFERROR(X83/W83*100,"N/A")</f>
        <v>0.00108802431763014</v>
      </c>
      <c r="Z83" s="28" t="str">
        <f aca="false">IF(AND(Q83&gt;0, R83=0), IF(IFERROR(ROUND(V83,8),0)=0, "Group 9: Only Passed | Without variation (no var CV = 0)", "Group 10: Only Passed | With variation (with var CV &gt; 0)"), IF(AND(Q83=0, R83&gt;0), IF(IFERROR(ROUND(Y83,8),0)=0, "Group 11: Only Failed | Without variation (no var CV = 0)", "Group 12: Only Failed | With variation (with var CV &gt; 0)"), IF(AND(Q83&gt;0, R83&gt;0), IF(ROUND(T83,5)&lt;&gt;ROUND(W83,5), IF(AND(IFERROR(ROUND(V83,8),0)=0, IFERROR(ROUND(Y83,8),0)=0), "Group 1: Flaky | Passed (no variation: CV = 0) AND Failed (no variation: CV = 0) | Different Means", IF(AND(IFERROR(ROUND(V83,8),0)&gt;0, IFERROR(ROUND(Y83,8),0)&gt;0), "Group 2: Flaky | Passed (with variation: CV &gt; 0) AND Failed (with variation: CV &gt; 0) | Different Means", IF(AND(IFERROR(ROUND(V83,8),0)=0, IFERROR(ROUND(Y83,8),0)&gt;0), "Group 3: Flaky | Passed (no variation: CV = 0) AND Failed (with variation: CV &gt; 0) | Different Means", "Group 4: Flaky | Passed (with variation: CV &gt; 0) AND Failed (no variation: CV = 0) | Different Means"))), IF(AND(IFERROR(ROUND(V83,8),0)=0, IFERROR(ROUND(Y83,8),0)=0), "Group 5: Flaky | Passed (no var CV = 0) AND Failed (no var CV = 0) | Equal Means", IF(AND(IFERROR(ROUND(V83,8),0)&gt;0, IFERROR(ROUND(Y83,8),0)&gt;0), "Group 6: Flaky | Passed (with var CV &gt; 0) AND Failed (with var CV &gt; 0) | Equal Means", IF(AND(IFERROR(ROUND(V83,8),0)=0, IFERROR(ROUND(Y83,8),0)&gt;0),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83" s="29" t="n">
        <v>0</v>
      </c>
      <c r="AB83" s="29" t="n">
        <v>0</v>
      </c>
      <c r="AC83" s="29" t="str">
        <f aca="false">IFERROR(AB83/AA83*100,"N/A")</f>
        <v>N/A</v>
      </c>
      <c r="AD83" s="29" t="n">
        <v>0.507633</v>
      </c>
      <c r="AE83" s="29" t="n">
        <v>0.027131</v>
      </c>
      <c r="AF83" s="29" t="n">
        <f aca="false">IFERROR(AE83/AD83*100,"N/A")</f>
        <v>5.34460919601366</v>
      </c>
      <c r="AG83" s="30" t="str">
        <f aca="false">IF(AND(Q83&gt;0, R83=0), IF(IFERROR(ROUND(AC83,8),0)=0, "Group 9: Only Passed | Without variation (no var CV = 0)", "Group 10: Only Passed | With variation (with var CV &gt; 0)"), IF(AND(Q83=0, R83&gt;0), IF(IFERROR(ROUND(AF83,8),0)=0, "Group 11: Only Failed | Without variation (no var CV = 0)", "Group 12: Only Failed | With variation (with var CV &gt; 0)"), IF(AND(Q83&gt;0, R83&gt;0), IF(ROUND(AA83,5)&lt;&gt;ROUND(AD83,5), IF(AND(IFERROR(ROUND(AC83,8),0)=0, IFERROR(ROUND(AF83,8),0)=0), "Group 1: Flaky | Passed (no variation: CV = 0) AND Failed (no variation: CV = 0) | Different Means", IF(AND(IFERROR(ROUND(AC83,8),0)&gt;0, IFERROR(ROUND(AF83,8),0)&gt;0), "Group 2: Flaky | Passed (with variation: CV &gt; 0) AND Failed (with variation: CV &gt; 0) | Different Means", IF(AND(IFERROR(ROUND(AC83,8),0)=0, IFERROR(ROUND(AF83,8),0)&gt;0), "Group 3: Flaky | Passed (no variation: CV = 0) AND Failed (with variation: CV &gt; 0) | Different Means", "Group 4: Flaky | Passed (with variation: CV &gt; 0) AND Failed (no variation: CV = 0) | Different Means"))), IF(AND(IFERROR(ROUND(AC83,8),0)=0, IFERROR(ROUND(AF83,8),0)=0), "Group 5: Flaky | Passed (no var CV = 0) AND Failed (no var CV = 0) | Equal Means", IF(AND(IFERROR(ROUND(AC83,8),0)&gt;0, IFERROR(ROUND(AF83,8),0)&gt;0), "Group 6: Flaky | Passed (with var CV &gt; 0) AND Failed (with var CV &gt; 0) | Equal Means", IF(AND(IFERROR(ROUND(AC83,8),0)=0, IFERROR(ROUND(AF83,8),0)&gt;0),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83" s="22" t="n">
        <v>0</v>
      </c>
      <c r="AI83" s="17" t="n">
        <v>100</v>
      </c>
      <c r="AJ83" s="31" t="str">
        <f aca="false">IF(AND(AH83&gt;0, AI83&gt;0), "Observed Flaky Test", "Non-observed Flaky Test")</f>
        <v>Non-observed Flaky Test</v>
      </c>
      <c r="AK83" s="32" t="n">
        <v>0</v>
      </c>
      <c r="AL83" s="32" t="n">
        <v>0</v>
      </c>
      <c r="AM83" s="33" t="str">
        <f aca="false">IFERROR(AL83/AK83*100,"N/A")</f>
        <v>N/A</v>
      </c>
      <c r="AN83" s="32" t="n">
        <v>234</v>
      </c>
      <c r="AO83" s="32" t="n">
        <v>0</v>
      </c>
      <c r="AP83" s="35" t="n">
        <f aca="false">IFERROR(AO83/AN83*100,"N/A")</f>
        <v>0</v>
      </c>
      <c r="AQ83" s="73" t="str">
        <f aca="false">IF(AND(AH83&gt;0, AI83&gt;0),
    IF(ROUND(N(AK83),5)&lt;&gt;ROUND(N(AN83),5),
        IF(AND(ROUND(N(AL83),8)=0, ROUND(N(AO83),8)=0), "Group 1: Flaky | Passed (no variation: SD = 0) AND Failed (no variation: SD = 0) | Different Means",
        IF(AND(ROUND(N(AL83),8)&gt;0, ROUND(N(AO83),8)&gt;0), "Group 2: Flaky | Passed (with variation: SD &gt; 0) AND Failed (with variation: SD &gt; 0) | Different Means",
        IF(AND(ROUND(N(AL83),8)=0, ROUND(N(AO83),8)&gt;0), "Group 3: Flaky | Passed (no variation: SD = 0) AND Failed (with variation: SD &gt; 0) | Different Means",
        "Group 4: Flaky | Passed (with variation: SD &gt; 0) AND Failed (no variation: SD = 0) | Different Means"))),
        IF(AND(ROUND(N(AL83),8)=0, ROUND(N(AO83),8)=0), "Group 5: Flaky | Passed (no var SD = 0) AND Failed (no var SD = 0) | Equal Means",
        IF(AND(ROUND(N(AL83),8)&gt;0, ROUND(N(AO83),8)&gt;0), "Group 6: Flaky | Passed (with var SD &gt; 0 ) AND Failed (with var SD &gt; 0) | Equal Means",
        IF(AND(ROUND(N(AL83),8)=0, ROUND(N(AO83),8)&gt;0), "Group 7: Flaky | Passed (no var SD = 0) AND Failed (with var SD &gt; 0) | Equal Means",
        "Group 8: Flaky | Passed (with var SD &gt; 0 ) AND Failed (no var SD = 0) | Equal Means")))
    ),
    IF(AH83&gt;0,
        IF(N(AL83)&gt;0, "Group 10: Only Passed | With variation (with var SD &gt; 0)", "Group 9: Only Passed | Without variation (no var SD = 0)"),
        IF(AI83&gt;0,
            IF(N(AO83)&gt;0,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83" s="37" t="str">
        <f aca="false">IF(OR(F83="Observed Flaky Test", I83="Observed Flaky Test", S83="Observed Flaky Test", AJ83="Observed Flaky Test"), "Observed Flaky Test", "Non-observed Flaky Test")</f>
        <v>Non-observed Flaky Test</v>
      </c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customFormat="false" ht="15.75" hidden="false" customHeight="true" outlineLevel="0" collapsed="false">
      <c r="A84" s="13"/>
      <c r="B84" s="14" t="s">
        <v>195</v>
      </c>
      <c r="C84" s="14" t="s">
        <v>196</v>
      </c>
      <c r="D84" s="15" t="n">
        <v>0</v>
      </c>
      <c r="E84" s="15" t="n">
        <v>100</v>
      </c>
      <c r="F84" s="16" t="str">
        <f aca="false">IF(AND(D84&gt;0, E84&gt;0), "Observed Flaky Test", "Non-observed Flaky Test")</f>
        <v>Non-observed Flaky Test</v>
      </c>
      <c r="G84" s="17" t="n">
        <v>0</v>
      </c>
      <c r="H84" s="17" t="n">
        <v>100</v>
      </c>
      <c r="I84" s="16" t="str">
        <f aca="false">IF(AND(G84&gt;0, H84&gt;0), "Observed Flaky Test", "Non-observed Flaky Test")</f>
        <v>Non-observed Flaky Test</v>
      </c>
      <c r="J84" s="18" t="n">
        <v>0</v>
      </c>
      <c r="K84" s="18" t="n">
        <v>0</v>
      </c>
      <c r="L84" s="19" t="str">
        <f aca="false">IFERROR(K84/J84*100,"N/A")</f>
        <v>N/A</v>
      </c>
      <c r="M84" s="18" t="n">
        <v>6.98</v>
      </c>
      <c r="N84" s="18" t="n">
        <v>0</v>
      </c>
      <c r="O84" s="20" t="n">
        <f aca="false">IFERROR(N84/M84*100,"N/A")</f>
        <v>0</v>
      </c>
      <c r="P84" s="21" t="str">
        <f aca="false">IF(AND(G84&gt;0, H84=0), IF(ROUND(K84,8)=0, "Group 9: Only Passed | Without variation (SD Passed = 0)", "Group 10: Only Passed | With variation (SD Passed &gt; 0)"), IF(AND(G84=0, H84&gt;0), IF(ROUND(N84,8)=0, "Group 11: Only Failed | Without variation (SD Failed = 0)", "Group 12: Only Failed | With variation (SD Failed &gt; 0)"), IF(AND(G84&gt;0, H84&gt;0), IF(ROUND(J84,5)&lt;&gt;ROUND(M84,5), IF(AND(ROUND(K84,8)=0, ROUND(N84,8)=0), "Group 1: Flaky | Passed (no variation) AND Failed (no variation) | Different Means", IF(AND(ROUND(K84,8)&gt;0, ROUND(N84,8)&gt;0), "Group 2: Flaky | Passed (with variation) AND Failed (with variation) | Different Means", IF(AND(ROUND(K84,8)=0, ROUND(N84,8)&gt;0), "Group 3: Flaky | Passed (no variation) AND Failed (with variation) | Different Means", "Group 4: Flaky | Passed (with variation) AND Failed (no variation) | Different Means"))), IF(AND(ROUND(K84,8)=0, ROUND(N84,8)=0), "Group 5: Flaky | Passed (no variation) AND Failed (no variation) | Equal Means", IF(AND(ROUND(K84,8)&gt;0, ROUND(N84,8)&gt;0), "Group 6: Flaky | Passed (with variation) AND Failed (with variation) | Equal Means", IF(AND(ROUND(K84,8)=0, ROUND(N84,8)&gt;0),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84" s="22" t="n">
        <v>0</v>
      </c>
      <c r="R84" s="17" t="n">
        <v>100</v>
      </c>
      <c r="S84" s="23" t="str">
        <f aca="false">IF(AND(Q84&gt;0, R84&gt;0), "Observed Flaky Test", "Non-observed Flaky Test")</f>
        <v>Non-observed Flaky Test</v>
      </c>
      <c r="T84" s="22" t="n">
        <v>0</v>
      </c>
      <c r="U84" s="22" t="n">
        <v>0</v>
      </c>
      <c r="V84" s="25" t="str">
        <f aca="false">IFERROR(U84/T84*100,"N/A")</f>
        <v>N/A</v>
      </c>
      <c r="W84" s="22" t="n">
        <v>695336.12</v>
      </c>
      <c r="X84" s="24" t="n">
        <v>9.987143</v>
      </c>
      <c r="Y84" s="27" t="n">
        <f aca="false">IFERROR(X84/W84*100,"N/A")</f>
        <v>0.00143630435881858</v>
      </c>
      <c r="Z84" s="28" t="str">
        <f aca="false">IF(AND(Q84&gt;0, R84=0), IF(IFERROR(ROUND(V84,8),0)=0, "Group 9: Only Passed | Without variation (no var CV = 0)", "Group 10: Only Passed | With variation (with var CV &gt; 0)"), IF(AND(Q84=0, R84&gt;0), IF(IFERROR(ROUND(Y84,8),0)=0, "Group 11: Only Failed | Without variation (no var CV = 0)", "Group 12: Only Failed | With variation (with var CV &gt; 0)"), IF(AND(Q84&gt;0, R84&gt;0), IF(ROUND(T84,5)&lt;&gt;ROUND(W84,5), IF(AND(IFERROR(ROUND(V84,8),0)=0, IFERROR(ROUND(Y84,8),0)=0), "Group 1: Flaky | Passed (no variation: CV = 0) AND Failed (no variation: CV = 0) | Different Means", IF(AND(IFERROR(ROUND(V84,8),0)&gt;0, IFERROR(ROUND(Y84,8),0)&gt;0), "Group 2: Flaky | Passed (with variation: CV &gt; 0) AND Failed (with variation: CV &gt; 0) | Different Means", IF(AND(IFERROR(ROUND(V84,8),0)=0, IFERROR(ROUND(Y84,8),0)&gt;0), "Group 3: Flaky | Passed (no variation: CV = 0) AND Failed (with variation: CV &gt; 0) | Different Means", "Group 4: Flaky | Passed (with variation: CV &gt; 0) AND Failed (no variation: CV = 0) | Different Means"))), IF(AND(IFERROR(ROUND(V84,8),0)=0, IFERROR(ROUND(Y84,8),0)=0), "Group 5: Flaky | Passed (no var CV = 0) AND Failed (no var CV = 0) | Equal Means", IF(AND(IFERROR(ROUND(V84,8),0)&gt;0, IFERROR(ROUND(Y84,8),0)&gt;0), "Group 6: Flaky | Passed (with var CV &gt; 0) AND Failed (with var CV &gt; 0) | Equal Means", IF(AND(IFERROR(ROUND(V84,8),0)=0, IFERROR(ROUND(Y84,8),0)&gt;0),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84" s="29" t="n">
        <v>0</v>
      </c>
      <c r="AB84" s="29" t="n">
        <v>0</v>
      </c>
      <c r="AC84" s="29" t="str">
        <f aca="false">IFERROR(AB84/AA84*100,"N/A")</f>
        <v>N/A</v>
      </c>
      <c r="AD84" s="29" t="n">
        <v>0.505455</v>
      </c>
      <c r="AE84" s="29" t="n">
        <v>0.00908</v>
      </c>
      <c r="AF84" s="29" t="n">
        <f aca="false">IFERROR(AE84/AD84*100,"N/A")</f>
        <v>1.79640126222908</v>
      </c>
      <c r="AG84" s="30" t="str">
        <f aca="false">IF(AND(Q84&gt;0, R84=0), IF(IFERROR(ROUND(AC84,8),0)=0, "Group 9: Only Passed | Without variation (no var CV = 0)", "Group 10: Only Passed | With variation (with var CV &gt; 0)"), IF(AND(Q84=0, R84&gt;0), IF(IFERROR(ROUND(AF84,8),0)=0, "Group 11: Only Failed | Without variation (no var CV = 0)", "Group 12: Only Failed | With variation (with var CV &gt; 0)"), IF(AND(Q84&gt;0, R84&gt;0), IF(ROUND(AA84,5)&lt;&gt;ROUND(AD84,5), IF(AND(IFERROR(ROUND(AC84,8),0)=0, IFERROR(ROUND(AF84,8),0)=0), "Group 1: Flaky | Passed (no variation: CV = 0) AND Failed (no variation: CV = 0) | Different Means", IF(AND(IFERROR(ROUND(AC84,8),0)&gt;0, IFERROR(ROUND(AF84,8),0)&gt;0), "Group 2: Flaky | Passed (with variation: CV &gt; 0) AND Failed (with variation: CV &gt; 0) | Different Means", IF(AND(IFERROR(ROUND(AC84,8),0)=0, IFERROR(ROUND(AF84,8),0)&gt;0), "Group 3: Flaky | Passed (no variation: CV = 0) AND Failed (with variation: CV &gt; 0) | Different Means", "Group 4: Flaky | Passed (with variation: CV &gt; 0) AND Failed (no variation: CV = 0) | Different Means"))), IF(AND(IFERROR(ROUND(AC84,8),0)=0, IFERROR(ROUND(AF84,8),0)=0), "Group 5: Flaky | Passed (no var CV = 0) AND Failed (no var CV = 0) | Equal Means", IF(AND(IFERROR(ROUND(AC84,8),0)&gt;0, IFERROR(ROUND(AF84,8),0)&gt;0), "Group 6: Flaky | Passed (with var CV &gt; 0) AND Failed (with var CV &gt; 0) | Equal Means", IF(AND(IFERROR(ROUND(AC84,8),0)=0, IFERROR(ROUND(AF84,8),0)&gt;0),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84" s="22" t="n">
        <v>0</v>
      </c>
      <c r="AI84" s="17" t="n">
        <v>100</v>
      </c>
      <c r="AJ84" s="31" t="str">
        <f aca="false">IF(AND(AH84&gt;0, AI84&gt;0), "Observed Flaky Test", "Non-observed Flaky Test")</f>
        <v>Non-observed Flaky Test</v>
      </c>
      <c r="AK84" s="32" t="n">
        <v>0</v>
      </c>
      <c r="AL84" s="32" t="n">
        <v>0</v>
      </c>
      <c r="AM84" s="33" t="str">
        <f aca="false">IFERROR(AL84/AK84*100,"N/A")</f>
        <v>N/A</v>
      </c>
      <c r="AN84" s="32" t="n">
        <v>234</v>
      </c>
      <c r="AO84" s="32" t="n">
        <v>0</v>
      </c>
      <c r="AP84" s="35" t="n">
        <f aca="false">IFERROR(AO84/AN84*100,"N/A")</f>
        <v>0</v>
      </c>
      <c r="AQ84" s="73" t="str">
        <f aca="false">IF(AND(AH84&gt;0, AI84&gt;0),
    IF(ROUND(N(AK84),5)&lt;&gt;ROUND(N(AN84),5),
        IF(AND(ROUND(N(AL84),8)=0, ROUND(N(AO84),8)=0), "Group 1: Flaky | Passed (no variation: SD = 0) AND Failed (no variation: SD = 0) | Different Means",
        IF(AND(ROUND(N(AL84),8)&gt;0, ROUND(N(AO84),8)&gt;0), "Group 2: Flaky | Passed (with variation: SD &gt; 0) AND Failed (with variation: SD &gt; 0) | Different Means",
        IF(AND(ROUND(N(AL84),8)=0, ROUND(N(AO84),8)&gt;0), "Group 3: Flaky | Passed (no variation: SD = 0) AND Failed (with variation: SD &gt; 0) | Different Means",
        "Group 4: Flaky | Passed (with variation: SD &gt; 0) AND Failed (no variation: SD = 0) | Different Means"))),
        IF(AND(ROUND(N(AL84),8)=0, ROUND(N(AO84),8)=0), "Group 5: Flaky | Passed (no var SD = 0) AND Failed (no var SD = 0) | Equal Means",
        IF(AND(ROUND(N(AL84),8)&gt;0, ROUND(N(AO84),8)&gt;0), "Group 6: Flaky | Passed (with var SD &gt; 0 ) AND Failed (with var SD &gt; 0) | Equal Means",
        IF(AND(ROUND(N(AL84),8)=0, ROUND(N(AO84),8)&gt;0), "Group 7: Flaky | Passed (no var SD = 0) AND Failed (with var SD &gt; 0) | Equal Means",
        "Group 8: Flaky | Passed (with var SD &gt; 0 ) AND Failed (no var SD = 0) | Equal Means")))
    ),
    IF(AH84&gt;0,
        IF(N(AL84)&gt;0, "Group 10: Only Passed | With variation (with var SD &gt; 0)", "Group 9: Only Passed | Without variation (no var SD = 0)"),
        IF(AI84&gt;0,
            IF(N(AO84)&gt;0,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84" s="37" t="str">
        <f aca="false">IF(OR(F84="Observed Flaky Test", I84="Observed Flaky Test", S84="Observed Flaky Test", AJ84="Observed Flaky Test"), "Observed Flaky Test", "Non-observed Flaky Test")</f>
        <v>Non-observed Flaky Test</v>
      </c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customFormat="false" ht="15.75" hidden="false" customHeight="true" outlineLevel="0" collapsed="false">
      <c r="A85" s="13" t="s">
        <v>197</v>
      </c>
      <c r="B85" s="14" t="s">
        <v>198</v>
      </c>
      <c r="C85" s="14" t="s">
        <v>199</v>
      </c>
      <c r="D85" s="15" t="n">
        <v>100</v>
      </c>
      <c r="E85" s="15" t="n">
        <v>0</v>
      </c>
      <c r="F85" s="16" t="str">
        <f aca="false">IF(AND(D85&gt;0, E85&gt;0), "Observed Flaky Test", "Non-observed Flaky Test")</f>
        <v>Non-observed Flaky Test</v>
      </c>
      <c r="G85" s="17" t="n">
        <v>100</v>
      </c>
      <c r="H85" s="17" t="n">
        <v>0</v>
      </c>
      <c r="I85" s="16" t="str">
        <f aca="false">IF(AND(G85&gt;0, H85&gt;0), "Observed Flaky Test", "Non-observed Flaky Test")</f>
        <v>Non-observed Flaky Test</v>
      </c>
      <c r="J85" s="18" t="n">
        <v>1.06</v>
      </c>
      <c r="K85" s="18" t="n">
        <v>0</v>
      </c>
      <c r="L85" s="19" t="n">
        <f aca="false">IFERROR(K85/J85*100,"N/A")</f>
        <v>0</v>
      </c>
      <c r="M85" s="18" t="n">
        <v>0</v>
      </c>
      <c r="N85" s="18" t="n">
        <v>0</v>
      </c>
      <c r="O85" s="20" t="str">
        <f aca="false">IFERROR(N85/M85*100,"N/A")</f>
        <v>N/A</v>
      </c>
      <c r="P85" s="56" t="str">
        <f aca="false">IF(AND(G85&gt;0, H85=0), IF(ROUND(K85,8)=0, "Group 9: Only Passed | Without variation (SD Passed = 0)", "Group 10: Only Passed | With variation (SD Passed &gt; 0)"), IF(AND(G85=0, H85&gt;0), IF(ROUND(N85,8)=0, "Group 11: Only Failed | Without variation (SD Failed = 0)", "Group 12: Only Failed | With variation (SD Failed &gt; 0)"), IF(AND(G85&gt;0, H85&gt;0), IF(ROUND(J85,5)&lt;&gt;ROUND(M85,5), IF(AND(ROUND(K85,8)=0, ROUND(N85,8)=0), "Group 1: Flaky | Passed (no variation) AND Failed (no variation) | Different Means", IF(AND(ROUND(K85,8)&gt;0, ROUND(N85,8)&gt;0), "Group 2: Flaky | Passed (with variation) AND Failed (with variation) | Different Means", IF(AND(ROUND(K85,8)=0, ROUND(N85,8)&gt;0), "Group 3: Flaky | Passed (no variation) AND Failed (with variation) | Different Means", "Group 4: Flaky | Passed (with variation) AND Failed (no variation) | Different Means"))), IF(AND(ROUND(K85,8)=0, ROUND(N85,8)=0), "Group 5: Flaky | Passed (no variation) AND Failed (no variation) | Equal Means", IF(AND(ROUND(K85,8)&gt;0, ROUND(N85,8)&gt;0), "Group 6: Flaky | Passed (with variation) AND Failed (with variation) | Equal Means", IF(AND(ROUND(K85,8)=0, ROUND(N85,8)&gt;0),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85" s="22" t="n">
        <v>100</v>
      </c>
      <c r="R85" s="17" t="n">
        <v>0</v>
      </c>
      <c r="S85" s="23" t="str">
        <f aca="false">IF(AND(Q85&gt;0, R85&gt;0), "Observed Flaky Test", "Non-observed Flaky Test")</f>
        <v>Non-observed Flaky Test</v>
      </c>
      <c r="T85" s="22" t="n">
        <v>591281.09</v>
      </c>
      <c r="U85" s="24" t="n">
        <v>15.846546</v>
      </c>
      <c r="V85" s="25" t="n">
        <f aca="false">IFERROR(U85/T85*100,"N/A")</f>
        <v>0.00268003598762139</v>
      </c>
      <c r="W85" s="22" t="n">
        <v>0</v>
      </c>
      <c r="X85" s="22" t="n">
        <v>0</v>
      </c>
      <c r="Y85" s="27" t="str">
        <f aca="false">IFERROR(X85/W85*100,"N/A")</f>
        <v>N/A</v>
      </c>
      <c r="Z85" s="50" t="str">
        <f aca="false">IF(AND(Q85&gt;0, R85=0), IF(IFERROR(ROUND(V85,8),0)=0, "Group 9: Only Passed | Without variation (no var CV = 0)", "Group 10: Only Passed | With variation (with var CV &gt; 0)"), IF(AND(Q85=0, R85&gt;0), IF(IFERROR(ROUND(Y85,8),0)=0, "Group 11: Only Failed | Without variation (no var CV = 0)", "Group 12: Only Failed | With variation (with var CV &gt; 0)"), IF(AND(Q85&gt;0, R85&gt;0), IF(ROUND(T85,5)&lt;&gt;ROUND(W85,5), IF(AND(IFERROR(ROUND(V85,8),0)=0, IFERROR(ROUND(Y85,8),0)=0), "Group 1: Flaky | Passed (no variation: CV = 0) AND Failed (no variation: CV = 0) | Different Means", IF(AND(IFERROR(ROUND(V85,8),0)&gt;0, IFERROR(ROUND(Y85,8),0)&gt;0), "Group 2: Flaky | Passed (with variation: CV &gt; 0) AND Failed (with variation: CV &gt; 0) | Different Means", IF(AND(IFERROR(ROUND(V85,8),0)=0, IFERROR(ROUND(Y85,8),0)&gt;0), "Group 3: Flaky | Passed (no variation: CV = 0) AND Failed (with variation: CV &gt; 0) | Different Means", "Group 4: Flaky | Passed (with variation: CV &gt; 0) AND Failed (no variation: CV = 0) | Different Means"))), IF(AND(IFERROR(ROUND(V85,8),0)=0, IFERROR(ROUND(Y85,8),0)=0), "Group 5: Flaky | Passed (no var CV = 0) AND Failed (no var CV = 0) | Equal Means", IF(AND(IFERROR(ROUND(V85,8),0)&gt;0, IFERROR(ROUND(Y85,8),0)&gt;0), "Group 6: Flaky | Passed (with var CV &gt; 0) AND Failed (with var CV &gt; 0) | Equal Means", IF(AND(IFERROR(ROUND(V85,8),0)=0, IFERROR(ROUND(Y85,8),0)&gt;0),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85" s="29" t="n">
        <v>0.375495</v>
      </c>
      <c r="AB85" s="29" t="n">
        <v>0.013571</v>
      </c>
      <c r="AC85" s="29" t="n">
        <f aca="false">IFERROR(AB85/AA85*100,"N/A")</f>
        <v>3.61416263865031</v>
      </c>
      <c r="AD85" s="29" t="n">
        <v>0</v>
      </c>
      <c r="AE85" s="29" t="n">
        <v>0</v>
      </c>
      <c r="AF85" s="29" t="str">
        <f aca="false">IFERROR(AE85/AD85*100,"N/A")</f>
        <v>N/A</v>
      </c>
      <c r="AG85" s="51" t="str">
        <f aca="false">IF(AND(Q85&gt;0, R85=0), IF(IFERROR(ROUND(AC85,8),0)=0, "Group 9: Only Passed | Without variation (no var CV = 0)", "Group 10: Only Passed | With variation (with var CV &gt; 0)"), IF(AND(Q85=0, R85&gt;0), IF(IFERROR(ROUND(AF85,8),0)=0, "Group 11: Only Failed | Without variation (no var CV = 0)", "Group 12: Only Failed | With variation (with var CV &gt; 0)"), IF(AND(Q85&gt;0, R85&gt;0), IF(ROUND(AA85,5)&lt;&gt;ROUND(AD85,5), IF(AND(IFERROR(ROUND(AC85,8),0)=0, IFERROR(ROUND(AF85,8),0)=0), "Group 1: Flaky | Passed (no variation: CV = 0) AND Failed (no variation: CV = 0) | Different Means", IF(AND(IFERROR(ROUND(AC85,8),0)&gt;0, IFERROR(ROUND(AF85,8),0)&gt;0), "Group 2: Flaky | Passed (with variation: CV &gt; 0) AND Failed (with variation: CV &gt; 0) | Different Means", IF(AND(IFERROR(ROUND(AC85,8),0)=0, IFERROR(ROUND(AF85,8),0)&gt;0), "Group 3: Flaky | Passed (no variation: CV = 0) AND Failed (with variation: CV &gt; 0) | Different Means", "Group 4: Flaky | Passed (with variation: CV &gt; 0) AND Failed (no variation: CV = 0) | Different Means"))), IF(AND(IFERROR(ROUND(AC85,8),0)=0, IFERROR(ROUND(AF85,8),0)=0), "Group 5: Flaky | Passed (no var CV = 0) AND Failed (no var CV = 0) | Equal Means", IF(AND(IFERROR(ROUND(AC85,8),0)&gt;0, IFERROR(ROUND(AF85,8),0)&gt;0), "Group 6: Flaky | Passed (with var CV &gt; 0) AND Failed (with var CV &gt; 0) | Equal Means", IF(AND(IFERROR(ROUND(AC85,8),0)=0, IFERROR(ROUND(AF85,8),0)&gt;0),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85" s="22" t="n">
        <v>100</v>
      </c>
      <c r="AI85" s="17" t="n">
        <v>0</v>
      </c>
      <c r="AJ85" s="31" t="str">
        <f aca="false">IF(AND(AH85&gt;0, AI85&gt;0), "Observed Flaky Test", "Non-observed Flaky Test")</f>
        <v>Non-observed Flaky Test</v>
      </c>
      <c r="AK85" s="32" t="n">
        <v>11916</v>
      </c>
      <c r="AL85" s="32" t="n">
        <v>0</v>
      </c>
      <c r="AM85" s="33" t="n">
        <f aca="false">IFERROR(AL85/AK85*100,"N/A")</f>
        <v>0</v>
      </c>
      <c r="AN85" s="32" t="n">
        <v>0</v>
      </c>
      <c r="AO85" s="32" t="n">
        <v>0</v>
      </c>
      <c r="AP85" s="35" t="str">
        <f aca="false">IFERROR(AO85/AN85*100,"N/A")</f>
        <v>N/A</v>
      </c>
      <c r="AQ85" s="45" t="str">
        <f aca="false">IF(AND(AH85&gt;0, AI85&gt;0),
    IF(ROUND(N(AK85),5)&lt;&gt;ROUND(N(AN85),5),
        IF(AND(ROUND(N(AL85),8)=0, ROUND(N(AO85),8)=0), "Group 1: Flaky | Passed (no variation: SD = 0) AND Failed (no variation: SD = 0) | Different Means",
        IF(AND(ROUND(N(AL85),8)&gt;0, ROUND(N(AO85),8)&gt;0), "Group 2: Flaky | Passed (with variation: SD &gt; 0) AND Failed (with variation: SD &gt; 0) | Different Means",
        IF(AND(ROUND(N(AL85),8)=0, ROUND(N(AO85),8)&gt;0), "Group 3: Flaky | Passed (no variation: SD = 0) AND Failed (with variation: SD &gt; 0) | Different Means",
        "Group 4: Flaky | Passed (with variation: SD &gt; 0) AND Failed (no variation: SD = 0) | Different Means"))),
        IF(AND(ROUND(N(AL85),8)=0, ROUND(N(AO85),8)=0), "Group 5: Flaky | Passed (no var SD = 0) AND Failed (no var SD = 0) | Equal Means",
        IF(AND(ROUND(N(AL85),8)&gt;0, ROUND(N(AO85),8)&gt;0), "Group 6: Flaky | Passed (with var SD &gt; 0 ) AND Failed (with var SD &gt; 0) | Equal Means",
        IF(AND(ROUND(N(AL85),8)=0, ROUND(N(AO85),8)&gt;0), "Group 7: Flaky | Passed (no var SD = 0) AND Failed (with var SD &gt; 0) | Equal Means",
        "Group 8: Flaky | Passed (with var SD &gt; 0 ) AND Failed (no var SD = 0) | Equal Means")))
    ),
    IF(AH85&gt;0,
        IF(N(AL85)&gt;0, "Group 10: Only Passed | With variation (with var SD &gt; 0)", "Group 9: Only Passed | Without variation (no var SD = 0)"),
        IF(AI85&gt;0,
            IF(N(AO85)&gt;0,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85" s="37" t="str">
        <f aca="false">IF(OR(F85="Observed Flaky Test", I85="Observed Flaky Test", S85="Observed Flaky Test", AJ85="Observed Flaky Test"), "Observed Flaky Test", "Non-observed Flaky Test")</f>
        <v>Non-observed Flaky Test</v>
      </c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</row>
    <row r="86" customFormat="false" ht="15.75" hidden="false" customHeight="true" outlineLevel="0" collapsed="false">
      <c r="A86" s="13"/>
      <c r="B86" s="14" t="s">
        <v>200</v>
      </c>
      <c r="C86" s="14" t="s">
        <v>201</v>
      </c>
      <c r="D86" s="15" t="n">
        <v>100</v>
      </c>
      <c r="E86" s="15" t="n">
        <v>0</v>
      </c>
      <c r="F86" s="16" t="str">
        <f aca="false">IF(AND(D86&gt;0, E86&gt;0), "Observed Flaky Test", "Non-observed Flaky Test")</f>
        <v>Non-observed Flaky Test</v>
      </c>
      <c r="G86" s="17" t="n">
        <v>100</v>
      </c>
      <c r="H86" s="17" t="n">
        <v>0</v>
      </c>
      <c r="I86" s="16" t="str">
        <f aca="false">IF(AND(G86&gt;0, H86&gt;0), "Observed Flaky Test", "Non-observed Flaky Test")</f>
        <v>Non-observed Flaky Test</v>
      </c>
      <c r="J86" s="18" t="n">
        <v>0.89</v>
      </c>
      <c r="K86" s="18" t="n">
        <v>0</v>
      </c>
      <c r="L86" s="19" t="n">
        <f aca="false">IFERROR(K86/J86*100,"N/A")</f>
        <v>0</v>
      </c>
      <c r="M86" s="18" t="n">
        <v>0</v>
      </c>
      <c r="N86" s="18" t="n">
        <v>0</v>
      </c>
      <c r="O86" s="20" t="str">
        <f aca="false">IFERROR(N86/M86*100,"N/A")</f>
        <v>N/A</v>
      </c>
      <c r="P86" s="56" t="str">
        <f aca="false">IF(AND(G86&gt;0, H86=0), IF(ROUND(K86,8)=0, "Group 9: Only Passed | Without variation (SD Passed = 0)", "Group 10: Only Passed | With variation (SD Passed &gt; 0)"), IF(AND(G86=0, H86&gt;0), IF(ROUND(N86,8)=0, "Group 11: Only Failed | Without variation (SD Failed = 0)", "Group 12: Only Failed | With variation (SD Failed &gt; 0)"), IF(AND(G86&gt;0, H86&gt;0), IF(ROUND(J86,5)&lt;&gt;ROUND(M86,5), IF(AND(ROUND(K86,8)=0, ROUND(N86,8)=0), "Group 1: Flaky | Passed (no variation) AND Failed (no variation) | Different Means", IF(AND(ROUND(K86,8)&gt;0, ROUND(N86,8)&gt;0), "Group 2: Flaky | Passed (with variation) AND Failed (with variation) | Different Means", IF(AND(ROUND(K86,8)=0, ROUND(N86,8)&gt;0), "Group 3: Flaky | Passed (no variation) AND Failed (with variation) | Different Means", "Group 4: Flaky | Passed (with variation) AND Failed (no variation) | Different Means"))), IF(AND(ROUND(K86,8)=0, ROUND(N86,8)=0), "Group 5: Flaky | Passed (no variation) AND Failed (no variation) | Equal Means", IF(AND(ROUND(K86,8)&gt;0, ROUND(N86,8)&gt;0), "Group 6: Flaky | Passed (with variation) AND Failed (with variation) | Equal Means", IF(AND(ROUND(K86,8)=0, ROUND(N86,8)&gt;0),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86" s="22" t="n">
        <v>100</v>
      </c>
      <c r="R86" s="17" t="n">
        <v>0</v>
      </c>
      <c r="S86" s="23" t="str">
        <f aca="false">IF(AND(Q86&gt;0, R86&gt;0), "Observed Flaky Test", "Non-observed Flaky Test")</f>
        <v>Non-observed Flaky Test</v>
      </c>
      <c r="T86" s="26" t="n">
        <v>591847.92</v>
      </c>
      <c r="U86" s="24" t="n">
        <v>16.444999</v>
      </c>
      <c r="V86" s="25" t="n">
        <f aca="false">IFERROR(U86/T86*100,"N/A")</f>
        <v>0.00277858524872403</v>
      </c>
      <c r="W86" s="22" t="n">
        <v>0</v>
      </c>
      <c r="X86" s="22" t="n">
        <v>0</v>
      </c>
      <c r="Y86" s="27" t="str">
        <f aca="false">IFERROR(X86/W86*100,"N/A")</f>
        <v>N/A</v>
      </c>
      <c r="Z86" s="50" t="str">
        <f aca="false">IF(AND(Q86&gt;0, R86=0), IF(IFERROR(ROUND(V86,8),0)=0, "Group 9: Only Passed | Without variation (no var CV = 0)", "Group 10: Only Passed | With variation (with var CV &gt; 0)"), IF(AND(Q86=0, R86&gt;0), IF(IFERROR(ROUND(Y86,8),0)=0, "Group 11: Only Failed | Without variation (no var CV = 0)", "Group 12: Only Failed | With variation (with var CV &gt; 0)"), IF(AND(Q86&gt;0, R86&gt;0), IF(ROUND(T86,5)&lt;&gt;ROUND(W86,5), IF(AND(IFERROR(ROUND(V86,8),0)=0, IFERROR(ROUND(Y86,8),0)=0), "Group 1: Flaky | Passed (no variation: CV = 0) AND Failed (no variation: CV = 0) | Different Means", IF(AND(IFERROR(ROUND(V86,8),0)&gt;0, IFERROR(ROUND(Y86,8),0)&gt;0), "Group 2: Flaky | Passed (with variation: CV &gt; 0) AND Failed (with variation: CV &gt; 0) | Different Means", IF(AND(IFERROR(ROUND(V86,8),0)=0, IFERROR(ROUND(Y86,8),0)&gt;0), "Group 3: Flaky | Passed (no variation: CV = 0) AND Failed (with variation: CV &gt; 0) | Different Means", "Group 4: Flaky | Passed (with variation: CV &gt; 0) AND Failed (no variation: CV = 0) | Different Means"))), IF(AND(IFERROR(ROUND(V86,8),0)=0, IFERROR(ROUND(Y86,8),0)=0), "Group 5: Flaky | Passed (no var CV = 0) AND Failed (no var CV = 0) | Equal Means", IF(AND(IFERROR(ROUND(V86,8),0)&gt;0, IFERROR(ROUND(Y86,8),0)&gt;0), "Group 6: Flaky | Passed (with var CV &gt; 0) AND Failed (with var CV &gt; 0) | Equal Means", IF(AND(IFERROR(ROUND(V86,8),0)=0, IFERROR(ROUND(Y86,8),0)&gt;0),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86" s="29" t="n">
        <v>0.3758</v>
      </c>
      <c r="AB86" s="29" t="n">
        <v>0.008681</v>
      </c>
      <c r="AC86" s="29" t="n">
        <f aca="false">IFERROR(AB86/AA86*100,"N/A")</f>
        <v>2.31000532197978</v>
      </c>
      <c r="AD86" s="29" t="n">
        <v>0</v>
      </c>
      <c r="AE86" s="29" t="n">
        <v>0</v>
      </c>
      <c r="AF86" s="29" t="str">
        <f aca="false">IFERROR(AE86/AD86*100,"N/A")</f>
        <v>N/A</v>
      </c>
      <c r="AG86" s="51" t="str">
        <f aca="false">IF(AND(Q86&gt;0, R86=0), IF(IFERROR(ROUND(AC86,8),0)=0, "Group 9: Only Passed | Without variation (no var CV = 0)", "Group 10: Only Passed | With variation (with var CV &gt; 0)"), IF(AND(Q86=0, R86&gt;0), IF(IFERROR(ROUND(AF86,8),0)=0, "Group 11: Only Failed | Without variation (no var CV = 0)", "Group 12: Only Failed | With variation (with var CV &gt; 0)"), IF(AND(Q86&gt;0, R86&gt;0), IF(ROUND(AA86,5)&lt;&gt;ROUND(AD86,5), IF(AND(IFERROR(ROUND(AC86,8),0)=0, IFERROR(ROUND(AF86,8),0)=0), "Group 1: Flaky | Passed (no variation: CV = 0) AND Failed (no variation: CV = 0) | Different Means", IF(AND(IFERROR(ROUND(AC86,8),0)&gt;0, IFERROR(ROUND(AF86,8),0)&gt;0), "Group 2: Flaky | Passed (with variation: CV &gt; 0) AND Failed (with variation: CV &gt; 0) | Different Means", IF(AND(IFERROR(ROUND(AC86,8),0)=0, IFERROR(ROUND(AF86,8),0)&gt;0), "Group 3: Flaky | Passed (no variation: CV = 0) AND Failed (with variation: CV &gt; 0) | Different Means", "Group 4: Flaky | Passed (with variation: CV &gt; 0) AND Failed (no variation: CV = 0) | Different Means"))), IF(AND(IFERROR(ROUND(AC86,8),0)=0, IFERROR(ROUND(AF86,8),0)=0), "Group 5: Flaky | Passed (no var CV = 0) AND Failed (no var CV = 0) | Equal Means", IF(AND(IFERROR(ROUND(AC86,8),0)&gt;0, IFERROR(ROUND(AF86,8),0)&gt;0), "Group 6: Flaky | Passed (with var CV &gt; 0) AND Failed (with var CV &gt; 0) | Equal Means", IF(AND(IFERROR(ROUND(AC86,8),0)=0, IFERROR(ROUND(AF86,8),0)&gt;0),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86" s="22" t="n">
        <v>100</v>
      </c>
      <c r="AI86" s="17" t="n">
        <v>0</v>
      </c>
      <c r="AJ86" s="31" t="str">
        <f aca="false">IF(AND(AH86&gt;0, AI86&gt;0), "Observed Flaky Test", "Non-observed Flaky Test")</f>
        <v>Non-observed Flaky Test</v>
      </c>
      <c r="AK86" s="32" t="n">
        <v>2072</v>
      </c>
      <c r="AL86" s="32" t="n">
        <v>0</v>
      </c>
      <c r="AM86" s="33" t="n">
        <f aca="false">IFERROR(AL86/AK86*100,"N/A")</f>
        <v>0</v>
      </c>
      <c r="AN86" s="32" t="n">
        <v>0</v>
      </c>
      <c r="AO86" s="32" t="n">
        <v>0</v>
      </c>
      <c r="AP86" s="35" t="str">
        <f aca="false">IFERROR(AO86/AN86*100,"N/A")</f>
        <v>N/A</v>
      </c>
      <c r="AQ86" s="45" t="str">
        <f aca="false">IF(AND(AH86&gt;0, AI86&gt;0),
    IF(ROUND(N(AK86),5)&lt;&gt;ROUND(N(AN86),5),
        IF(AND(ROUND(N(AL86),8)=0, ROUND(N(AO86),8)=0), "Group 1: Flaky | Passed (no variation: SD = 0) AND Failed (no variation: SD = 0) | Different Means",
        IF(AND(ROUND(N(AL86),8)&gt;0, ROUND(N(AO86),8)&gt;0), "Group 2: Flaky | Passed (with variation: SD &gt; 0) AND Failed (with variation: SD &gt; 0) | Different Means",
        IF(AND(ROUND(N(AL86),8)=0, ROUND(N(AO86),8)&gt;0), "Group 3: Flaky | Passed (no variation: SD = 0) AND Failed (with variation: SD &gt; 0) | Different Means",
        "Group 4: Flaky | Passed (with variation: SD &gt; 0) AND Failed (no variation: SD = 0) | Different Means"))),
        IF(AND(ROUND(N(AL86),8)=0, ROUND(N(AO86),8)=0), "Group 5: Flaky | Passed (no var SD = 0) AND Failed (no var SD = 0) | Equal Means",
        IF(AND(ROUND(N(AL86),8)&gt;0, ROUND(N(AO86),8)&gt;0), "Group 6: Flaky | Passed (with var SD &gt; 0 ) AND Failed (with var SD &gt; 0) | Equal Means",
        IF(AND(ROUND(N(AL86),8)=0, ROUND(N(AO86),8)&gt;0), "Group 7: Flaky | Passed (no var SD = 0) AND Failed (with var SD &gt; 0) | Equal Means",
        "Group 8: Flaky | Passed (with var SD &gt; 0 ) AND Failed (no var SD = 0) | Equal Means")))
    ),
    IF(AH86&gt;0,
        IF(N(AL86)&gt;0, "Group 10: Only Passed | With variation (with var SD &gt; 0)", "Group 9: Only Passed | Without variation (no var SD = 0)"),
        IF(AI86&gt;0,
            IF(N(AO86)&gt;0,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86" s="37" t="str">
        <f aca="false">IF(OR(F86="Observed Flaky Test", I86="Observed Flaky Test", S86="Observed Flaky Test", AJ86="Observed Flaky Test"), "Observed Flaky Test", "Non-observed Flaky Test")</f>
        <v>Non-observed Flaky Test</v>
      </c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customFormat="false" ht="15.75" hidden="false" customHeight="true" outlineLevel="0" collapsed="false">
      <c r="A87" s="13"/>
      <c r="B87" s="14" t="s">
        <v>202</v>
      </c>
      <c r="C87" s="14" t="s">
        <v>203</v>
      </c>
      <c r="D87" s="15" t="n">
        <v>99</v>
      </c>
      <c r="E87" s="15" t="n">
        <v>1</v>
      </c>
      <c r="F87" s="61" t="str">
        <f aca="false">IF(AND(D87&gt;0, E87&gt;0), "Observed Flaky Test", "Non-observed Flaky Test")</f>
        <v>Observed Flaky Test</v>
      </c>
      <c r="G87" s="17" t="n">
        <v>100</v>
      </c>
      <c r="H87" s="17" t="n">
        <v>0</v>
      </c>
      <c r="I87" s="16" t="str">
        <f aca="false">IF(AND(G87&gt;0, H87&gt;0), "Observed Flaky Test", "Non-observed Flaky Test")</f>
        <v>Non-observed Flaky Test</v>
      </c>
      <c r="J87" s="18" t="n">
        <v>0.88</v>
      </c>
      <c r="K87" s="18" t="n">
        <v>0</v>
      </c>
      <c r="L87" s="19" t="n">
        <f aca="false">IFERROR(K87/J87*100,"N/A")</f>
        <v>0</v>
      </c>
      <c r="M87" s="18" t="n">
        <v>0</v>
      </c>
      <c r="N87" s="18" t="n">
        <v>0</v>
      </c>
      <c r="O87" s="20" t="str">
        <f aca="false">IFERROR(N87/M87*100,"N/A")</f>
        <v>N/A</v>
      </c>
      <c r="P87" s="56" t="str">
        <f aca="false">IF(AND(G87&gt;0, H87=0), IF(ROUND(K87,8)=0, "Group 9: Only Passed | Without variation (SD Passed = 0)", "Group 10: Only Passed | With variation (SD Passed &gt; 0)"), IF(AND(G87=0, H87&gt;0), IF(ROUND(N87,8)=0, "Group 11: Only Failed | Without variation (SD Failed = 0)", "Group 12: Only Failed | With variation (SD Failed &gt; 0)"), IF(AND(G87&gt;0, H87&gt;0), IF(ROUND(J87,5)&lt;&gt;ROUND(M87,5), IF(AND(ROUND(K87,8)=0, ROUND(N87,8)=0), "Group 1: Flaky | Passed (no variation) AND Failed (no variation) | Different Means", IF(AND(ROUND(K87,8)&gt;0, ROUND(N87,8)&gt;0), "Group 2: Flaky | Passed (with variation) AND Failed (with variation) | Different Means", IF(AND(ROUND(K87,8)=0, ROUND(N87,8)&gt;0), "Group 3: Flaky | Passed (no variation) AND Failed (with variation) | Different Means", "Group 4: Flaky | Passed (with variation) AND Failed (no variation) | Different Means"))), IF(AND(ROUND(K87,8)=0, ROUND(N87,8)=0), "Group 5: Flaky | Passed (no variation) AND Failed (no variation) | Equal Means", IF(AND(ROUND(K87,8)&gt;0, ROUND(N87,8)&gt;0), "Group 6: Flaky | Passed (with variation) AND Failed (with variation) | Equal Means", IF(AND(ROUND(K87,8)=0, ROUND(N87,8)&gt;0),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87" s="22" t="n">
        <v>100</v>
      </c>
      <c r="R87" s="17" t="n">
        <v>0</v>
      </c>
      <c r="S87" s="23" t="str">
        <f aca="false">IF(AND(Q87&gt;0, R87&gt;0), "Observed Flaky Test", "Non-observed Flaky Test")</f>
        <v>Non-observed Flaky Test</v>
      </c>
      <c r="T87" s="22" t="n">
        <v>586519.66</v>
      </c>
      <c r="U87" s="24" t="n">
        <v>15.257533</v>
      </c>
      <c r="V87" s="25" t="n">
        <f aca="false">IFERROR(U87/T87*100,"N/A")</f>
        <v>0.00260136770180901</v>
      </c>
      <c r="W87" s="22" t="n">
        <v>0</v>
      </c>
      <c r="X87" s="22" t="n">
        <v>0</v>
      </c>
      <c r="Y87" s="27" t="str">
        <f aca="false">IFERROR(X87/W87*100,"N/A")</f>
        <v>N/A</v>
      </c>
      <c r="Z87" s="50" t="str">
        <f aca="false">IF(AND(Q87&gt;0, R87=0), IF(IFERROR(ROUND(V87,8),0)=0, "Group 9: Only Passed | Without variation (no var CV = 0)", "Group 10: Only Passed | With variation (with var CV &gt; 0)"), IF(AND(Q87=0, R87&gt;0), IF(IFERROR(ROUND(Y87,8),0)=0, "Group 11: Only Failed | Without variation (no var CV = 0)", "Group 12: Only Failed | With variation (with var CV &gt; 0)"), IF(AND(Q87&gt;0, R87&gt;0), IF(ROUND(T87,5)&lt;&gt;ROUND(W87,5), IF(AND(IFERROR(ROUND(V87,8),0)=0, IFERROR(ROUND(Y87,8),0)=0), "Group 1: Flaky | Passed (no variation: CV = 0) AND Failed (no variation: CV = 0) | Different Means", IF(AND(IFERROR(ROUND(V87,8),0)&gt;0, IFERROR(ROUND(Y87,8),0)&gt;0), "Group 2: Flaky | Passed (with variation: CV &gt; 0) AND Failed (with variation: CV &gt; 0) | Different Means", IF(AND(IFERROR(ROUND(V87,8),0)=0, IFERROR(ROUND(Y87,8),0)&gt;0), "Group 3: Flaky | Passed (no variation: CV = 0) AND Failed (with variation: CV &gt; 0) | Different Means", "Group 4: Flaky | Passed (with variation: CV &gt; 0) AND Failed (no variation: CV = 0) | Different Means"))), IF(AND(IFERROR(ROUND(V87,8),0)=0, IFERROR(ROUND(Y87,8),0)=0), "Group 5: Flaky | Passed (no var CV = 0) AND Failed (no var CV = 0) | Equal Means", IF(AND(IFERROR(ROUND(V87,8),0)&gt;0, IFERROR(ROUND(Y87,8),0)&gt;0), "Group 6: Flaky | Passed (with var CV &gt; 0) AND Failed (with var CV &gt; 0) | Equal Means", IF(AND(IFERROR(ROUND(V87,8),0)=0, IFERROR(ROUND(Y87,8),0)&gt;0),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87" s="29" t="n">
        <v>0.374152</v>
      </c>
      <c r="AB87" s="29" t="n">
        <v>0.010614</v>
      </c>
      <c r="AC87" s="29" t="n">
        <f aca="false">IFERROR(AB87/AA87*100,"N/A")</f>
        <v>2.83681498428446</v>
      </c>
      <c r="AD87" s="29" t="n">
        <v>0</v>
      </c>
      <c r="AE87" s="29" t="n">
        <v>0</v>
      </c>
      <c r="AF87" s="29" t="str">
        <f aca="false">IFERROR(AE87/AD87*100,"N/A")</f>
        <v>N/A</v>
      </c>
      <c r="AG87" s="51" t="str">
        <f aca="false">IF(AND(Q87&gt;0, R87=0), IF(IFERROR(ROUND(AC87,8),0)=0, "Group 9: Only Passed | Without variation (no var CV = 0)", "Group 10: Only Passed | With variation (with var CV &gt; 0)"), IF(AND(Q87=0, R87&gt;0), IF(IFERROR(ROUND(AF87,8),0)=0, "Group 11: Only Failed | Without variation (no var CV = 0)", "Group 12: Only Failed | With variation (with var CV &gt; 0)"), IF(AND(Q87&gt;0, R87&gt;0), IF(ROUND(AA87,5)&lt;&gt;ROUND(AD87,5), IF(AND(IFERROR(ROUND(AC87,8),0)=0, IFERROR(ROUND(AF87,8),0)=0), "Group 1: Flaky | Passed (no variation: CV = 0) AND Failed (no variation: CV = 0) | Different Means", IF(AND(IFERROR(ROUND(AC87,8),0)&gt;0, IFERROR(ROUND(AF87,8),0)&gt;0), "Group 2: Flaky | Passed (with variation: CV &gt; 0) AND Failed (with variation: CV &gt; 0) | Different Means", IF(AND(IFERROR(ROUND(AC87,8),0)=0, IFERROR(ROUND(AF87,8),0)&gt;0), "Group 3: Flaky | Passed (no variation: CV = 0) AND Failed (with variation: CV &gt; 0) | Different Means", "Group 4: Flaky | Passed (with variation: CV &gt; 0) AND Failed (no variation: CV = 0) | Different Means"))), IF(AND(IFERROR(ROUND(AC87,8),0)=0, IFERROR(ROUND(AF87,8),0)=0), "Group 5: Flaky | Passed (no var CV = 0) AND Failed (no var CV = 0) | Equal Means", IF(AND(IFERROR(ROUND(AC87,8),0)&gt;0, IFERROR(ROUND(AF87,8),0)&gt;0), "Group 6: Flaky | Passed (with var CV &gt; 0) AND Failed (with var CV &gt; 0) | Equal Means", IF(AND(IFERROR(ROUND(AC87,8),0)=0, IFERROR(ROUND(AF87,8),0)&gt;0),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87" s="22" t="n">
        <v>100</v>
      </c>
      <c r="AI87" s="17" t="n">
        <v>0</v>
      </c>
      <c r="AJ87" s="31" t="str">
        <f aca="false">IF(AND(AH87&gt;0, AI87&gt;0), "Observed Flaky Test", "Non-observed Flaky Test")</f>
        <v>Non-observed Flaky Test</v>
      </c>
      <c r="AK87" s="32" t="n">
        <v>1155</v>
      </c>
      <c r="AL87" s="32" t="n">
        <v>0</v>
      </c>
      <c r="AM87" s="33" t="n">
        <f aca="false">IFERROR(AL87/AK87*100,"N/A")</f>
        <v>0</v>
      </c>
      <c r="AN87" s="32" t="n">
        <v>0</v>
      </c>
      <c r="AO87" s="32" t="n">
        <v>0</v>
      </c>
      <c r="AP87" s="35" t="str">
        <f aca="false">IFERROR(AO87/AN87*100,"N/A")</f>
        <v>N/A</v>
      </c>
      <c r="AQ87" s="45" t="str">
        <f aca="false">IF(AND(AH87&gt;0, AI87&gt;0),
    IF(ROUND(N(AK87),5)&lt;&gt;ROUND(N(AN87),5),
        IF(AND(ROUND(N(AL87),8)=0, ROUND(N(AO87),8)=0), "Group 1: Flaky | Passed (no variation: SD = 0) AND Failed (no variation: SD = 0) | Different Means",
        IF(AND(ROUND(N(AL87),8)&gt;0, ROUND(N(AO87),8)&gt;0), "Group 2: Flaky | Passed (with variation: SD &gt; 0) AND Failed (with variation: SD &gt; 0) | Different Means",
        IF(AND(ROUND(N(AL87),8)=0, ROUND(N(AO87),8)&gt;0), "Group 3: Flaky | Passed (no variation: SD = 0) AND Failed (with variation: SD &gt; 0) | Different Means",
        "Group 4: Flaky | Passed (with variation: SD &gt; 0) AND Failed (no variation: SD = 0) | Different Means"))),
        IF(AND(ROUND(N(AL87),8)=0, ROUND(N(AO87),8)=0), "Group 5: Flaky | Passed (no var SD = 0) AND Failed (no var SD = 0) | Equal Means",
        IF(AND(ROUND(N(AL87),8)&gt;0, ROUND(N(AO87),8)&gt;0), "Group 6: Flaky | Passed (with var SD &gt; 0 ) AND Failed (with var SD &gt; 0) | Equal Means",
        IF(AND(ROUND(N(AL87),8)=0, ROUND(N(AO87),8)&gt;0), "Group 7: Flaky | Passed (no var SD = 0) AND Failed (with var SD &gt; 0) | Equal Means",
        "Group 8: Flaky | Passed (with var SD &gt; 0 ) AND Failed (no var SD = 0) | Equal Means")))
    ),
    IF(AH87&gt;0,
        IF(N(AL87)&gt;0, "Group 10: Only Passed | With variation (with var SD &gt; 0)", "Group 9: Only Passed | Without variation (no var SD = 0)"),
        IF(AI87&gt;0,
            IF(N(AO87)&gt;0,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87" s="42" t="str">
        <f aca="false">IF(OR(F87="Observed Flaky Test", I87="Observed Flaky Test", S87="Observed Flaky Test", AJ87="Observed Flaky Test"), "Observed Flaky Test", "Non-observed Flaky Test")</f>
        <v>Observed Flaky Test</v>
      </c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customFormat="false" ht="15.75" hidden="false" customHeight="true" outlineLevel="0" collapsed="false">
      <c r="A88" s="13" t="s">
        <v>204</v>
      </c>
      <c r="B88" s="14" t="s">
        <v>205</v>
      </c>
      <c r="C88" s="14" t="s">
        <v>206</v>
      </c>
      <c r="D88" s="15" t="n">
        <v>100</v>
      </c>
      <c r="E88" s="15" t="n">
        <v>0</v>
      </c>
      <c r="F88" s="16" t="str">
        <f aca="false">IF(AND(D88&gt;0, E88&gt;0), "Observed Flaky Test", "Non-observed Flaky Test")</f>
        <v>Non-observed Flaky Test</v>
      </c>
      <c r="G88" s="17" t="n">
        <v>100</v>
      </c>
      <c r="H88" s="17" t="n">
        <v>0</v>
      </c>
      <c r="I88" s="16" t="str">
        <f aca="false">IF(AND(G88&gt;0, H88&gt;0), "Observed Flaky Test", "Non-observed Flaky Test")</f>
        <v>Non-observed Flaky Test</v>
      </c>
      <c r="J88" s="18" t="n">
        <v>11.59</v>
      </c>
      <c r="K88" s="18" t="n">
        <v>0</v>
      </c>
      <c r="L88" s="19" t="n">
        <f aca="false">IFERROR(K88/J88*100,"N/A")</f>
        <v>0</v>
      </c>
      <c r="M88" s="18" t="n">
        <v>0</v>
      </c>
      <c r="N88" s="18" t="n">
        <v>0</v>
      </c>
      <c r="O88" s="20" t="str">
        <f aca="false">IFERROR(N88/M88*100,"N/A")</f>
        <v>N/A</v>
      </c>
      <c r="P88" s="56" t="str">
        <f aca="false">IF(AND(G88&gt;0, H88=0), IF(ROUND(K88,8)=0, "Group 9: Only Passed | Without variation (SD Passed = 0)", "Group 10: Only Passed | With variation (SD Passed &gt; 0)"), IF(AND(G88=0, H88&gt;0), IF(ROUND(N88,8)=0, "Group 11: Only Failed | Without variation (SD Failed = 0)", "Group 12: Only Failed | With variation (SD Failed &gt; 0)"), IF(AND(G88&gt;0, H88&gt;0), IF(ROUND(J88,5)&lt;&gt;ROUND(M88,5), IF(AND(ROUND(K88,8)=0, ROUND(N88,8)=0), "Group 1: Flaky | Passed (no variation) AND Failed (no variation) | Different Means", IF(AND(ROUND(K88,8)&gt;0, ROUND(N88,8)&gt;0), "Group 2: Flaky | Passed (with variation) AND Failed (with variation) | Different Means", IF(AND(ROUND(K88,8)=0, ROUND(N88,8)&gt;0), "Group 3: Flaky | Passed (no variation) AND Failed (with variation) | Different Means", "Group 4: Flaky | Passed (with variation) AND Failed (no variation) | Different Means"))), IF(AND(ROUND(K88,8)=0, ROUND(N88,8)=0), "Group 5: Flaky | Passed (no variation) AND Failed (no variation) | Equal Means", IF(AND(ROUND(K88,8)&gt;0, ROUND(N88,8)&gt;0), "Group 6: Flaky | Passed (with variation) AND Failed (with variation) | Equal Means", IF(AND(ROUND(K88,8)=0, ROUND(N88,8)&gt;0),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88" s="22" t="n">
        <v>100</v>
      </c>
      <c r="R88" s="17" t="n">
        <v>0</v>
      </c>
      <c r="S88" s="23" t="str">
        <f aca="false">IF(AND(Q88&gt;0, R88&gt;0), "Observed Flaky Test", "Non-observed Flaky Test")</f>
        <v>Non-observed Flaky Test</v>
      </c>
      <c r="T88" s="22" t="n">
        <v>384364.67</v>
      </c>
      <c r="U88" s="24" t="n">
        <v>599.77058</v>
      </c>
      <c r="V88" s="25" t="n">
        <f aca="false">IFERROR(U88/T88*100,"N/A")</f>
        <v>0.156042068070408</v>
      </c>
      <c r="W88" s="22" t="n">
        <v>0</v>
      </c>
      <c r="X88" s="22" t="n">
        <v>0</v>
      </c>
      <c r="Y88" s="27" t="str">
        <f aca="false">IFERROR(X88/W88*100,"N/A")</f>
        <v>N/A</v>
      </c>
      <c r="Z88" s="50" t="str">
        <f aca="false">IF(AND(Q88&gt;0, R88=0), IF(IFERROR(ROUND(V88,8),0)=0, "Group 9: Only Passed | Without variation (no var CV = 0)", "Group 10: Only Passed | With variation (with var CV &gt; 0)"), IF(AND(Q88=0, R88&gt;0), IF(IFERROR(ROUND(Y88,8),0)=0, "Group 11: Only Failed | Without variation (no var CV = 0)", "Group 12: Only Failed | With variation (with var CV &gt; 0)"), IF(AND(Q88&gt;0, R88&gt;0), IF(ROUND(T88,5)&lt;&gt;ROUND(W88,5), IF(AND(IFERROR(ROUND(V88,8),0)=0, IFERROR(ROUND(Y88,8),0)=0), "Group 1: Flaky | Passed (no variation: CV = 0) AND Failed (no variation: CV = 0) | Different Means", IF(AND(IFERROR(ROUND(V88,8),0)&gt;0, IFERROR(ROUND(Y88,8),0)&gt;0), "Group 2: Flaky | Passed (with variation: CV &gt; 0) AND Failed (with variation: CV &gt; 0) | Different Means", IF(AND(IFERROR(ROUND(V88,8),0)=0, IFERROR(ROUND(Y88,8),0)&gt;0), "Group 3: Flaky | Passed (no variation: CV = 0) AND Failed (with variation: CV &gt; 0) | Different Means", "Group 4: Flaky | Passed (with variation: CV &gt; 0) AND Failed (no variation: CV = 0) | Different Means"))), IF(AND(IFERROR(ROUND(V88,8),0)=0, IFERROR(ROUND(Y88,8),0)=0), "Group 5: Flaky | Passed (no var CV = 0) AND Failed (no var CV = 0) | Equal Means", IF(AND(IFERROR(ROUND(V88,8),0)&gt;0, IFERROR(ROUND(Y88,8),0)&gt;0), "Group 6: Flaky | Passed (with var CV &gt; 0) AND Failed (with var CV &gt; 0) | Equal Means", IF(AND(IFERROR(ROUND(V88,8),0)=0, IFERROR(ROUND(Y88,8),0)&gt;0),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88" s="29" t="n">
        <v>0.430641</v>
      </c>
      <c r="AB88" s="29" t="n">
        <v>0.011008</v>
      </c>
      <c r="AC88" s="29" t="n">
        <f aca="false">IFERROR(AB88/AA88*100,"N/A")</f>
        <v>2.55618949426553</v>
      </c>
      <c r="AD88" s="29" t="n">
        <v>0</v>
      </c>
      <c r="AE88" s="29" t="n">
        <v>0</v>
      </c>
      <c r="AF88" s="29" t="str">
        <f aca="false">IFERROR(AE88/AD88*100,"N/A")</f>
        <v>N/A</v>
      </c>
      <c r="AG88" s="51" t="str">
        <f aca="false">IF(AND(Q88&gt;0, R88=0), IF(IFERROR(ROUND(AC88,8),0)=0, "Group 9: Only Passed | Without variation (no var CV = 0)", "Group 10: Only Passed | With variation (with var CV &gt; 0)"), IF(AND(Q88=0, R88&gt;0), IF(IFERROR(ROUND(AF88,8),0)=0, "Group 11: Only Failed | Without variation (no var CV = 0)", "Group 12: Only Failed | With variation (with var CV &gt; 0)"), IF(AND(Q88&gt;0, R88&gt;0), IF(ROUND(AA88,5)&lt;&gt;ROUND(AD88,5), IF(AND(IFERROR(ROUND(AC88,8),0)=0, IFERROR(ROUND(AF88,8),0)=0), "Group 1: Flaky | Passed (no variation: CV = 0) AND Failed (no variation: CV = 0) | Different Means", IF(AND(IFERROR(ROUND(AC88,8),0)&gt;0, IFERROR(ROUND(AF88,8),0)&gt;0), "Group 2: Flaky | Passed (with variation: CV &gt; 0) AND Failed (with variation: CV &gt; 0) | Different Means", IF(AND(IFERROR(ROUND(AC88,8),0)=0, IFERROR(ROUND(AF88,8),0)&gt;0), "Group 3: Flaky | Passed (no variation: CV = 0) AND Failed (with variation: CV &gt; 0) | Different Means", "Group 4: Flaky | Passed (with variation: CV &gt; 0) AND Failed (no variation: CV = 0) | Different Means"))), IF(AND(IFERROR(ROUND(AC88,8),0)=0, IFERROR(ROUND(AF88,8),0)=0), "Group 5: Flaky | Passed (no var CV = 0) AND Failed (no var CV = 0) | Equal Means", IF(AND(IFERROR(ROUND(AC88,8),0)&gt;0, IFERROR(ROUND(AF88,8),0)&gt;0), "Group 6: Flaky | Passed (with var CV &gt; 0) AND Failed (with var CV &gt; 0) | Equal Means", IF(AND(IFERROR(ROUND(AC88,8),0)=0, IFERROR(ROUND(AF88,8),0)&gt;0),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88" s="22" t="n">
        <v>100</v>
      </c>
      <c r="AI88" s="17" t="n">
        <v>0</v>
      </c>
      <c r="AJ88" s="31" t="str">
        <f aca="false">IF(AND(AH88&gt;0, AI88&gt;0), "Observed Flaky Test", "Non-observed Flaky Test")</f>
        <v>Non-observed Flaky Test</v>
      </c>
      <c r="AK88" s="32" t="n">
        <v>25320</v>
      </c>
      <c r="AL88" s="32" t="n">
        <v>0</v>
      </c>
      <c r="AM88" s="33" t="n">
        <f aca="false">IFERROR(AL88/AK88*100,"N/A")</f>
        <v>0</v>
      </c>
      <c r="AN88" s="32" t="n">
        <v>0</v>
      </c>
      <c r="AO88" s="32" t="n">
        <v>0</v>
      </c>
      <c r="AP88" s="35" t="str">
        <f aca="false">IFERROR(AO88/AN88*100,"N/A")</f>
        <v>N/A</v>
      </c>
      <c r="AQ88" s="45" t="str">
        <f aca="false">IF(AND(AH88&gt;0, AI88&gt;0),
    IF(ROUND(N(AK88),5)&lt;&gt;ROUND(N(AN88),5),
        IF(AND(ROUND(N(AL88),8)=0, ROUND(N(AO88),8)=0), "Group 1: Flaky | Passed (no variation: SD = 0) AND Failed (no variation: SD = 0) | Different Means",
        IF(AND(ROUND(N(AL88),8)&gt;0, ROUND(N(AO88),8)&gt;0), "Group 2: Flaky | Passed (with variation: SD &gt; 0) AND Failed (with variation: SD &gt; 0) | Different Means",
        IF(AND(ROUND(N(AL88),8)=0, ROUND(N(AO88),8)&gt;0), "Group 3: Flaky | Passed (no variation: SD = 0) AND Failed (with variation: SD &gt; 0) | Different Means",
        "Group 4: Flaky | Passed (with variation: SD &gt; 0) AND Failed (no variation: SD = 0) | Different Means"))),
        IF(AND(ROUND(N(AL88),8)=0, ROUND(N(AO88),8)=0), "Group 5: Flaky | Passed (no var SD = 0) AND Failed (no var SD = 0) | Equal Means",
        IF(AND(ROUND(N(AL88),8)&gt;0, ROUND(N(AO88),8)&gt;0), "Group 6: Flaky | Passed (with var SD &gt; 0 ) AND Failed (with var SD &gt; 0) | Equal Means",
        IF(AND(ROUND(N(AL88),8)=0, ROUND(N(AO88),8)&gt;0), "Group 7: Flaky | Passed (no var SD = 0) AND Failed (with var SD &gt; 0) | Equal Means",
        "Group 8: Flaky | Passed (with var SD &gt; 0 ) AND Failed (no var SD = 0) | Equal Means")))
    ),
    IF(AH88&gt;0,
        IF(N(AL88)&gt;0, "Group 10: Only Passed | With variation (with var SD &gt; 0)", "Group 9: Only Passed | Without variation (no var SD = 0)"),
        IF(AI88&gt;0,
            IF(N(AO88)&gt;0,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88" s="37" t="str">
        <f aca="false">IF(OR(F88="Observed Flaky Test", I88="Observed Flaky Test", S88="Observed Flaky Test", AJ88="Observed Flaky Test"), "Observed Flaky Test", "Non-observed Flaky Test")</f>
        <v>Non-observed Flaky Test</v>
      </c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</row>
    <row r="89" customFormat="false" ht="15.75" hidden="false" customHeight="true" outlineLevel="0" collapsed="false">
      <c r="A89" s="13"/>
      <c r="B89" s="14" t="s">
        <v>207</v>
      </c>
      <c r="C89" s="14" t="s">
        <v>208</v>
      </c>
      <c r="D89" s="15" t="n">
        <v>100</v>
      </c>
      <c r="E89" s="15" t="n">
        <v>0</v>
      </c>
      <c r="F89" s="16" t="str">
        <f aca="false">IF(AND(D89&gt;0, E89&gt;0), "Observed Flaky Test", "Non-observed Flaky Test")</f>
        <v>Non-observed Flaky Test</v>
      </c>
      <c r="G89" s="17" t="n">
        <v>100</v>
      </c>
      <c r="H89" s="17" t="n">
        <v>0</v>
      </c>
      <c r="I89" s="16" t="str">
        <f aca="false">IF(AND(G89&gt;0, H89&gt;0), "Observed Flaky Test", "Non-observed Flaky Test")</f>
        <v>Non-observed Flaky Test</v>
      </c>
      <c r="J89" s="18" t="n">
        <v>13.58</v>
      </c>
      <c r="K89" s="18" t="n">
        <v>0</v>
      </c>
      <c r="L89" s="19" t="n">
        <f aca="false">IFERROR(K89/J89*100,"N/A")</f>
        <v>0</v>
      </c>
      <c r="M89" s="18" t="n">
        <v>0</v>
      </c>
      <c r="N89" s="18" t="n">
        <v>0</v>
      </c>
      <c r="O89" s="20" t="str">
        <f aca="false">IFERROR(N89/M89*100,"N/A")</f>
        <v>N/A</v>
      </c>
      <c r="P89" s="56" t="str">
        <f aca="false">IF(AND(G89&gt;0, H89=0), IF(ROUND(K89,8)=0, "Group 9: Only Passed | Without variation (SD Passed = 0)", "Group 10: Only Passed | With variation (SD Passed &gt; 0)"), IF(AND(G89=0, H89&gt;0), IF(ROUND(N89,8)=0, "Group 11: Only Failed | Without variation (SD Failed = 0)", "Group 12: Only Failed | With variation (SD Failed &gt; 0)"), IF(AND(G89&gt;0, H89&gt;0), IF(ROUND(J89,5)&lt;&gt;ROUND(M89,5), IF(AND(ROUND(K89,8)=0, ROUND(N89,8)=0), "Group 1: Flaky | Passed (no variation) AND Failed (no variation) | Different Means", IF(AND(ROUND(K89,8)&gt;0, ROUND(N89,8)&gt;0), "Group 2: Flaky | Passed (with variation) AND Failed (with variation) | Different Means", IF(AND(ROUND(K89,8)=0, ROUND(N89,8)&gt;0), "Group 3: Flaky | Passed (no variation) AND Failed (with variation) | Different Means", "Group 4: Flaky | Passed (with variation) AND Failed (no variation) | Different Means"))), IF(AND(ROUND(K89,8)=0, ROUND(N89,8)=0), "Group 5: Flaky | Passed (no variation) AND Failed (no variation) | Equal Means", IF(AND(ROUND(K89,8)&gt;0, ROUND(N89,8)&gt;0), "Group 6: Flaky | Passed (with variation) AND Failed (with variation) | Equal Means", IF(AND(ROUND(K89,8)=0, ROUND(N89,8)&gt;0),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89" s="22" t="n">
        <v>100</v>
      </c>
      <c r="R89" s="17" t="n">
        <v>0</v>
      </c>
      <c r="S89" s="23" t="str">
        <f aca="false">IF(AND(Q89&gt;0, R89&gt;0), "Observed Flaky Test", "Non-observed Flaky Test")</f>
        <v>Non-observed Flaky Test</v>
      </c>
      <c r="T89" s="22" t="n">
        <v>417637.99</v>
      </c>
      <c r="U89" s="24" t="n">
        <v>127.353679</v>
      </c>
      <c r="V89" s="25" t="n">
        <f aca="false">IFERROR(U89/T89*100,"N/A")</f>
        <v>0.030493796553326</v>
      </c>
      <c r="W89" s="22" t="n">
        <v>0</v>
      </c>
      <c r="X89" s="22" t="n">
        <v>0</v>
      </c>
      <c r="Y89" s="27" t="str">
        <f aca="false">IFERROR(X89/W89*100,"N/A")</f>
        <v>N/A</v>
      </c>
      <c r="Z89" s="50" t="str">
        <f aca="false">IF(AND(Q89&gt;0, R89=0), IF(IFERROR(ROUND(V89,8),0)=0, "Group 9: Only Passed | Without variation (no var CV = 0)", "Group 10: Only Passed | With variation (with var CV &gt; 0)"), IF(AND(Q89=0, R89&gt;0), IF(IFERROR(ROUND(Y89,8),0)=0, "Group 11: Only Failed | Without variation (no var CV = 0)", "Group 12: Only Failed | With variation (with var CV &gt; 0)"), IF(AND(Q89&gt;0, R89&gt;0), IF(ROUND(T89,5)&lt;&gt;ROUND(W89,5), IF(AND(IFERROR(ROUND(V89,8),0)=0, IFERROR(ROUND(Y89,8),0)=0), "Group 1: Flaky | Passed (no variation: CV = 0) AND Failed (no variation: CV = 0) | Different Means", IF(AND(IFERROR(ROUND(V89,8),0)&gt;0, IFERROR(ROUND(Y89,8),0)&gt;0), "Group 2: Flaky | Passed (with variation: CV &gt; 0) AND Failed (with variation: CV &gt; 0) | Different Means", IF(AND(IFERROR(ROUND(V89,8),0)=0, IFERROR(ROUND(Y89,8),0)&gt;0), "Group 3: Flaky | Passed (no variation: CV = 0) AND Failed (with variation: CV &gt; 0) | Different Means", "Group 4: Flaky | Passed (with variation: CV &gt; 0) AND Failed (no variation: CV = 0) | Different Means"))), IF(AND(IFERROR(ROUND(V89,8),0)=0, IFERROR(ROUND(Y89,8),0)=0), "Group 5: Flaky | Passed (no var CV = 0) AND Failed (no var CV = 0) | Equal Means", IF(AND(IFERROR(ROUND(V89,8),0)&gt;0, IFERROR(ROUND(Y89,8),0)&gt;0), "Group 6: Flaky | Passed (with var CV &gt; 0) AND Failed (with var CV &gt; 0) | Equal Means", IF(AND(IFERROR(ROUND(V89,8),0)=0, IFERROR(ROUND(Y89,8),0)&gt;0),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89" s="29" t="n">
        <v>5.309506</v>
      </c>
      <c r="AB89" s="29" t="n">
        <v>0.445309</v>
      </c>
      <c r="AC89" s="29" t="n">
        <f aca="false">IFERROR(AB89/AA89*100,"N/A")</f>
        <v>8.38701378244982</v>
      </c>
      <c r="AD89" s="29" t="n">
        <v>0</v>
      </c>
      <c r="AE89" s="29" t="n">
        <v>0</v>
      </c>
      <c r="AF89" s="29" t="str">
        <f aca="false">IFERROR(AE89/AD89*100,"N/A")</f>
        <v>N/A</v>
      </c>
      <c r="AG89" s="51" t="str">
        <f aca="false">IF(AND(Q89&gt;0, R89=0), IF(IFERROR(ROUND(AC89,8),0)=0, "Group 9: Only Passed | Without variation (no var CV = 0)", "Group 10: Only Passed | With variation (with var CV &gt; 0)"), IF(AND(Q89=0, R89&gt;0), IF(IFERROR(ROUND(AF89,8),0)=0, "Group 11: Only Failed | Without variation (no var CV = 0)", "Group 12: Only Failed | With variation (with var CV &gt; 0)"), IF(AND(Q89&gt;0, R89&gt;0), IF(ROUND(AA89,5)&lt;&gt;ROUND(AD89,5), IF(AND(IFERROR(ROUND(AC89,8),0)=0, IFERROR(ROUND(AF89,8),0)=0), "Group 1: Flaky | Passed (no variation: CV = 0) AND Failed (no variation: CV = 0) | Different Means", IF(AND(IFERROR(ROUND(AC89,8),0)&gt;0, IFERROR(ROUND(AF89,8),0)&gt;0), "Group 2: Flaky | Passed (with variation: CV &gt; 0) AND Failed (with variation: CV &gt; 0) | Different Means", IF(AND(IFERROR(ROUND(AC89,8),0)=0, IFERROR(ROUND(AF89,8),0)&gt;0), "Group 3: Flaky | Passed (no variation: CV = 0) AND Failed (with variation: CV &gt; 0) | Different Means", "Group 4: Flaky | Passed (with variation: CV &gt; 0) AND Failed (no variation: CV = 0) | Different Means"))), IF(AND(IFERROR(ROUND(AC89,8),0)=0, IFERROR(ROUND(AF89,8),0)=0), "Group 5: Flaky | Passed (no var CV = 0) AND Failed (no var CV = 0) | Equal Means", IF(AND(IFERROR(ROUND(AC89,8),0)&gt;0, IFERROR(ROUND(AF89,8),0)&gt;0), "Group 6: Flaky | Passed (with var CV &gt; 0) AND Failed (with var CV &gt; 0) | Equal Means", IF(AND(IFERROR(ROUND(AC89,8),0)=0, IFERROR(ROUND(AF89,8),0)&gt;0),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89" s="22" t="n">
        <v>100</v>
      </c>
      <c r="AI89" s="17" t="n">
        <v>0</v>
      </c>
      <c r="AJ89" s="31" t="str">
        <f aca="false">IF(AND(AH89&gt;0, AI89&gt;0), "Observed Flaky Test", "Non-observed Flaky Test")</f>
        <v>Non-observed Flaky Test</v>
      </c>
      <c r="AK89" s="81" t="n">
        <v>50155.99</v>
      </c>
      <c r="AL89" s="86" t="n">
        <v>2.68363916947103</v>
      </c>
      <c r="AM89" s="33" t="n">
        <f aca="false">IFERROR(AL89/AK89*100,"N/A")</f>
        <v>0.0053505855820432</v>
      </c>
      <c r="AN89" s="32" t="n">
        <v>0</v>
      </c>
      <c r="AO89" s="87" t="n">
        <v>0</v>
      </c>
      <c r="AP89" s="35" t="str">
        <f aca="false">IFERROR(AO89/AN89*100,"N/A")</f>
        <v>N/A</v>
      </c>
      <c r="AQ89" s="52" t="str">
        <f aca="false">IF(AND(AH89&gt;0, AI89&gt;0),
    IF(ROUND(N(AK89),5)&lt;&gt;ROUND(N(AN89),5),
        IF(AND(ROUND(N(AL89),8)=0, ROUND(N(AO89),8)=0), "Group 1: Flaky | Passed (no variation: SD = 0) AND Failed (no variation: SD = 0) | Different Means",
        IF(AND(ROUND(N(AL89),8)&gt;0, ROUND(N(AO89),8)&gt;0), "Group 2: Flaky | Passed (with variation: SD &gt; 0) AND Failed (with variation: SD &gt; 0) | Different Means",
        IF(AND(ROUND(N(AL89),8)=0, ROUND(N(AO89),8)&gt;0), "Group 3: Flaky | Passed (no variation: SD = 0) AND Failed (with variation: SD &gt; 0) | Different Means",
        "Group 4: Flaky | Passed (with variation: SD &gt; 0) AND Failed (no variation: SD = 0) | Different Means"))),
        IF(AND(ROUND(N(AL89),8)=0, ROUND(N(AO89),8)=0), "Group 5: Flaky | Passed (no var SD = 0) AND Failed (no var SD = 0) | Equal Means",
        IF(AND(ROUND(N(AL89),8)&gt;0, ROUND(N(AO89),8)&gt;0), "Group 6: Flaky | Passed (with var SD &gt; 0 ) AND Failed (with var SD &gt; 0) | Equal Means",
        IF(AND(ROUND(N(AL89),8)=0, ROUND(N(AO89),8)&gt;0), "Group 7: Flaky | Passed (no var SD = 0) AND Failed (with var SD &gt; 0) | Equal Means",
        "Group 8: Flaky | Passed (with var SD &gt; 0 ) AND Failed (no var SD = 0) | Equal Means")))
    ),
    IF(AH89&gt;0,
        IF(N(AL89)&gt;0, "Group 10: Only Passed | With variation (with var SD &gt; 0)", "Group 9: Only Passed | Without variation (no var SD = 0)"),
        IF(AI89&gt;0,
            IF(N(AO89)&gt;0,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89" s="37" t="str">
        <f aca="false">IF(OR(F89="Observed Flaky Test", I89="Observed Flaky Test", S89="Observed Flaky Test", AJ89="Observed Flaky Test"), "Observed Flaky Test", "Non-observed Flaky Test")</f>
        <v>Non-observed Flaky Test</v>
      </c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</row>
    <row r="90" customFormat="false" ht="15.75" hidden="false" customHeight="true" outlineLevel="0" collapsed="false">
      <c r="A90" s="13"/>
      <c r="B90" s="14" t="s">
        <v>209</v>
      </c>
      <c r="C90" s="14" t="s">
        <v>210</v>
      </c>
      <c r="D90" s="15" t="n">
        <v>100</v>
      </c>
      <c r="E90" s="15" t="n">
        <v>0</v>
      </c>
      <c r="F90" s="16" t="str">
        <f aca="false">IF(AND(D90&gt;0, E90&gt;0), "Observed Flaky Test", "Non-observed Flaky Test")</f>
        <v>Non-observed Flaky Test</v>
      </c>
      <c r="G90" s="17" t="n">
        <v>100</v>
      </c>
      <c r="H90" s="17" t="n">
        <v>0</v>
      </c>
      <c r="I90" s="16" t="str">
        <f aca="false">IF(AND(G90&gt;0, H90&gt;0), "Observed Flaky Test", "Non-observed Flaky Test")</f>
        <v>Non-observed Flaky Test</v>
      </c>
      <c r="J90" s="18" t="n">
        <v>13.58</v>
      </c>
      <c r="K90" s="18" t="n">
        <v>0</v>
      </c>
      <c r="L90" s="19" t="n">
        <f aca="false">IFERROR(K90/J90*100,"N/A")</f>
        <v>0</v>
      </c>
      <c r="M90" s="18" t="n">
        <v>0</v>
      </c>
      <c r="N90" s="18" t="n">
        <v>0</v>
      </c>
      <c r="O90" s="20" t="str">
        <f aca="false">IFERROR(N90/M90*100,"N/A")</f>
        <v>N/A</v>
      </c>
      <c r="P90" s="56" t="str">
        <f aca="false">IF(AND(G90&gt;0, H90=0), IF(ROUND(K90,8)=0, "Group 9: Only Passed | Without variation (SD Passed = 0)", "Group 10: Only Passed | With variation (SD Passed &gt; 0)"), IF(AND(G90=0, H90&gt;0), IF(ROUND(N90,8)=0, "Group 11: Only Failed | Without variation (SD Failed = 0)", "Group 12: Only Failed | With variation (SD Failed &gt; 0)"), IF(AND(G90&gt;0, H90&gt;0), IF(ROUND(J90,5)&lt;&gt;ROUND(M90,5), IF(AND(ROUND(K90,8)=0, ROUND(N90,8)=0), "Group 1: Flaky | Passed (no variation) AND Failed (no variation) | Different Means", IF(AND(ROUND(K90,8)&gt;0, ROUND(N90,8)&gt;0), "Group 2: Flaky | Passed (with variation) AND Failed (with variation) | Different Means", IF(AND(ROUND(K90,8)=0, ROUND(N90,8)&gt;0), "Group 3: Flaky | Passed (no variation) AND Failed (with variation) | Different Means", "Group 4: Flaky | Passed (with variation) AND Failed (no variation) | Different Means"))), IF(AND(ROUND(K90,8)=0, ROUND(N90,8)=0), "Group 5: Flaky | Passed (no variation) AND Failed (no variation) | Equal Means", IF(AND(ROUND(K90,8)&gt;0, ROUND(N90,8)&gt;0), "Group 6: Flaky | Passed (with variation) AND Failed (with variation) | Equal Means", IF(AND(ROUND(K90,8)=0, ROUND(N90,8)&gt;0),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0" s="22" t="n">
        <v>100</v>
      </c>
      <c r="R90" s="17" t="n">
        <v>0</v>
      </c>
      <c r="S90" s="23" t="str">
        <f aca="false">IF(AND(Q90&gt;0, R90&gt;0), "Observed Flaky Test", "Non-observed Flaky Test")</f>
        <v>Non-observed Flaky Test</v>
      </c>
      <c r="T90" s="22" t="n">
        <v>417645.99</v>
      </c>
      <c r="U90" s="24" t="n">
        <v>103.814957</v>
      </c>
      <c r="V90" s="25" t="n">
        <f aca="false">IFERROR(U90/T90*100,"N/A")</f>
        <v>0.0248571659936206</v>
      </c>
      <c r="W90" s="22" t="n">
        <v>0</v>
      </c>
      <c r="X90" s="22" t="n">
        <v>0</v>
      </c>
      <c r="Y90" s="27" t="str">
        <f aca="false">IFERROR(X90/W90*100,"N/A")</f>
        <v>N/A</v>
      </c>
      <c r="Z90" s="50" t="str">
        <f aca="false">IF(AND(Q90&gt;0, R90=0), IF(IFERROR(ROUND(V90,8),0)=0, "Group 9: Only Passed | Without variation (no var CV = 0)", "Group 10: Only Passed | With variation (with var CV &gt; 0)"), IF(AND(Q90=0, R90&gt;0), IF(IFERROR(ROUND(Y90,8),0)=0, "Group 11: Only Failed | Without variation (no var CV = 0)", "Group 12: Only Failed | With variation (with var CV &gt; 0)"), IF(AND(Q90&gt;0, R90&gt;0), IF(ROUND(T90,5)&lt;&gt;ROUND(W90,5), IF(AND(IFERROR(ROUND(V90,8),0)=0, IFERROR(ROUND(Y90,8),0)=0), "Group 1: Flaky | Passed (no variation: CV = 0) AND Failed (no variation: CV = 0) | Different Means", IF(AND(IFERROR(ROUND(V90,8),0)&gt;0, IFERROR(ROUND(Y90,8),0)&gt;0), "Group 2: Flaky | Passed (with variation: CV &gt; 0) AND Failed (with variation: CV &gt; 0) | Different Means", IF(AND(IFERROR(ROUND(V90,8),0)=0, IFERROR(ROUND(Y90,8),0)&gt;0), "Group 3: Flaky | Passed (no variation: CV = 0) AND Failed (with variation: CV &gt; 0) | Different Means", "Group 4: Flaky | Passed (with variation: CV &gt; 0) AND Failed (no variation: CV = 0) | Different Means"))), IF(AND(IFERROR(ROUND(V90,8),0)=0, IFERROR(ROUND(Y90,8),0)=0), "Group 5: Flaky | Passed (no var CV = 0) AND Failed (no var CV = 0) | Equal Means", IF(AND(IFERROR(ROUND(V90,8),0)&gt;0, IFERROR(ROUND(Y90,8),0)&gt;0), "Group 6: Flaky | Passed (with var CV &gt; 0) AND Failed (with var CV &gt; 0) | Equal Means", IF(AND(IFERROR(ROUND(V90,8),0)=0, IFERROR(ROUND(Y90,8),0)&gt;0),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0" s="29" t="n">
        <v>5.257934</v>
      </c>
      <c r="AB90" s="29" t="n">
        <v>0.258526</v>
      </c>
      <c r="AC90" s="29" t="n">
        <f aca="false">IFERROR(AB90/AA90*100,"N/A")</f>
        <v>4.91687419431282</v>
      </c>
      <c r="AD90" s="29" t="n">
        <v>0</v>
      </c>
      <c r="AE90" s="29" t="n">
        <v>0</v>
      </c>
      <c r="AF90" s="29" t="str">
        <f aca="false">IFERROR(AE90/AD90*100,"N/A")</f>
        <v>N/A</v>
      </c>
      <c r="AG90" s="51" t="str">
        <f aca="false">IF(AND(Q90&gt;0, R90=0), IF(IFERROR(ROUND(AC90,8),0)=0, "Group 9: Only Passed | Without variation (no var CV = 0)", "Group 10: Only Passed | With variation (with var CV &gt; 0)"), IF(AND(Q90=0, R90&gt;0), IF(IFERROR(ROUND(AF90,8),0)=0, "Group 11: Only Failed | Without variation (no var CV = 0)", "Group 12: Only Failed | With variation (with var CV &gt; 0)"), IF(AND(Q90&gt;0, R90&gt;0), IF(ROUND(AA90,5)&lt;&gt;ROUND(AD90,5), IF(AND(IFERROR(ROUND(AC90,8),0)=0, IFERROR(ROUND(AF90,8),0)=0), "Group 1: Flaky | Passed (no variation: CV = 0) AND Failed (no variation: CV = 0) | Different Means", IF(AND(IFERROR(ROUND(AC90,8),0)&gt;0, IFERROR(ROUND(AF90,8),0)&gt;0), "Group 2: Flaky | Passed (with variation: CV &gt; 0) AND Failed (with variation: CV &gt; 0) | Different Means", IF(AND(IFERROR(ROUND(AC90,8),0)=0, IFERROR(ROUND(AF90,8),0)&gt;0), "Group 3: Flaky | Passed (no variation: CV = 0) AND Failed (with variation: CV &gt; 0) | Different Means", "Group 4: Flaky | Passed (with variation: CV &gt; 0) AND Failed (no variation: CV = 0) | Different Means"))), IF(AND(IFERROR(ROUND(AC90,8),0)=0, IFERROR(ROUND(AF90,8),0)=0), "Group 5: Flaky | Passed (no var CV = 0) AND Failed (no var CV = 0) | Equal Means", IF(AND(IFERROR(ROUND(AC90,8),0)&gt;0, IFERROR(ROUND(AF90,8),0)&gt;0), "Group 6: Flaky | Passed (with var CV &gt; 0) AND Failed (with var CV &gt; 0) | Equal Means", IF(AND(IFERROR(ROUND(AC90,8),0)=0, IFERROR(ROUND(AF90,8),0)&gt;0),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0" s="22" t="n">
        <v>100</v>
      </c>
      <c r="AI90" s="17" t="n">
        <v>0</v>
      </c>
      <c r="AJ90" s="31" t="str">
        <f aca="false">IF(AND(AH90&gt;0, AI90&gt;0), "Observed Flaky Test", "Non-observed Flaky Test")</f>
        <v>Non-observed Flaky Test</v>
      </c>
      <c r="AK90" s="32" t="n">
        <v>50203.46</v>
      </c>
      <c r="AL90" s="86" t="n">
        <v>3.06304133537603</v>
      </c>
      <c r="AM90" s="33" t="n">
        <f aca="false">IFERROR(AL90/AK90*100,"N/A")</f>
        <v>0.00610125544210704</v>
      </c>
      <c r="AN90" s="32" t="n">
        <v>0</v>
      </c>
      <c r="AO90" s="32" t="n">
        <v>0</v>
      </c>
      <c r="AP90" s="35" t="str">
        <f aca="false">IFERROR(AO90/AN90*100,"N/A")</f>
        <v>N/A</v>
      </c>
      <c r="AQ90" s="52" t="str">
        <f aca="false">IF(AND(AH90&gt;0, AI90&gt;0),
    IF(ROUND(N(AK90),5)&lt;&gt;ROUND(N(AN90),5),
        IF(AND(ROUND(N(AL90),8)=0, ROUND(N(AO90),8)=0), "Group 1: Flaky | Passed (no variation: SD = 0) AND Failed (no variation: SD = 0) | Different Means",
        IF(AND(ROUND(N(AL90),8)&gt;0, ROUND(N(AO90),8)&gt;0), "Group 2: Flaky | Passed (with variation: SD &gt; 0) AND Failed (with variation: SD &gt; 0) | Different Means",
        IF(AND(ROUND(N(AL90),8)=0, ROUND(N(AO90),8)&gt;0), "Group 3: Flaky | Passed (no variation: SD = 0) AND Failed (with variation: SD &gt; 0) | Different Means",
        "Group 4: Flaky | Passed (with variation: SD &gt; 0) AND Failed (no variation: SD = 0) | Different Means"))),
        IF(AND(ROUND(N(AL90),8)=0, ROUND(N(AO90),8)=0), "Group 5: Flaky | Passed (no var SD = 0) AND Failed (no var SD = 0) | Equal Means",
        IF(AND(ROUND(N(AL90),8)&gt;0, ROUND(N(AO90),8)&gt;0), "Group 6: Flaky | Passed (with var SD &gt; 0 ) AND Failed (with var SD &gt; 0) | Equal Means",
        IF(AND(ROUND(N(AL90),8)=0, ROUND(N(AO90),8)&gt;0), "Group 7: Flaky | Passed (no var SD = 0) AND Failed (with var SD &gt; 0) | Equal Means",
        "Group 8: Flaky | Passed (with var SD &gt; 0 ) AND Failed (no var SD = 0) | Equal Means")))
    ),
    IF(AH90&gt;0,
        IF(N(AL90)&gt;0, "Group 10: Only Passed | With variation (with var SD &gt; 0)", "Group 9: Only Passed | Without variation (no var SD = 0)"),
        IF(AI90&gt;0,
            IF(N(AO90)&gt;0,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90" s="37" t="str">
        <f aca="false">IF(OR(F90="Observed Flaky Test", I90="Observed Flaky Test", S90="Observed Flaky Test", AJ90="Observed Flaky Test"), "Observed Flaky Test", "Non-observed Flaky Test")</f>
        <v>Non-observed Flaky Test</v>
      </c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</row>
    <row r="91" customFormat="false" ht="15.75" hidden="false" customHeight="true" outlineLevel="0" collapsed="false">
      <c r="A91" s="13"/>
      <c r="B91" s="14" t="s">
        <v>211</v>
      </c>
      <c r="C91" s="14" t="s">
        <v>212</v>
      </c>
      <c r="D91" s="15" t="n">
        <v>100</v>
      </c>
      <c r="E91" s="15" t="n">
        <v>0</v>
      </c>
      <c r="F91" s="16" t="str">
        <f aca="false">IF(AND(D91&gt;0, E91&gt;0), "Observed Flaky Test", "Non-observed Flaky Test")</f>
        <v>Non-observed Flaky Test</v>
      </c>
      <c r="G91" s="17" t="n">
        <v>100</v>
      </c>
      <c r="H91" s="17" t="n">
        <v>0</v>
      </c>
      <c r="I91" s="16" t="str">
        <f aca="false">IF(AND(G91&gt;0, H91&gt;0), "Observed Flaky Test", "Non-observed Flaky Test")</f>
        <v>Non-observed Flaky Test</v>
      </c>
      <c r="J91" s="18" t="n">
        <v>12.07</v>
      </c>
      <c r="K91" s="18" t="n">
        <v>0</v>
      </c>
      <c r="L91" s="19" t="n">
        <f aca="false">IFERROR(K91/J91*100,"N/A")</f>
        <v>0</v>
      </c>
      <c r="M91" s="18" t="n">
        <v>0</v>
      </c>
      <c r="N91" s="18" t="n">
        <v>0</v>
      </c>
      <c r="O91" s="20" t="str">
        <f aca="false">IFERROR(N91/M91*100,"N/A")</f>
        <v>N/A</v>
      </c>
      <c r="P91" s="56" t="str">
        <f aca="false">IF(AND(G91&gt;0, H91=0), IF(ROUND(K91,8)=0, "Group 9: Only Passed | Without variation (SD Passed = 0)", "Group 10: Only Passed | With variation (SD Passed &gt; 0)"), IF(AND(G91=0, H91&gt;0), IF(ROUND(N91,8)=0, "Group 11: Only Failed | Without variation (SD Failed = 0)", "Group 12: Only Failed | With variation (SD Failed &gt; 0)"), IF(AND(G91&gt;0, H91&gt;0), IF(ROUND(J91,5)&lt;&gt;ROUND(M91,5), IF(AND(ROUND(K91,8)=0, ROUND(N91,8)=0), "Group 1: Flaky | Passed (no variation) AND Failed (no variation) | Different Means", IF(AND(ROUND(K91,8)&gt;0, ROUND(N91,8)&gt;0), "Group 2: Flaky | Passed (with variation) AND Failed (with variation) | Different Means", IF(AND(ROUND(K91,8)=0, ROUND(N91,8)&gt;0), "Group 3: Flaky | Passed (no variation) AND Failed (with variation) | Different Means", "Group 4: Flaky | Passed (with variation) AND Failed (no variation) | Different Means"))), IF(AND(ROUND(K91,8)=0, ROUND(N91,8)=0), "Group 5: Flaky | Passed (no variation) AND Failed (no variation) | Equal Means", IF(AND(ROUND(K91,8)&gt;0, ROUND(N91,8)&gt;0), "Group 6: Flaky | Passed (with variation) AND Failed (with variation) | Equal Means", IF(AND(ROUND(K91,8)=0, ROUND(N91,8)&gt;0),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1" s="22" t="n">
        <v>100</v>
      </c>
      <c r="R91" s="17" t="n">
        <v>0</v>
      </c>
      <c r="S91" s="23" t="str">
        <f aca="false">IF(AND(Q91&gt;0, R91&gt;0), "Observed Flaky Test", "Non-observed Flaky Test")</f>
        <v>Non-observed Flaky Test</v>
      </c>
      <c r="T91" s="22" t="n">
        <v>395040.49</v>
      </c>
      <c r="U91" s="24" t="n">
        <v>272.314268</v>
      </c>
      <c r="V91" s="25" t="n">
        <f aca="false">IFERROR(U91/T91*100,"N/A")</f>
        <v>0.0689332549177427</v>
      </c>
      <c r="W91" s="22" t="n">
        <v>0</v>
      </c>
      <c r="X91" s="22" t="n">
        <v>0</v>
      </c>
      <c r="Y91" s="27" t="str">
        <f aca="false">IFERROR(X91/W91*100,"N/A")</f>
        <v>N/A</v>
      </c>
      <c r="Z91" s="50" t="str">
        <f aca="false">IF(AND(Q91&gt;0, R91=0), IF(IFERROR(ROUND(V91,8),0)=0, "Group 9: Only Passed | Without variation (no var CV = 0)", "Group 10: Only Passed | With variation (with var CV &gt; 0)"), IF(AND(Q91=0, R91&gt;0), IF(IFERROR(ROUND(Y91,8),0)=0, "Group 11: Only Failed | Without variation (no var CV = 0)", "Group 12: Only Failed | With variation (with var CV &gt; 0)"), IF(AND(Q91&gt;0, R91&gt;0), IF(ROUND(T91,5)&lt;&gt;ROUND(W91,5), IF(AND(IFERROR(ROUND(V91,8),0)=0, IFERROR(ROUND(Y91,8),0)=0), "Group 1: Flaky | Passed (no variation: CV = 0) AND Failed (no variation: CV = 0) | Different Means", IF(AND(IFERROR(ROUND(V91,8),0)&gt;0, IFERROR(ROUND(Y91,8),0)&gt;0), "Group 2: Flaky | Passed (with variation: CV &gt; 0) AND Failed (with variation: CV &gt; 0) | Different Means", IF(AND(IFERROR(ROUND(V91,8),0)=0, IFERROR(ROUND(Y91,8),0)&gt;0), "Group 3: Flaky | Passed (no variation: CV = 0) AND Failed (with variation: CV &gt; 0) | Different Means", "Group 4: Flaky | Passed (with variation: CV &gt; 0) AND Failed (no variation: CV = 0) | Different Means"))), IF(AND(IFERROR(ROUND(V91,8),0)=0, IFERROR(ROUND(Y91,8),0)=0), "Group 5: Flaky | Passed (no var CV = 0) AND Failed (no var CV = 0) | Equal Means", IF(AND(IFERROR(ROUND(V91,8),0)&gt;0, IFERROR(ROUND(Y91,8),0)&gt;0), "Group 6: Flaky | Passed (with var CV &gt; 0) AND Failed (with var CV &gt; 0) | Equal Means", IF(AND(IFERROR(ROUND(V91,8),0)=0, IFERROR(ROUND(Y91,8),0)&gt;0),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1" s="29" t="n">
        <v>2.22336</v>
      </c>
      <c r="AB91" s="29" t="n">
        <v>0.011747</v>
      </c>
      <c r="AC91" s="29" t="n">
        <f aca="false">IFERROR(AB91/AA91*100,"N/A")</f>
        <v>0.528344487622337</v>
      </c>
      <c r="AD91" s="29" t="n">
        <v>0</v>
      </c>
      <c r="AE91" s="29" t="n">
        <v>0</v>
      </c>
      <c r="AF91" s="29" t="str">
        <f aca="false">IFERROR(AE91/AD91*100,"N/A")</f>
        <v>N/A</v>
      </c>
      <c r="AG91" s="51" t="str">
        <f aca="false">IF(AND(Q91&gt;0, R91=0), IF(IFERROR(ROUND(AC91,8),0)=0, "Group 9: Only Passed | Without variation (no var CV = 0)", "Group 10: Only Passed | With variation (with var CV &gt; 0)"), IF(AND(Q91=0, R91&gt;0), IF(IFERROR(ROUND(AF91,8),0)=0, "Group 11: Only Failed | Without variation (no var CV = 0)", "Group 12: Only Failed | With variation (with var CV &gt; 0)"), IF(AND(Q91&gt;0, R91&gt;0), IF(ROUND(AA91,5)&lt;&gt;ROUND(AD91,5), IF(AND(IFERROR(ROUND(AC91,8),0)=0, IFERROR(ROUND(AF91,8),0)=0), "Group 1: Flaky | Passed (no variation: CV = 0) AND Failed (no variation: CV = 0) | Different Means", IF(AND(IFERROR(ROUND(AC91,8),0)&gt;0, IFERROR(ROUND(AF91,8),0)&gt;0), "Group 2: Flaky | Passed (with variation: CV &gt; 0) AND Failed (with variation: CV &gt; 0) | Different Means", IF(AND(IFERROR(ROUND(AC91,8),0)=0, IFERROR(ROUND(AF91,8),0)&gt;0), "Group 3: Flaky | Passed (no variation: CV = 0) AND Failed (with variation: CV &gt; 0) | Different Means", "Group 4: Flaky | Passed (with variation: CV &gt; 0) AND Failed (no variation: CV = 0) | Different Means"))), IF(AND(IFERROR(ROUND(AC91,8),0)=0, IFERROR(ROUND(AF91,8),0)=0), "Group 5: Flaky | Passed (no var CV = 0) AND Failed (no var CV = 0) | Equal Means", IF(AND(IFERROR(ROUND(AC91,8),0)&gt;0, IFERROR(ROUND(AF91,8),0)&gt;0), "Group 6: Flaky | Passed (with var CV &gt; 0) AND Failed (with var CV &gt; 0) | Equal Means", IF(AND(IFERROR(ROUND(AC91,8),0)=0, IFERROR(ROUND(AF91,8),0)&gt;0),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1" s="22" t="n">
        <v>100</v>
      </c>
      <c r="AI91" s="17" t="n">
        <v>0</v>
      </c>
      <c r="AJ91" s="31" t="str">
        <f aca="false">IF(AND(AH91&gt;0, AI91&gt;0), "Observed Flaky Test", "Non-observed Flaky Test")</f>
        <v>Non-observed Flaky Test</v>
      </c>
      <c r="AK91" s="32" t="n">
        <v>22142</v>
      </c>
      <c r="AL91" s="32" t="n">
        <v>0</v>
      </c>
      <c r="AM91" s="33" t="n">
        <f aca="false">IFERROR(AL91/AK91*100,"N/A")</f>
        <v>0</v>
      </c>
      <c r="AN91" s="32" t="n">
        <v>0</v>
      </c>
      <c r="AO91" s="32" t="n">
        <v>0</v>
      </c>
      <c r="AP91" s="35" t="str">
        <f aca="false">IFERROR(AO91/AN91*100,"N/A")</f>
        <v>N/A</v>
      </c>
      <c r="AQ91" s="45" t="str">
        <f aca="false">IF(AND(AH91&gt;0, AI91&gt;0),
    IF(ROUND(N(AK91),5)&lt;&gt;ROUND(N(AN91),5),
        IF(AND(ROUND(N(AL91),8)=0, ROUND(N(AO91),8)=0), "Group 1: Flaky | Passed (no variation: SD = 0) AND Failed (no variation: SD = 0) | Different Means",
        IF(AND(ROUND(N(AL91),8)&gt;0, ROUND(N(AO91),8)&gt;0), "Group 2: Flaky | Passed (with variation: SD &gt; 0) AND Failed (with variation: SD &gt; 0) | Different Means",
        IF(AND(ROUND(N(AL91),8)=0, ROUND(N(AO91),8)&gt;0), "Group 3: Flaky | Passed (no variation: SD = 0) AND Failed (with variation: SD &gt; 0) | Different Means",
        "Group 4: Flaky | Passed (with variation: SD &gt; 0) AND Failed (no variation: SD = 0) | Different Means"))),
        IF(AND(ROUND(N(AL91),8)=0, ROUND(N(AO91),8)=0), "Group 5: Flaky | Passed (no var SD = 0) AND Failed (no var SD = 0) | Equal Means",
        IF(AND(ROUND(N(AL91),8)&gt;0, ROUND(N(AO91),8)&gt;0), "Group 6: Flaky | Passed (with var SD &gt; 0 ) AND Failed (with var SD &gt; 0) | Equal Means",
        IF(AND(ROUND(N(AL91),8)=0, ROUND(N(AO91),8)&gt;0), "Group 7: Flaky | Passed (no var SD = 0) AND Failed (with var SD &gt; 0) | Equal Means",
        "Group 8: Flaky | Passed (with var SD &gt; 0 ) AND Failed (no var SD = 0) | Equal Means")))
    ),
    IF(AH91&gt;0,
        IF(N(AL91)&gt;0, "Group 10: Only Passed | With variation (with var SD &gt; 0)", "Group 9: Only Passed | Without variation (no var SD = 0)"),
        IF(AI91&gt;0,
            IF(N(AO91)&gt;0,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91" s="37" t="str">
        <f aca="false">IF(OR(F91="Observed Flaky Test", I91="Observed Flaky Test", S91="Observed Flaky Test", AJ91="Observed Flaky Test"), "Observed Flaky Test", "Non-observed Flaky Test")</f>
        <v>Non-observed Flaky Test</v>
      </c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</row>
    <row r="92" customFormat="false" ht="15.75" hidden="false" customHeight="true" outlineLevel="0" collapsed="false">
      <c r="A92" s="13" t="s">
        <v>213</v>
      </c>
      <c r="B92" s="14" t="s">
        <v>214</v>
      </c>
      <c r="C92" s="14" t="s">
        <v>215</v>
      </c>
      <c r="D92" s="15" t="n">
        <v>0</v>
      </c>
      <c r="E92" s="15" t="n">
        <v>100</v>
      </c>
      <c r="F92" s="16" t="str">
        <f aca="false">IF(AND(D92&gt;0, E92&gt;0), "Observed Flaky Test", "Non-observed Flaky Test")</f>
        <v>Non-observed Flaky Test</v>
      </c>
      <c r="G92" s="17" t="n">
        <v>100</v>
      </c>
      <c r="H92" s="17" t="n">
        <v>0</v>
      </c>
      <c r="I92" s="16" t="str">
        <f aca="false">IF(AND(G92&gt;0, H92&gt;0), "Observed Flaky Test", "Non-observed Flaky Test")</f>
        <v>Non-observed Flaky Test</v>
      </c>
      <c r="J92" s="83" t="n">
        <v>24.6101</v>
      </c>
      <c r="K92" s="84" t="n">
        <v>0.000995</v>
      </c>
      <c r="L92" s="19" t="n">
        <f aca="false">IFERROR(K92/J92*100,"N/A")</f>
        <v>0.00404305549347626</v>
      </c>
      <c r="M92" s="74" t="n">
        <v>0</v>
      </c>
      <c r="N92" s="74" t="n">
        <v>0</v>
      </c>
      <c r="O92" s="20" t="str">
        <f aca="false">IFERROR(N92/M92*100,"N/A")</f>
        <v>N/A</v>
      </c>
      <c r="P92" s="48" t="str">
        <f aca="false">IF(AND(G92&gt;0, H92=0), IF(ROUND(K92,8)=0, "Group 9: Only Passed | Without variation (SD Passed = 0)", "Group 10: Only Passed | With variation (SD Passed &gt; 0)"), IF(AND(G92=0, H92&gt;0), IF(ROUND(N92,8)=0, "Group 11: Only Failed | Without variation (SD Failed = 0)", "Group 12: Only Failed | With variation (SD Failed &gt; 0)"), IF(AND(G92&gt;0, H92&gt;0), IF(ROUND(J92,5)&lt;&gt;ROUND(M92,5), IF(AND(ROUND(K92,8)=0, ROUND(N92,8)=0), "Group 1: Flaky | Passed (no variation) AND Failed (no variation) | Different Means", IF(AND(ROUND(K92,8)&gt;0, ROUND(N92,8)&gt;0), "Group 2: Flaky | Passed (with variation) AND Failed (with variation) | Different Means", IF(AND(ROUND(K92,8)=0, ROUND(N92,8)&gt;0), "Group 3: Flaky | Passed (no variation) AND Failed (with variation) | Different Means", "Group 4: Flaky | Passed (with variation) AND Failed (no variation) | Different Means"))), IF(AND(ROUND(K92,8)=0, ROUND(N92,8)=0), "Group 5: Flaky | Passed (no variation) AND Failed (no variation) | Equal Means", IF(AND(ROUND(K92,8)&gt;0, ROUND(N92,8)&gt;0), "Group 6: Flaky | Passed (with variation) AND Failed (with variation) | Equal Means", IF(AND(ROUND(K92,8)=0, ROUND(N92,8)&gt;0),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92" s="22" t="n">
        <v>100</v>
      </c>
      <c r="R92" s="17" t="n">
        <v>0</v>
      </c>
      <c r="S92" s="23" t="str">
        <f aca="false">IF(AND(Q92&gt;0, R92&gt;0), "Observed Flaky Test", "Non-observed Flaky Test")</f>
        <v>Non-observed Flaky Test</v>
      </c>
      <c r="T92" s="22" t="n">
        <v>1075144.76</v>
      </c>
      <c r="U92" s="24" t="n">
        <v>12.614021</v>
      </c>
      <c r="V92" s="25" t="n">
        <f aca="false">IFERROR(U92/T92*100,"N/A")</f>
        <v>0.00117323931337395</v>
      </c>
      <c r="W92" s="22" t="n">
        <v>0</v>
      </c>
      <c r="X92" s="22" t="n">
        <v>0</v>
      </c>
      <c r="Y92" s="27" t="str">
        <f aca="false">IFERROR(X92/W92*100,"N/A")</f>
        <v>N/A</v>
      </c>
      <c r="Z92" s="50" t="str">
        <f aca="false">IF(AND(Q92&gt;0, R92=0), IF(IFERROR(ROUND(V92,8),0)=0, "Group 9: Only Passed | Without variation (no var CV = 0)", "Group 10: Only Passed | With variation (with var CV &gt; 0)"), IF(AND(Q92=0, R92&gt;0), IF(IFERROR(ROUND(Y92,8),0)=0, "Group 11: Only Failed | Without variation (no var CV = 0)", "Group 12: Only Failed | With variation (with var CV &gt; 0)"), IF(AND(Q92&gt;0, R92&gt;0), IF(ROUND(T92,5)&lt;&gt;ROUND(W92,5), IF(AND(IFERROR(ROUND(V92,8),0)=0, IFERROR(ROUND(Y92,8),0)=0), "Group 1: Flaky | Passed (no variation: CV = 0) AND Failed (no variation: CV = 0) | Different Means", IF(AND(IFERROR(ROUND(V92,8),0)&gt;0, IFERROR(ROUND(Y92,8),0)&gt;0), "Group 2: Flaky | Passed (with variation: CV &gt; 0) AND Failed (with variation: CV &gt; 0) | Different Means", IF(AND(IFERROR(ROUND(V92,8),0)=0, IFERROR(ROUND(Y92,8),0)&gt;0), "Group 3: Flaky | Passed (no variation: CV = 0) AND Failed (with variation: CV &gt; 0) | Different Means", "Group 4: Flaky | Passed (with variation: CV &gt; 0) AND Failed (no variation: CV = 0) | Different Means"))), IF(AND(IFERROR(ROUND(V92,8),0)=0, IFERROR(ROUND(Y92,8),0)=0), "Group 5: Flaky | Passed (no var CV = 0) AND Failed (no var CV = 0) | Equal Means", IF(AND(IFERROR(ROUND(V92,8),0)&gt;0, IFERROR(ROUND(Y92,8),0)&gt;0), "Group 6: Flaky | Passed (with var CV &gt; 0) AND Failed (with var CV &gt; 0) | Equal Means", IF(AND(IFERROR(ROUND(V92,8),0)=0, IFERROR(ROUND(Y92,8),0)&gt;0),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2" s="29" t="n">
        <v>3.621408</v>
      </c>
      <c r="AB92" s="29" t="n">
        <v>0.035822</v>
      </c>
      <c r="AC92" s="29" t="n">
        <f aca="false">IFERROR(AB92/AA92*100,"N/A")</f>
        <v>0.989173271832392</v>
      </c>
      <c r="AD92" s="29" t="n">
        <v>0</v>
      </c>
      <c r="AE92" s="29" t="n">
        <v>0</v>
      </c>
      <c r="AF92" s="29" t="str">
        <f aca="false">IFERROR(AE92/AD92*100,"N/A")</f>
        <v>N/A</v>
      </c>
      <c r="AG92" s="51" t="str">
        <f aca="false">IF(AND(Q92&gt;0, R92=0), IF(IFERROR(ROUND(AC92,8),0)=0, "Group 9: Only Passed | Without variation (no var CV = 0)", "Group 10: Only Passed | With variation (with var CV &gt; 0)"), IF(AND(Q92=0, R92&gt;0), IF(IFERROR(ROUND(AF92,8),0)=0, "Group 11: Only Failed | Without variation (no var CV = 0)", "Group 12: Only Failed | With variation (with var CV &gt; 0)"), IF(AND(Q92&gt;0, R92&gt;0), IF(ROUND(AA92,5)&lt;&gt;ROUND(AD92,5), IF(AND(IFERROR(ROUND(AC92,8),0)=0, IFERROR(ROUND(AF92,8),0)=0), "Group 1: Flaky | Passed (no variation: CV = 0) AND Failed (no variation: CV = 0) | Different Means", IF(AND(IFERROR(ROUND(AC92,8),0)&gt;0, IFERROR(ROUND(AF92,8),0)&gt;0), "Group 2: Flaky | Passed (with variation: CV &gt; 0) AND Failed (with variation: CV &gt; 0) | Different Means", IF(AND(IFERROR(ROUND(AC92,8),0)=0, IFERROR(ROUND(AF92,8),0)&gt;0), "Group 3: Flaky | Passed (no variation: CV = 0) AND Failed (with variation: CV &gt; 0) | Different Means", "Group 4: Flaky | Passed (with variation: CV &gt; 0) AND Failed (no variation: CV = 0) | Different Means"))), IF(AND(IFERROR(ROUND(AC92,8),0)=0, IFERROR(ROUND(AF92,8),0)=0), "Group 5: Flaky | Passed (no var CV = 0) AND Failed (no var CV = 0) | Equal Means", IF(AND(IFERROR(ROUND(AC92,8),0)&gt;0, IFERROR(ROUND(AF92,8),0)&gt;0), "Group 6: Flaky | Passed (with var CV &gt; 0) AND Failed (with var CV &gt; 0) | Equal Means", IF(AND(IFERROR(ROUND(AC92,8),0)=0, IFERROR(ROUND(AF92,8),0)&gt;0),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2" s="22" t="n">
        <v>100</v>
      </c>
      <c r="AI92" s="17" t="n">
        <v>0</v>
      </c>
      <c r="AJ92" s="31" t="str">
        <f aca="false">IF(AND(AH92&gt;0, AI92&gt;0), "Observed Flaky Test", "Non-observed Flaky Test")</f>
        <v>Non-observed Flaky Test</v>
      </c>
      <c r="AK92" s="81" t="n">
        <v>78420.38</v>
      </c>
      <c r="AL92" s="40" t="n">
        <v>12.4257633954455</v>
      </c>
      <c r="AM92" s="33" t="n">
        <f aca="false">IFERROR(AL92/AK92*100,"N/A")</f>
        <v>0.015845069094852</v>
      </c>
      <c r="AN92" s="32" t="n">
        <v>0</v>
      </c>
      <c r="AO92" s="32" t="n">
        <v>0</v>
      </c>
      <c r="AP92" s="35" t="str">
        <f aca="false">IFERROR(AO92/AN92*100,"N/A")</f>
        <v>N/A</v>
      </c>
      <c r="AQ92" s="52" t="str">
        <f aca="false">IF(AND(AH92&gt;0, AI92&gt;0),
    IF(ROUND(N(AK92),5)&lt;&gt;ROUND(N(AN92),5),
        IF(AND(ROUND(N(AL92),8)=0, ROUND(N(AO92),8)=0), "Group 1: Flaky | Passed (no variation: SD = 0) AND Failed (no variation: SD = 0) | Different Means",
        IF(AND(ROUND(N(AL92),8)&gt;0, ROUND(N(AO92),8)&gt;0), "Group 2: Flaky | Passed (with variation: SD &gt; 0) AND Failed (with variation: SD &gt; 0) | Different Means",
        IF(AND(ROUND(N(AL92),8)=0, ROUND(N(AO92),8)&gt;0), "Group 3: Flaky | Passed (no variation: SD = 0) AND Failed (with variation: SD &gt; 0) | Different Means",
        "Group 4: Flaky | Passed (with variation: SD &gt; 0) AND Failed (no variation: SD = 0) | Different Means"))),
        IF(AND(ROUND(N(AL92),8)=0, ROUND(N(AO92),8)=0), "Group 5: Flaky | Passed (no var SD = 0) AND Failed (no var SD = 0) | Equal Means",
        IF(AND(ROUND(N(AL92),8)&gt;0, ROUND(N(AO92),8)&gt;0), "Group 6: Flaky | Passed (with var SD &gt; 0 ) AND Failed (with var SD &gt; 0) | Equal Means",
        IF(AND(ROUND(N(AL92),8)=0, ROUND(N(AO92),8)&gt;0), "Group 7: Flaky | Passed (no var SD = 0) AND Failed (with var SD &gt; 0) | Equal Means",
        "Group 8: Flaky | Passed (with var SD &gt; 0 ) AND Failed (no var SD = 0) | Equal Means")))
    ),
    IF(AH92&gt;0,
        IF(N(AL92)&gt;0, "Group 10: Only Passed | With variation (with var SD &gt; 0)", "Group 9: Only Passed | Without variation (no var SD = 0)"),
        IF(AI92&gt;0,
            IF(N(AO92)&gt;0,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92" s="37" t="str">
        <f aca="false">IF(OR(F92="Observed Flaky Test", I92="Observed Flaky Test", S92="Observed Flaky Test", AJ92="Observed Flaky Test"), "Observed Flaky Test", "Non-observed Flaky Test")</f>
        <v>Non-observed Flaky Test</v>
      </c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</row>
    <row r="93" customFormat="false" ht="15.75" hidden="false" customHeight="true" outlineLevel="0" collapsed="false">
      <c r="A93" s="13"/>
      <c r="B93" s="14" t="s">
        <v>216</v>
      </c>
      <c r="C93" s="14" t="s">
        <v>217</v>
      </c>
      <c r="D93" s="15" t="n">
        <v>0</v>
      </c>
      <c r="E93" s="15" t="n">
        <v>100</v>
      </c>
      <c r="F93" s="16" t="str">
        <f aca="false">IF(AND(D93&gt;0, E93&gt;0), "Observed Flaky Test", "Non-observed Flaky Test")</f>
        <v>Non-observed Flaky Test</v>
      </c>
      <c r="G93" s="17" t="n">
        <v>0</v>
      </c>
      <c r="H93" s="17" t="n">
        <v>100</v>
      </c>
      <c r="I93" s="16" t="str">
        <f aca="false">IF(AND(G93&gt;0, H93&gt;0), "Observed Flaky Test", "Non-observed Flaky Test")</f>
        <v>Non-observed Flaky Test</v>
      </c>
      <c r="J93" s="18" t="n">
        <v>0</v>
      </c>
      <c r="K93" s="18" t="n">
        <v>0</v>
      </c>
      <c r="L93" s="19" t="str">
        <f aca="false">IFERROR(K93/J93*100,"N/A")</f>
        <v>N/A</v>
      </c>
      <c r="M93" s="18" t="n">
        <v>25.13</v>
      </c>
      <c r="N93" s="18" t="n">
        <v>0</v>
      </c>
      <c r="O93" s="20" t="n">
        <f aca="false">IFERROR(N93/M93*100,"N/A")</f>
        <v>0</v>
      </c>
      <c r="P93" s="21" t="str">
        <f aca="false">IF(AND(G93&gt;0, H93=0), IF(ROUND(K93,8)=0, "Group 9: Only Passed | Without variation (SD Passed = 0)", "Group 10: Only Passed | With variation (SD Passed &gt; 0)"), IF(AND(G93=0, H93&gt;0), IF(ROUND(N93,8)=0, "Group 11: Only Failed | Without variation (SD Failed = 0)", "Group 12: Only Failed | With variation (SD Failed &gt; 0)"), IF(AND(G93&gt;0, H93&gt;0), IF(ROUND(J93,5)&lt;&gt;ROUND(M93,5), IF(AND(ROUND(K93,8)=0, ROUND(N93,8)=0), "Group 1: Flaky | Passed (no variation) AND Failed (no variation) | Different Means", IF(AND(ROUND(K93,8)&gt;0, ROUND(N93,8)&gt;0), "Group 2: Flaky | Passed (with variation) AND Failed (with variation) | Different Means", IF(AND(ROUND(K93,8)=0, ROUND(N93,8)&gt;0), "Group 3: Flaky | Passed (no variation) AND Failed (with variation) | Different Means", "Group 4: Flaky | Passed (with variation) AND Failed (no variation) | Different Means"))), IF(AND(ROUND(K93,8)=0, ROUND(N93,8)=0), "Group 5: Flaky | Passed (no variation) AND Failed (no variation) | Equal Means", IF(AND(ROUND(K93,8)&gt;0, ROUND(N93,8)&gt;0), "Group 6: Flaky | Passed (with variation) AND Failed (with variation) | Equal Means", IF(AND(ROUND(K93,8)=0, ROUND(N93,8)&gt;0),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93" s="22" t="n">
        <v>0</v>
      </c>
      <c r="R93" s="22" t="n">
        <v>100</v>
      </c>
      <c r="S93" s="23" t="str">
        <f aca="false">IF(AND(Q93&gt;0, R93&gt;0), "Observed Flaky Test", "Non-observed Flaky Test")</f>
        <v>Non-observed Flaky Test</v>
      </c>
      <c r="T93" s="22" t="n">
        <v>0</v>
      </c>
      <c r="U93" s="22" t="n">
        <v>0</v>
      </c>
      <c r="V93" s="25" t="str">
        <f aca="false">IFERROR(U93/T93*100,"N/A")</f>
        <v>N/A</v>
      </c>
      <c r="W93" s="22" t="n">
        <v>1457882.07</v>
      </c>
      <c r="X93" s="26" t="n">
        <v>11.74498</v>
      </c>
      <c r="Y93" s="27" t="n">
        <f aca="false">IFERROR(X93/W93*100,"N/A")</f>
        <v>0.000805619346151915</v>
      </c>
      <c r="Z93" s="28" t="str">
        <f aca="false">IF(AND(Q93&gt;0, R93=0), IF(IFERROR(ROUND(V93,8),0)=0, "Group 9: Only Passed | Without variation (no var CV = 0)", "Group 10: Only Passed | With variation (with var CV &gt; 0)"), IF(AND(Q93=0, R93&gt;0), IF(IFERROR(ROUND(Y93,8),0)=0, "Group 11: Only Failed | Without variation (no var CV = 0)", "Group 12: Only Failed | With variation (with var CV &gt; 0)"), IF(AND(Q93&gt;0, R93&gt;0), IF(ROUND(T93,5)&lt;&gt;ROUND(W93,5), IF(AND(IFERROR(ROUND(V93,8),0)=0, IFERROR(ROUND(Y93,8),0)=0), "Group 1: Flaky | Passed (no variation: CV = 0) AND Failed (no variation: CV = 0) | Different Means", IF(AND(IFERROR(ROUND(V93,8),0)&gt;0, IFERROR(ROUND(Y93,8),0)&gt;0), "Group 2: Flaky | Passed (with variation: CV &gt; 0) AND Failed (with variation: CV &gt; 0) | Different Means", IF(AND(IFERROR(ROUND(V93,8),0)=0, IFERROR(ROUND(Y93,8),0)&gt;0), "Group 3: Flaky | Passed (no variation: CV = 0) AND Failed (with variation: CV &gt; 0) | Different Means", "Group 4: Flaky | Passed (with variation: CV &gt; 0) AND Failed (no variation: CV = 0) | Different Means"))), IF(AND(IFERROR(ROUND(V93,8),0)=0, IFERROR(ROUND(Y93,8),0)=0), "Group 5: Flaky | Passed (no var CV = 0) AND Failed (no var CV = 0) | Equal Means", IF(AND(IFERROR(ROUND(V93,8),0)&gt;0, IFERROR(ROUND(Y93,8),0)&gt;0), "Group 6: Flaky | Passed (with var CV &gt; 0) AND Failed (with var CV &gt; 0) | Equal Means", IF(AND(IFERROR(ROUND(V93,8),0)=0, IFERROR(ROUND(Y93,8),0)&gt;0),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93" s="29" t="n">
        <v>0</v>
      </c>
      <c r="AB93" s="29" t="n">
        <v>0</v>
      </c>
      <c r="AC93" s="29" t="str">
        <f aca="false">IFERROR(AB93/AA93*100,"N/A")</f>
        <v>N/A</v>
      </c>
      <c r="AD93" s="29" t="n">
        <v>0.745302</v>
      </c>
      <c r="AE93" s="29" t="n">
        <v>0.014873</v>
      </c>
      <c r="AF93" s="29" t="n">
        <f aca="false">IFERROR(AE93/AD93*100,"N/A")</f>
        <v>1.99556689771395</v>
      </c>
      <c r="AG93" s="30" t="str">
        <f aca="false">IF(AND(Q93&gt;0, R93=0), IF(IFERROR(ROUND(AC93,8),0)=0, "Group 9: Only Passed | Without variation (no var CV = 0)", "Group 10: Only Passed | With variation (with var CV &gt; 0)"), IF(AND(Q93=0, R93&gt;0), IF(IFERROR(ROUND(AF93,8),0)=0, "Group 11: Only Failed | Without variation (no var CV = 0)", "Group 12: Only Failed | With variation (with var CV &gt; 0)"), IF(AND(Q93&gt;0, R93&gt;0), IF(ROUND(AA93,5)&lt;&gt;ROUND(AD93,5), IF(AND(IFERROR(ROUND(AC93,8),0)=0, IFERROR(ROUND(AF93,8),0)=0), "Group 1: Flaky | Passed (no variation: CV = 0) AND Failed (no variation: CV = 0) | Different Means", IF(AND(IFERROR(ROUND(AC93,8),0)&gt;0, IFERROR(ROUND(AF93,8),0)&gt;0), "Group 2: Flaky | Passed (with variation: CV &gt; 0) AND Failed (with variation: CV &gt; 0) | Different Means", IF(AND(IFERROR(ROUND(AC93,8),0)=0, IFERROR(ROUND(AF93,8),0)&gt;0), "Group 3: Flaky | Passed (no variation: CV = 0) AND Failed (with variation: CV &gt; 0) | Different Means", "Group 4: Flaky | Passed (with variation: CV &gt; 0) AND Failed (no variation: CV = 0) | Different Means"))), IF(AND(IFERROR(ROUND(AC93,8),0)=0, IFERROR(ROUND(AF93,8),0)=0), "Group 5: Flaky | Passed (no var CV = 0) AND Failed (no var CV = 0) | Equal Means", IF(AND(IFERROR(ROUND(AC93,8),0)&gt;0, IFERROR(ROUND(AF93,8),0)&gt;0), "Group 6: Flaky | Passed (with var CV &gt; 0) AND Failed (with var CV &gt; 0) | Equal Means", IF(AND(IFERROR(ROUND(AC93,8),0)=0, IFERROR(ROUND(AF93,8),0)&gt;0),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93" s="22" t="n">
        <v>0</v>
      </c>
      <c r="AI93" s="17" t="n">
        <v>100</v>
      </c>
      <c r="AJ93" s="31" t="str">
        <f aca="false">IF(AND(AH93&gt;0, AI93&gt;0), "Observed Flaky Test", "Non-observed Flaky Test")</f>
        <v>Non-observed Flaky Test</v>
      </c>
      <c r="AK93" s="32" t="n">
        <v>0</v>
      </c>
      <c r="AL93" s="32" t="n">
        <v>0</v>
      </c>
      <c r="AM93" s="33" t="str">
        <f aca="false">IFERROR(AL93/AK93*100,"N/A")</f>
        <v>N/A</v>
      </c>
      <c r="AN93" s="32" t="n">
        <v>29038</v>
      </c>
      <c r="AO93" s="32" t="n">
        <v>0</v>
      </c>
      <c r="AP93" s="35" t="n">
        <f aca="false">IFERROR(AO93/AN93*100,"N/A")</f>
        <v>0</v>
      </c>
      <c r="AQ93" s="73" t="str">
        <f aca="false">IF(AND(AH93&gt;0, AI93&gt;0),
    IF(ROUND(N(AK93),5)&lt;&gt;ROUND(N(AN93),5),
        IF(AND(ROUND(N(AL93),8)=0, ROUND(N(AO93),8)=0), "Group 1: Flaky | Passed (no variation: SD = 0) AND Failed (no variation: SD = 0) | Different Means",
        IF(AND(ROUND(N(AL93),8)&gt;0, ROUND(N(AO93),8)&gt;0), "Group 2: Flaky | Passed (with variation: SD &gt; 0) AND Failed (with variation: SD &gt; 0) | Different Means",
        IF(AND(ROUND(N(AL93),8)=0, ROUND(N(AO93),8)&gt;0), "Group 3: Flaky | Passed (no variation: SD = 0) AND Failed (with variation: SD &gt; 0) | Different Means",
        "Group 4: Flaky | Passed (with variation: SD &gt; 0) AND Failed (no variation: SD = 0) | Different Means"))),
        IF(AND(ROUND(N(AL93),8)=0, ROUND(N(AO93),8)=0), "Group 5: Flaky | Passed (no var SD = 0) AND Failed (no var SD = 0) | Equal Means",
        IF(AND(ROUND(N(AL93),8)&gt;0, ROUND(N(AO93),8)&gt;0), "Group 6: Flaky | Passed (with var SD &gt; 0 ) AND Failed (with var SD &gt; 0) | Equal Means",
        IF(AND(ROUND(N(AL93),8)=0, ROUND(N(AO93),8)&gt;0), "Group 7: Flaky | Passed (no var SD = 0) AND Failed (with var SD &gt; 0) | Equal Means",
        "Group 8: Flaky | Passed (with var SD &gt; 0 ) AND Failed (no var SD = 0) | Equal Means")))
    ),
    IF(AH93&gt;0,
        IF(N(AL93)&gt;0, "Group 10: Only Passed | With variation (with var SD &gt; 0)", "Group 9: Only Passed | Without variation (no var SD = 0)"),
        IF(AI93&gt;0,
            IF(N(AO93)&gt;0,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93" s="37" t="str">
        <f aca="false">IF(OR(F93="Observed Flaky Test", I93="Observed Flaky Test", S93="Observed Flaky Test", AJ93="Observed Flaky Test"), "Observed Flaky Test", "Non-observed Flaky Test")</f>
        <v>Non-observed Flaky Test</v>
      </c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customFormat="false" ht="15.75" hidden="false" customHeight="true" outlineLevel="0" collapsed="false">
      <c r="A94" s="13"/>
      <c r="B94" s="14" t="s">
        <v>218</v>
      </c>
      <c r="C94" s="14" t="s">
        <v>219</v>
      </c>
      <c r="D94" s="15" t="n">
        <v>0</v>
      </c>
      <c r="E94" s="15" t="n">
        <v>100</v>
      </c>
      <c r="F94" s="16" t="str">
        <f aca="false">IF(AND(D94&gt;0, E94&gt;0), "Observed Flaky Test", "Non-observed Flaky Test")</f>
        <v>Non-observed Flaky Test</v>
      </c>
      <c r="G94" s="17" t="n">
        <v>100</v>
      </c>
      <c r="H94" s="17" t="n">
        <v>0</v>
      </c>
      <c r="I94" s="16" t="str">
        <f aca="false">IF(AND(G94&gt;0, H94&gt;0), "Observed Flaky Test", "Non-observed Flaky Test")</f>
        <v>Non-observed Flaky Test</v>
      </c>
      <c r="J94" s="18" t="n">
        <v>24.5</v>
      </c>
      <c r="K94" s="18" t="n">
        <v>0</v>
      </c>
      <c r="L94" s="19" t="n">
        <f aca="false">IFERROR(K94/J94*100,"N/A")</f>
        <v>0</v>
      </c>
      <c r="M94" s="18" t="n">
        <v>0</v>
      </c>
      <c r="N94" s="18" t="n">
        <v>0</v>
      </c>
      <c r="O94" s="20" t="str">
        <f aca="false">IFERROR(N94/M94*100,"N/A")</f>
        <v>N/A</v>
      </c>
      <c r="P94" s="56" t="str">
        <f aca="false">IF(AND(G94&gt;0, H94=0), IF(ROUND(K94,8)=0, "Group 9: Only Passed | Without variation (SD Passed = 0)", "Group 10: Only Passed | With variation (SD Passed &gt; 0)"), IF(AND(G94=0, H94&gt;0), IF(ROUND(N94,8)=0, "Group 11: Only Failed | Without variation (SD Failed = 0)", "Group 12: Only Failed | With variation (SD Failed &gt; 0)"), IF(AND(G94&gt;0, H94&gt;0), IF(ROUND(J94,5)&lt;&gt;ROUND(M94,5), IF(AND(ROUND(K94,8)=0, ROUND(N94,8)=0), "Group 1: Flaky | Passed (no variation) AND Failed (no variation) | Different Means", IF(AND(ROUND(K94,8)&gt;0, ROUND(N94,8)&gt;0), "Group 2: Flaky | Passed (with variation) AND Failed (with variation) | Different Means", IF(AND(ROUND(K94,8)=0, ROUND(N94,8)&gt;0), "Group 3: Flaky | Passed (no variation) AND Failed (with variation) | Different Means", "Group 4: Flaky | Passed (with variation) AND Failed (no variation) | Different Means"))), IF(AND(ROUND(K94,8)=0, ROUND(N94,8)=0), "Group 5: Flaky | Passed (no variation) AND Failed (no variation) | Equal Means", IF(AND(ROUND(K94,8)&gt;0, ROUND(N94,8)&gt;0), "Group 6: Flaky | Passed (with variation) AND Failed (with variation) | Equal Means", IF(AND(ROUND(K94,8)=0, ROUND(N94,8)&gt;0),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4" s="22" t="n">
        <v>100</v>
      </c>
      <c r="R94" s="22" t="n">
        <v>0</v>
      </c>
      <c r="S94" s="23" t="str">
        <f aca="false">IF(AND(Q94&gt;0, R94&gt;0), "Observed Flaky Test", "Non-observed Flaky Test")</f>
        <v>Non-observed Flaky Test</v>
      </c>
      <c r="T94" s="22" t="n">
        <v>1049910.19</v>
      </c>
      <c r="U94" s="24" t="n">
        <v>12.234819</v>
      </c>
      <c r="V94" s="25" t="n">
        <f aca="false">IFERROR(U94/T94*100,"N/A")</f>
        <v>0.00116532053089227</v>
      </c>
      <c r="W94" s="22" t="n">
        <v>0</v>
      </c>
      <c r="X94" s="22" t="n">
        <v>0</v>
      </c>
      <c r="Y94" s="27" t="str">
        <f aca="false">IFERROR(X94/W94*100,"N/A")</f>
        <v>N/A</v>
      </c>
      <c r="Z94" s="50" t="str">
        <f aca="false">IF(AND(Q94&gt;0, R94=0), IF(IFERROR(ROUND(V94,8),0)=0, "Group 9: Only Passed | Without variation (no var CV = 0)", "Group 10: Only Passed | With variation (with var CV &gt; 0)"), IF(AND(Q94=0, R94&gt;0), IF(IFERROR(ROUND(Y94,8),0)=0, "Group 11: Only Failed | Without variation (no var CV = 0)", "Group 12: Only Failed | With variation (with var CV &gt; 0)"), IF(AND(Q94&gt;0, R94&gt;0), IF(ROUND(T94,5)&lt;&gt;ROUND(W94,5), IF(AND(IFERROR(ROUND(V94,8),0)=0, IFERROR(ROUND(Y94,8),0)=0), "Group 1: Flaky | Passed (no variation: CV = 0) AND Failed (no variation: CV = 0) | Different Means", IF(AND(IFERROR(ROUND(V94,8),0)&gt;0, IFERROR(ROUND(Y94,8),0)&gt;0), "Group 2: Flaky | Passed (with variation: CV &gt; 0) AND Failed (with variation: CV &gt; 0) | Different Means", IF(AND(IFERROR(ROUND(V94,8),0)=0, IFERROR(ROUND(Y94,8),0)&gt;0), "Group 3: Flaky | Passed (no variation: CV = 0) AND Failed (with variation: CV &gt; 0) | Different Means", "Group 4: Flaky | Passed (with variation: CV &gt; 0) AND Failed (no variation: CV = 0) | Different Means"))), IF(AND(IFERROR(ROUND(V94,8),0)=0, IFERROR(ROUND(Y94,8),0)=0), "Group 5: Flaky | Passed (no var CV = 0) AND Failed (no var CV = 0) | Equal Means", IF(AND(IFERROR(ROUND(V94,8),0)&gt;0, IFERROR(ROUND(Y94,8),0)&gt;0), "Group 6: Flaky | Passed (with var CV &gt; 0) AND Failed (with var CV &gt; 0) | Equal Means", IF(AND(IFERROR(ROUND(V94,8),0)=0, IFERROR(ROUND(Y94,8),0)&gt;0),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4" s="29" t="n">
        <v>0.640851</v>
      </c>
      <c r="AB94" s="29" t="n">
        <v>0.024122</v>
      </c>
      <c r="AC94" s="29" t="n">
        <f aca="false">IFERROR(AB94/AA94*100,"N/A")</f>
        <v>3.7640574798198</v>
      </c>
      <c r="AD94" s="29" t="n">
        <v>0</v>
      </c>
      <c r="AE94" s="29" t="n">
        <v>0</v>
      </c>
      <c r="AF94" s="29" t="str">
        <f aca="false">IFERROR(AE94/AD94*100,"N/A")</f>
        <v>N/A</v>
      </c>
      <c r="AG94" s="51" t="str">
        <f aca="false">IF(AND(Q94&gt;0, R94=0), IF(IFERROR(ROUND(AC94,8),0)=0, "Group 9: Only Passed | Without variation (no var CV = 0)", "Group 10: Only Passed | With variation (with var CV &gt; 0)"), IF(AND(Q94=0, R94&gt;0), IF(IFERROR(ROUND(AF94,8),0)=0, "Group 11: Only Failed | Without variation (no var CV = 0)", "Group 12: Only Failed | With variation (with var CV &gt; 0)"), IF(AND(Q94&gt;0, R94&gt;0), IF(ROUND(AA94,5)&lt;&gt;ROUND(AD94,5), IF(AND(IFERROR(ROUND(AC94,8),0)=0, IFERROR(ROUND(AF94,8),0)=0), "Group 1: Flaky | Passed (no variation: CV = 0) AND Failed (no variation: CV = 0) | Different Means", IF(AND(IFERROR(ROUND(AC94,8),0)&gt;0, IFERROR(ROUND(AF94,8),0)&gt;0), "Group 2: Flaky | Passed (with variation: CV &gt; 0) AND Failed (with variation: CV &gt; 0) | Different Means", IF(AND(IFERROR(ROUND(AC94,8),0)=0, IFERROR(ROUND(AF94,8),0)&gt;0), "Group 3: Flaky | Passed (no variation: CV = 0) AND Failed (with variation: CV &gt; 0) | Different Means", "Group 4: Flaky | Passed (with variation: CV &gt; 0) AND Failed (no variation: CV = 0) | Different Means"))), IF(AND(IFERROR(ROUND(AC94,8),0)=0, IFERROR(ROUND(AF94,8),0)=0), "Group 5: Flaky | Passed (no var CV = 0) AND Failed (no var CV = 0) | Equal Means", IF(AND(IFERROR(ROUND(AC94,8),0)&gt;0, IFERROR(ROUND(AF94,8),0)&gt;0), "Group 6: Flaky | Passed (with var CV &gt; 0) AND Failed (with var CV &gt; 0) | Equal Means", IF(AND(IFERROR(ROUND(AC94,8),0)=0, IFERROR(ROUND(AF94,8),0)&gt;0),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4" s="22" t="n">
        <v>100</v>
      </c>
      <c r="AI94" s="17" t="n">
        <v>0</v>
      </c>
      <c r="AJ94" s="31" t="str">
        <f aca="false">IF(AND(AH94&gt;0, AI94&gt;0), "Observed Flaky Test", "Non-observed Flaky Test")</f>
        <v>Non-observed Flaky Test</v>
      </c>
      <c r="AK94" s="32" t="n">
        <v>29006</v>
      </c>
      <c r="AL94" s="32" t="n">
        <v>0</v>
      </c>
      <c r="AM94" s="33" t="n">
        <f aca="false">IFERROR(AL94/AK94*100,"N/A")</f>
        <v>0</v>
      </c>
      <c r="AN94" s="32" t="n">
        <v>0</v>
      </c>
      <c r="AO94" s="32" t="n">
        <v>0</v>
      </c>
      <c r="AP94" s="35" t="str">
        <f aca="false">IFERROR(AO94/AN94*100,"N/A")</f>
        <v>N/A</v>
      </c>
      <c r="AQ94" s="45" t="str">
        <f aca="false">IF(AND(AH94&gt;0, AI94&gt;0),
    IF(ROUND(N(AK94),5)&lt;&gt;ROUND(N(AN94),5),
        IF(AND(ROUND(N(AL94),8)=0, ROUND(N(AO94),8)=0), "Group 1: Flaky | Passed (no variation: SD = 0) AND Failed (no variation: SD = 0) | Different Means",
        IF(AND(ROUND(N(AL94),8)&gt;0, ROUND(N(AO94),8)&gt;0), "Group 2: Flaky | Passed (with variation: SD &gt; 0) AND Failed (with variation: SD &gt; 0) | Different Means",
        IF(AND(ROUND(N(AL94),8)=0, ROUND(N(AO94),8)&gt;0), "Group 3: Flaky | Passed (no variation: SD = 0) AND Failed (with variation: SD &gt; 0) | Different Means",
        "Group 4: Flaky | Passed (with variation: SD &gt; 0) AND Failed (no variation: SD = 0) | Different Means"))),
        IF(AND(ROUND(N(AL94),8)=0, ROUND(N(AO94),8)=0), "Group 5: Flaky | Passed (no var SD = 0) AND Failed (no var SD = 0) | Equal Means",
        IF(AND(ROUND(N(AL94),8)&gt;0, ROUND(N(AO94),8)&gt;0), "Group 6: Flaky | Passed (with var SD &gt; 0 ) AND Failed (with var SD &gt; 0) | Equal Means",
        IF(AND(ROUND(N(AL94),8)=0, ROUND(N(AO94),8)&gt;0), "Group 7: Flaky | Passed (no var SD = 0) AND Failed (with var SD &gt; 0) | Equal Means",
        "Group 8: Flaky | Passed (with var SD &gt; 0 ) AND Failed (no var SD = 0) | Equal Means")))
    ),
    IF(AH94&gt;0,
        IF(N(AL94)&gt;0, "Group 10: Only Passed | With variation (with var SD &gt; 0)", "Group 9: Only Passed | Without variation (no var SD = 0)"),
        IF(AI94&gt;0,
            IF(N(AO94)&gt;0,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94" s="37" t="str">
        <f aca="false">IF(OR(F94="Observed Flaky Test", I94="Observed Flaky Test", S94="Observed Flaky Test", AJ94="Observed Flaky Test"), "Observed Flaky Test", "Non-observed Flaky Test")</f>
        <v>Non-observed Flaky Test</v>
      </c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</row>
    <row r="95" customFormat="false" ht="15.75" hidden="false" customHeight="true" outlineLevel="0" collapsed="false">
      <c r="A95" s="13"/>
      <c r="B95" s="14" t="s">
        <v>220</v>
      </c>
      <c r="C95" s="14" t="s">
        <v>221</v>
      </c>
      <c r="D95" s="15" t="n">
        <v>0</v>
      </c>
      <c r="E95" s="15" t="n">
        <v>100</v>
      </c>
      <c r="F95" s="16" t="str">
        <f aca="false">IF(AND(D95&gt;0, E95&gt;0), "Observed Flaky Test", "Non-observed Flaky Test")</f>
        <v>Non-observed Flaky Test</v>
      </c>
      <c r="G95" s="17" t="n">
        <v>0</v>
      </c>
      <c r="H95" s="17" t="n">
        <v>100</v>
      </c>
      <c r="I95" s="16" t="str">
        <f aca="false">IF(AND(G95&gt;0, H95&gt;0), "Observed Flaky Test", "Non-observed Flaky Test")</f>
        <v>Non-observed Flaky Test</v>
      </c>
      <c r="J95" s="18" t="n">
        <v>0</v>
      </c>
      <c r="K95" s="18" t="n">
        <v>0</v>
      </c>
      <c r="L95" s="19" t="str">
        <f aca="false">IFERROR(K95/J95*100,"N/A")</f>
        <v>N/A</v>
      </c>
      <c r="M95" s="18" t="n">
        <v>25.13</v>
      </c>
      <c r="N95" s="18" t="n">
        <v>0</v>
      </c>
      <c r="O95" s="20" t="n">
        <f aca="false">IFERROR(N95/M95*100,"N/A")</f>
        <v>0</v>
      </c>
      <c r="P95" s="21" t="str">
        <f aca="false">IF(AND(G95&gt;0, H95=0), IF(ROUND(K95,8)=0, "Group 9: Only Passed | Without variation (SD Passed = 0)", "Group 10: Only Passed | With variation (SD Passed &gt; 0)"), IF(AND(G95=0, H95&gt;0), IF(ROUND(N95,8)=0, "Group 11: Only Failed | Without variation (SD Failed = 0)", "Group 12: Only Failed | With variation (SD Failed &gt; 0)"), IF(AND(G95&gt;0, H95&gt;0), IF(ROUND(J95,5)&lt;&gt;ROUND(M95,5), IF(AND(ROUND(K95,8)=0, ROUND(N95,8)=0), "Group 1: Flaky | Passed (no variation) AND Failed (no variation) | Different Means", IF(AND(ROUND(K95,8)&gt;0, ROUND(N95,8)&gt;0), "Group 2: Flaky | Passed (with variation) AND Failed (with variation) | Different Means", IF(AND(ROUND(K95,8)=0, ROUND(N95,8)&gt;0), "Group 3: Flaky | Passed (no variation) AND Failed (with variation) | Different Means", "Group 4: Flaky | Passed (with variation) AND Failed (no variation) | Different Means"))), IF(AND(ROUND(K95,8)=0, ROUND(N95,8)=0), "Group 5: Flaky | Passed (no variation) AND Failed (no variation) | Equal Means", IF(AND(ROUND(K95,8)&gt;0, ROUND(N95,8)&gt;0), "Group 6: Flaky | Passed (with variation) AND Failed (with variation) | Equal Means", IF(AND(ROUND(K95,8)=0, ROUND(N95,8)&gt;0),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95" s="22" t="n">
        <v>0</v>
      </c>
      <c r="R95" s="22" t="n">
        <v>100</v>
      </c>
      <c r="S95" s="23" t="str">
        <f aca="false">IF(AND(Q95&gt;0, R95&gt;0), "Observed Flaky Test", "Non-observed Flaky Test")</f>
        <v>Non-observed Flaky Test</v>
      </c>
      <c r="T95" s="22" t="n">
        <v>0</v>
      </c>
      <c r="U95" s="22" t="n">
        <v>0</v>
      </c>
      <c r="V95" s="25" t="str">
        <f aca="false">IFERROR(U95/T95*100,"N/A")</f>
        <v>N/A</v>
      </c>
      <c r="W95" s="22" t="n">
        <v>1630891.52</v>
      </c>
      <c r="X95" s="26" t="n">
        <v>12.55974</v>
      </c>
      <c r="Y95" s="27" t="n">
        <f aca="false">IFERROR(X95/W95*100,"N/A")</f>
        <v>0.000770114985943394</v>
      </c>
      <c r="Z95" s="28" t="str">
        <f aca="false">IF(AND(Q95&gt;0, R95=0), IF(IFERROR(ROUND(V95,8),0)=0, "Group 9: Only Passed | Without variation (no var CV = 0)", "Group 10: Only Passed | With variation (with var CV &gt; 0)"), IF(AND(Q95=0, R95&gt;0), IF(IFERROR(ROUND(Y95,8),0)=0, "Group 11: Only Failed | Without variation (no var CV = 0)", "Group 12: Only Failed | With variation (with var CV &gt; 0)"), IF(AND(Q95&gt;0, R95&gt;0), IF(ROUND(T95,5)&lt;&gt;ROUND(W95,5), IF(AND(IFERROR(ROUND(V95,8),0)=0, IFERROR(ROUND(Y95,8),0)=0), "Group 1: Flaky | Passed (no variation: CV = 0) AND Failed (no variation: CV = 0) | Different Means", IF(AND(IFERROR(ROUND(V95,8),0)&gt;0, IFERROR(ROUND(Y95,8),0)&gt;0), "Group 2: Flaky | Passed (with variation: CV &gt; 0) AND Failed (with variation: CV &gt; 0) | Different Means", IF(AND(IFERROR(ROUND(V95,8),0)=0, IFERROR(ROUND(Y95,8),0)&gt;0), "Group 3: Flaky | Passed (no variation: CV = 0) AND Failed (with variation: CV &gt; 0) | Different Means", "Group 4: Flaky | Passed (with variation: CV &gt; 0) AND Failed (no variation: CV = 0) | Different Means"))), IF(AND(IFERROR(ROUND(V95,8),0)=0, IFERROR(ROUND(Y95,8),0)=0), "Group 5: Flaky | Passed (no var CV = 0) AND Failed (no var CV = 0) | Equal Means", IF(AND(IFERROR(ROUND(V95,8),0)&gt;0, IFERROR(ROUND(Y95,8),0)&gt;0), "Group 6: Flaky | Passed (with var CV &gt; 0) AND Failed (with var CV &gt; 0) | Equal Means", IF(AND(IFERROR(ROUND(V95,8),0)=0, IFERROR(ROUND(Y95,8),0)&gt;0),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95" s="29" t="n">
        <v>0</v>
      </c>
      <c r="AB95" s="29" t="n">
        <v>0</v>
      </c>
      <c r="AC95" s="29" t="str">
        <f aca="false">IFERROR(AB95/AA95*100,"N/A")</f>
        <v>N/A</v>
      </c>
      <c r="AD95" s="29" t="n">
        <v>0.827891</v>
      </c>
      <c r="AE95" s="29" t="n">
        <v>0.017556</v>
      </c>
      <c r="AF95" s="29" t="n">
        <f aca="false">IFERROR(AE95/AD95*100,"N/A")</f>
        <v>2.12056901210425</v>
      </c>
      <c r="AG95" s="30" t="str">
        <f aca="false">IF(AND(Q95&gt;0, R95=0), IF(IFERROR(ROUND(AC95,8),0)=0, "Group 9: Only Passed | Without variation (no var CV = 0)", "Group 10: Only Passed | With variation (with var CV &gt; 0)"), IF(AND(Q95=0, R95&gt;0), IF(IFERROR(ROUND(AF95,8),0)=0, "Group 11: Only Failed | Without variation (no var CV = 0)", "Group 12: Only Failed | With variation (with var CV &gt; 0)"), IF(AND(Q95&gt;0, R95&gt;0), IF(ROUND(AA95,5)&lt;&gt;ROUND(AD95,5), IF(AND(IFERROR(ROUND(AC95,8),0)=0, IFERROR(ROUND(AF95,8),0)=0), "Group 1: Flaky | Passed (no variation: CV = 0) AND Failed (no variation: CV = 0) | Different Means", IF(AND(IFERROR(ROUND(AC95,8),0)&gt;0, IFERROR(ROUND(AF95,8),0)&gt;0), "Group 2: Flaky | Passed (with variation: CV &gt; 0) AND Failed (with variation: CV &gt; 0) | Different Means", IF(AND(IFERROR(ROUND(AC95,8),0)=0, IFERROR(ROUND(AF95,8),0)&gt;0), "Group 3: Flaky | Passed (no variation: CV = 0) AND Failed (with variation: CV &gt; 0) | Different Means", "Group 4: Flaky | Passed (with variation: CV &gt; 0) AND Failed (no variation: CV = 0) | Different Means"))), IF(AND(IFERROR(ROUND(AC95,8),0)=0, IFERROR(ROUND(AF95,8),0)=0), "Group 5: Flaky | Passed (no var CV = 0) AND Failed (no var CV = 0) | Equal Means", IF(AND(IFERROR(ROUND(AC95,8),0)&gt;0, IFERROR(ROUND(AF95,8),0)&gt;0), "Group 6: Flaky | Passed (with var CV &gt; 0) AND Failed (with var CV &gt; 0) | Equal Means", IF(AND(IFERROR(ROUND(AC95,8),0)=0, IFERROR(ROUND(AF95,8),0)&gt;0),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95" s="22" t="n">
        <v>0</v>
      </c>
      <c r="AI95" s="17" t="n">
        <v>100</v>
      </c>
      <c r="AJ95" s="31" t="str">
        <f aca="false">IF(AND(AH95&gt;0, AI95&gt;0), "Observed Flaky Test", "Non-observed Flaky Test")</f>
        <v>Non-observed Flaky Test</v>
      </c>
      <c r="AK95" s="32" t="n">
        <v>0</v>
      </c>
      <c r="AL95" s="32" t="n">
        <v>0</v>
      </c>
      <c r="AM95" s="33" t="str">
        <f aca="false">IFERROR(AL95/AK95*100,"N/A")</f>
        <v>N/A</v>
      </c>
      <c r="AN95" s="32" t="n">
        <v>29018</v>
      </c>
      <c r="AO95" s="32" t="n">
        <v>0</v>
      </c>
      <c r="AP95" s="35" t="n">
        <f aca="false">IFERROR(AO95/AN95*100,"N/A")</f>
        <v>0</v>
      </c>
      <c r="AQ95" s="73" t="str">
        <f aca="false">IF(AND(AH95&gt;0, AI95&gt;0),
    IF(ROUND(N(AK95),5)&lt;&gt;ROUND(N(AN95),5),
        IF(AND(ROUND(N(AL95),8)=0, ROUND(N(AO95),8)=0), "Group 1: Flaky | Passed (no variation: SD = 0) AND Failed (no variation: SD = 0) | Different Means",
        IF(AND(ROUND(N(AL95),8)&gt;0, ROUND(N(AO95),8)&gt;0), "Group 2: Flaky | Passed (with variation: SD &gt; 0) AND Failed (with variation: SD &gt; 0) | Different Means",
        IF(AND(ROUND(N(AL95),8)=0, ROUND(N(AO95),8)&gt;0), "Group 3: Flaky | Passed (no variation: SD = 0) AND Failed (with variation: SD &gt; 0) | Different Means",
        "Group 4: Flaky | Passed (with variation: SD &gt; 0) AND Failed (no variation: SD = 0) | Different Means"))),
        IF(AND(ROUND(N(AL95),8)=0, ROUND(N(AO95),8)=0), "Group 5: Flaky | Passed (no var SD = 0) AND Failed (no var SD = 0) | Equal Means",
        IF(AND(ROUND(N(AL95),8)&gt;0, ROUND(N(AO95),8)&gt;0), "Group 6: Flaky | Passed (with var SD &gt; 0 ) AND Failed (with var SD &gt; 0) | Equal Means",
        IF(AND(ROUND(N(AL95),8)=0, ROUND(N(AO95),8)&gt;0), "Group 7: Flaky | Passed (no var SD = 0) AND Failed (with var SD &gt; 0) | Equal Means",
        "Group 8: Flaky | Passed (with var SD &gt; 0 ) AND Failed (no var SD = 0) | Equal Means")))
    ),
    IF(AH95&gt;0,
        IF(N(AL95)&gt;0, "Group 10: Only Passed | With variation (with var SD &gt; 0)", "Group 9: Only Passed | Without variation (no var SD = 0)"),
        IF(AI95&gt;0,
            IF(N(AO95)&gt;0,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95" s="37" t="str">
        <f aca="false">IF(OR(F95="Observed Flaky Test", I95="Observed Flaky Test", S95="Observed Flaky Test", AJ95="Observed Flaky Test"), "Observed Flaky Test", "Non-observed Flaky Test")</f>
        <v>Non-observed Flaky Test</v>
      </c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</row>
    <row r="96" customFormat="false" ht="15.75" hidden="false" customHeight="true" outlineLevel="0" collapsed="false">
      <c r="A96" s="13"/>
      <c r="B96" s="14" t="s">
        <v>222</v>
      </c>
      <c r="C96" s="14" t="s">
        <v>223</v>
      </c>
      <c r="D96" s="15" t="n">
        <v>0</v>
      </c>
      <c r="E96" s="15" t="n">
        <v>100</v>
      </c>
      <c r="F96" s="16" t="str">
        <f aca="false">IF(AND(D96&gt;0, E96&gt;0), "Observed Flaky Test", "Non-observed Flaky Test")</f>
        <v>Non-observed Flaky Test</v>
      </c>
      <c r="G96" s="17" t="n">
        <v>100</v>
      </c>
      <c r="H96" s="17" t="n">
        <v>0</v>
      </c>
      <c r="I96" s="16" t="str">
        <f aca="false">IF(AND(G96&gt;0, H96&gt;0), "Observed Flaky Test", "Non-observed Flaky Test")</f>
        <v>Non-observed Flaky Test</v>
      </c>
      <c r="J96" s="18" t="n">
        <v>24.65</v>
      </c>
      <c r="K96" s="18" t="n">
        <v>0</v>
      </c>
      <c r="L96" s="19" t="n">
        <f aca="false">IFERROR(K96/J96*100,"N/A")</f>
        <v>0</v>
      </c>
      <c r="M96" s="18" t="n">
        <v>0</v>
      </c>
      <c r="N96" s="18" t="n">
        <v>0</v>
      </c>
      <c r="O96" s="20" t="str">
        <f aca="false">IFERROR(N96/M96*100,"N/A")</f>
        <v>N/A</v>
      </c>
      <c r="P96" s="56" t="str">
        <f aca="false">IF(AND(G96&gt;0, H96=0), IF(ROUND(K96,8)=0, "Group 9: Only Passed | Without variation (SD Passed = 0)", "Group 10: Only Passed | With variation (SD Passed &gt; 0)"), IF(AND(G96=0, H96&gt;0), IF(ROUND(N96,8)=0, "Group 11: Only Failed | Without variation (SD Failed = 0)", "Group 12: Only Failed | With variation (SD Failed &gt; 0)"), IF(AND(G96&gt;0, H96&gt;0), IF(ROUND(J96,5)&lt;&gt;ROUND(M96,5), IF(AND(ROUND(K96,8)=0, ROUND(N96,8)=0), "Group 1: Flaky | Passed (no variation) AND Failed (no variation) | Different Means", IF(AND(ROUND(K96,8)&gt;0, ROUND(N96,8)&gt;0), "Group 2: Flaky | Passed (with variation) AND Failed (with variation) | Different Means", IF(AND(ROUND(K96,8)=0, ROUND(N96,8)&gt;0), "Group 3: Flaky | Passed (no variation) AND Failed (with variation) | Different Means", "Group 4: Flaky | Passed (with variation) AND Failed (no variation) | Different Means"))), IF(AND(ROUND(K96,8)=0, ROUND(N96,8)=0), "Group 5: Flaky | Passed (no variation) AND Failed (no variation) | Equal Means", IF(AND(ROUND(K96,8)&gt;0, ROUND(N96,8)&gt;0), "Group 6: Flaky | Passed (with variation) AND Failed (with variation) | Equal Means", IF(AND(ROUND(K96,8)=0, ROUND(N96,8)&gt;0),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6" s="22" t="n">
        <v>100</v>
      </c>
      <c r="R96" s="22" t="n">
        <v>0</v>
      </c>
      <c r="S96" s="23" t="str">
        <f aca="false">IF(AND(Q96&gt;0, R96&gt;0), "Observed Flaky Test", "Non-observed Flaky Test")</f>
        <v>Non-observed Flaky Test</v>
      </c>
      <c r="T96" s="22" t="n">
        <v>1050049.49</v>
      </c>
      <c r="U96" s="24" t="n">
        <v>12.060031</v>
      </c>
      <c r="V96" s="25" t="n">
        <f aca="false">IFERROR(U96/T96*100,"N/A")</f>
        <v>0.00114852024736472</v>
      </c>
      <c r="W96" s="22" t="n">
        <v>0</v>
      </c>
      <c r="X96" s="22" t="n">
        <v>0</v>
      </c>
      <c r="Y96" s="27" t="str">
        <f aca="false">IFERROR(X96/W96*100,"N/A")</f>
        <v>N/A</v>
      </c>
      <c r="Z96" s="50" t="str">
        <f aca="false">IF(AND(Q96&gt;0, R96=0), IF(IFERROR(ROUND(V96,8),0)=0, "Group 9: Only Passed | Without variation (no var CV = 0)", "Group 10: Only Passed | With variation (with var CV &gt; 0)"), IF(AND(Q96=0, R96&gt;0), IF(IFERROR(ROUND(Y96,8),0)=0, "Group 11: Only Failed | Without variation (no var CV = 0)", "Group 12: Only Failed | With variation (with var CV &gt; 0)"), IF(AND(Q96&gt;0, R96&gt;0), IF(ROUND(T96,5)&lt;&gt;ROUND(W96,5), IF(AND(IFERROR(ROUND(V96,8),0)=0, IFERROR(ROUND(Y96,8),0)=0), "Group 1: Flaky | Passed (no variation: CV = 0) AND Failed (no variation: CV = 0) | Different Means", IF(AND(IFERROR(ROUND(V96,8),0)&gt;0, IFERROR(ROUND(Y96,8),0)&gt;0), "Group 2: Flaky | Passed (with variation: CV &gt; 0) AND Failed (with variation: CV &gt; 0) | Different Means", IF(AND(IFERROR(ROUND(V96,8),0)=0, IFERROR(ROUND(Y96,8),0)&gt;0), "Group 3: Flaky | Passed (no variation: CV = 0) AND Failed (with variation: CV &gt; 0) | Different Means", "Group 4: Flaky | Passed (with variation: CV &gt; 0) AND Failed (no variation: CV = 0) | Different Means"))), IF(AND(IFERROR(ROUND(V96,8),0)=0, IFERROR(ROUND(Y96,8),0)=0), "Group 5: Flaky | Passed (no var CV = 0) AND Failed (no var CV = 0) | Equal Means", IF(AND(IFERROR(ROUND(V96,8),0)&gt;0, IFERROR(ROUND(Y96,8),0)&gt;0), "Group 6: Flaky | Passed (with var CV &gt; 0) AND Failed (with var CV &gt; 0) | Equal Means", IF(AND(IFERROR(ROUND(V96,8),0)=0, IFERROR(ROUND(Y96,8),0)&gt;0),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6" s="29" t="n">
        <v>0.641707</v>
      </c>
      <c r="AB96" s="29" t="n">
        <v>0.026461</v>
      </c>
      <c r="AC96" s="29" t="n">
        <f aca="false">IFERROR(AB96/AA96*100,"N/A")</f>
        <v>4.12353301428845</v>
      </c>
      <c r="AD96" s="29" t="n">
        <v>0</v>
      </c>
      <c r="AE96" s="29" t="n">
        <v>0</v>
      </c>
      <c r="AF96" s="29" t="str">
        <f aca="false">IFERROR(AE96/AD96*100,"N/A")</f>
        <v>N/A</v>
      </c>
      <c r="AG96" s="51" t="str">
        <f aca="false">IF(AND(Q96&gt;0, R96=0), IF(IFERROR(ROUND(AC96,8),0)=0, "Group 9: Only Passed | Without variation (no var CV = 0)", "Group 10: Only Passed | With variation (with var CV &gt; 0)"), IF(AND(Q96=0, R96&gt;0), IF(IFERROR(ROUND(AF96,8),0)=0, "Group 11: Only Failed | Without variation (no var CV = 0)", "Group 12: Only Failed | With variation (with var CV &gt; 0)"), IF(AND(Q96&gt;0, R96&gt;0), IF(ROUND(AA96,5)&lt;&gt;ROUND(AD96,5), IF(AND(IFERROR(ROUND(AC96,8),0)=0, IFERROR(ROUND(AF96,8),0)=0), "Group 1: Flaky | Passed (no variation: CV = 0) AND Failed (no variation: CV = 0) | Different Means", IF(AND(IFERROR(ROUND(AC96,8),0)&gt;0, IFERROR(ROUND(AF96,8),0)&gt;0), "Group 2: Flaky | Passed (with variation: CV &gt; 0) AND Failed (with variation: CV &gt; 0) | Different Means", IF(AND(IFERROR(ROUND(AC96,8),0)=0, IFERROR(ROUND(AF96,8),0)&gt;0), "Group 3: Flaky | Passed (no variation: CV = 0) AND Failed (with variation: CV &gt; 0) | Different Means", "Group 4: Flaky | Passed (with variation: CV &gt; 0) AND Failed (no variation: CV = 0) | Different Means"))), IF(AND(IFERROR(ROUND(AC96,8),0)=0, IFERROR(ROUND(AF96,8),0)=0), "Group 5: Flaky | Passed (no var CV = 0) AND Failed (no var CV = 0) | Equal Means", IF(AND(IFERROR(ROUND(AC96,8),0)&gt;0, IFERROR(ROUND(AF96,8),0)&gt;0), "Group 6: Flaky | Passed (with var CV &gt; 0) AND Failed (with var CV &gt; 0) | Equal Means", IF(AND(IFERROR(ROUND(AC96,8),0)=0, IFERROR(ROUND(AF96,8),0)&gt;0),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6" s="22" t="n">
        <v>100</v>
      </c>
      <c r="AI96" s="17" t="n">
        <v>0</v>
      </c>
      <c r="AJ96" s="31" t="str">
        <f aca="false">IF(AND(AH96&gt;0, AI96&gt;0), "Observed Flaky Test", "Non-observed Flaky Test")</f>
        <v>Non-observed Flaky Test</v>
      </c>
      <c r="AK96" s="32" t="n">
        <v>29014</v>
      </c>
      <c r="AL96" s="32" t="n">
        <v>0</v>
      </c>
      <c r="AM96" s="33" t="n">
        <f aca="false">IFERROR(AL96/AK96*100,"N/A")</f>
        <v>0</v>
      </c>
      <c r="AN96" s="32" t="n">
        <v>0</v>
      </c>
      <c r="AO96" s="32" t="n">
        <v>0</v>
      </c>
      <c r="AP96" s="35" t="str">
        <f aca="false">IFERROR(AO96/AN96*100,"N/A")</f>
        <v>N/A</v>
      </c>
      <c r="AQ96" s="45" t="str">
        <f aca="false">IF(AND(AH96&gt;0, AI96&gt;0),
    IF(ROUND(N(AK96),5)&lt;&gt;ROUND(N(AN96),5),
        IF(AND(ROUND(N(AL96),8)=0, ROUND(N(AO96),8)=0), "Group 1: Flaky | Passed (no variation: SD = 0) AND Failed (no variation: SD = 0) | Different Means",
        IF(AND(ROUND(N(AL96),8)&gt;0, ROUND(N(AO96),8)&gt;0), "Group 2: Flaky | Passed (with variation: SD &gt; 0) AND Failed (with variation: SD &gt; 0) | Different Means",
        IF(AND(ROUND(N(AL96),8)=0, ROUND(N(AO96),8)&gt;0), "Group 3: Flaky | Passed (no variation: SD = 0) AND Failed (with variation: SD &gt; 0) | Different Means",
        "Group 4: Flaky | Passed (with variation: SD &gt; 0) AND Failed (no variation: SD = 0) | Different Means"))),
        IF(AND(ROUND(N(AL96),8)=0, ROUND(N(AO96),8)=0), "Group 5: Flaky | Passed (no var SD = 0) AND Failed (no var SD = 0) | Equal Means",
        IF(AND(ROUND(N(AL96),8)&gt;0, ROUND(N(AO96),8)&gt;0), "Group 6: Flaky | Passed (with var SD &gt; 0 ) AND Failed (with var SD &gt; 0) | Equal Means",
        IF(AND(ROUND(N(AL96),8)=0, ROUND(N(AO96),8)&gt;0), "Group 7: Flaky | Passed (no var SD = 0) AND Failed (with var SD &gt; 0) | Equal Means",
        "Group 8: Flaky | Passed (with var SD &gt; 0 ) AND Failed (no var SD = 0) | Equal Means")))
    ),
    IF(AH96&gt;0,
        IF(N(AL96)&gt;0, "Group 10: Only Passed | With variation (with var SD &gt; 0)", "Group 9: Only Passed | Without variation (no var SD = 0)"),
        IF(AI96&gt;0,
            IF(N(AO96)&gt;0,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96" s="37" t="str">
        <f aca="false">IF(OR(F96="Observed Flaky Test", I96="Observed Flaky Test", S96="Observed Flaky Test", AJ96="Observed Flaky Test"), "Observed Flaky Test", "Non-observed Flaky Test")</f>
        <v>Non-observed Flaky Test</v>
      </c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</row>
    <row r="97" customFormat="false" ht="15.75" hidden="false" customHeight="true" outlineLevel="0" collapsed="false">
      <c r="A97" s="13"/>
      <c r="B97" s="14" t="s">
        <v>224</v>
      </c>
      <c r="C97" s="14" t="s">
        <v>225</v>
      </c>
      <c r="D97" s="15" t="n">
        <v>0</v>
      </c>
      <c r="E97" s="15" t="n">
        <v>100</v>
      </c>
      <c r="F97" s="16" t="str">
        <f aca="false">IF(AND(D97&gt;0, E97&gt;0), "Observed Flaky Test", "Non-observed Flaky Test")</f>
        <v>Non-observed Flaky Test</v>
      </c>
      <c r="G97" s="17" t="n">
        <v>0</v>
      </c>
      <c r="H97" s="17" t="n">
        <v>100</v>
      </c>
      <c r="I97" s="16" t="str">
        <f aca="false">IF(AND(G97&gt;0, H97&gt;0), "Observed Flaky Test", "Non-observed Flaky Test")</f>
        <v>Non-observed Flaky Test</v>
      </c>
      <c r="J97" s="18" t="n">
        <v>0</v>
      </c>
      <c r="K97" s="18" t="n">
        <v>0</v>
      </c>
      <c r="L97" s="19" t="str">
        <f aca="false">IFERROR(K97/J97*100,"N/A")</f>
        <v>N/A</v>
      </c>
      <c r="M97" s="18" t="n">
        <v>25.13</v>
      </c>
      <c r="N97" s="18" t="n">
        <v>0</v>
      </c>
      <c r="O97" s="20" t="n">
        <f aca="false">IFERROR(N97/M97*100,"N/A")</f>
        <v>0</v>
      </c>
      <c r="P97" s="21" t="str">
        <f aca="false">IF(AND(G97&gt;0, H97=0), IF(ROUND(K97,8)=0, "Group 9: Only Passed | Without variation (SD Passed = 0)", "Group 10: Only Passed | With variation (SD Passed &gt; 0)"), IF(AND(G97=0, H97&gt;0), IF(ROUND(N97,8)=0, "Group 11: Only Failed | Without variation (SD Failed = 0)", "Group 12: Only Failed | With variation (SD Failed &gt; 0)"), IF(AND(G97&gt;0, H97&gt;0), IF(ROUND(J97,5)&lt;&gt;ROUND(M97,5), IF(AND(ROUND(K97,8)=0, ROUND(N97,8)=0), "Group 1: Flaky | Passed (no variation) AND Failed (no variation) | Different Means", IF(AND(ROUND(K97,8)&gt;0, ROUND(N97,8)&gt;0), "Group 2: Flaky | Passed (with variation) AND Failed (with variation) | Different Means", IF(AND(ROUND(K97,8)=0, ROUND(N97,8)&gt;0), "Group 3: Flaky | Passed (no variation) AND Failed (with variation) | Different Means", "Group 4: Flaky | Passed (with variation) AND Failed (no variation) | Different Means"))), IF(AND(ROUND(K97,8)=0, ROUND(N97,8)=0), "Group 5: Flaky | Passed (no variation) AND Failed (no variation) | Equal Means", IF(AND(ROUND(K97,8)&gt;0, ROUND(N97,8)&gt;0), "Group 6: Flaky | Passed (with variation) AND Failed (with variation) | Equal Means", IF(AND(ROUND(K97,8)=0, ROUND(N97,8)&gt;0),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97" s="22" t="n">
        <v>0</v>
      </c>
      <c r="R97" s="22" t="n">
        <v>100</v>
      </c>
      <c r="S97" s="23" t="str">
        <f aca="false">IF(AND(Q97&gt;0, R97&gt;0), "Observed Flaky Test", "Non-observed Flaky Test")</f>
        <v>Non-observed Flaky Test</v>
      </c>
      <c r="T97" s="22" t="n">
        <v>0</v>
      </c>
      <c r="U97" s="22" t="n">
        <v>0</v>
      </c>
      <c r="V97" s="25" t="str">
        <f aca="false">IFERROR(U97/T97*100,"N/A")</f>
        <v>N/A</v>
      </c>
      <c r="W97" s="22" t="n">
        <v>1630892.65</v>
      </c>
      <c r="X97" s="24" t="n">
        <v>12.893797</v>
      </c>
      <c r="Y97" s="27" t="n">
        <f aca="false">IFERROR(X97/W97*100,"N/A")</f>
        <v>0.000790597529518574</v>
      </c>
      <c r="Z97" s="28" t="str">
        <f aca="false">IF(AND(Q97&gt;0, R97=0), IF(IFERROR(ROUND(V97,8),0)=0, "Group 9: Only Passed | Without variation (no var CV = 0)", "Group 10: Only Passed | With variation (with var CV &gt; 0)"), IF(AND(Q97=0, R97&gt;0), IF(IFERROR(ROUND(Y97,8),0)=0, "Group 11: Only Failed | Without variation (no var CV = 0)", "Group 12: Only Failed | With variation (with var CV &gt; 0)"), IF(AND(Q97&gt;0, R97&gt;0), IF(ROUND(T97,5)&lt;&gt;ROUND(W97,5), IF(AND(IFERROR(ROUND(V97,8),0)=0, IFERROR(ROUND(Y97,8),0)=0), "Group 1: Flaky | Passed (no variation: CV = 0) AND Failed (no variation: CV = 0) | Different Means", IF(AND(IFERROR(ROUND(V97,8),0)&gt;0, IFERROR(ROUND(Y97,8),0)&gt;0), "Group 2: Flaky | Passed (with variation: CV &gt; 0) AND Failed (with variation: CV &gt; 0) | Different Means", IF(AND(IFERROR(ROUND(V97,8),0)=0, IFERROR(ROUND(Y97,8),0)&gt;0), "Group 3: Flaky | Passed (no variation: CV = 0) AND Failed (with variation: CV &gt; 0) | Different Means", "Group 4: Flaky | Passed (with variation: CV &gt; 0) AND Failed (no variation: CV = 0) | Different Means"))), IF(AND(IFERROR(ROUND(V97,8),0)=0, IFERROR(ROUND(Y97,8),0)=0), "Group 5: Flaky | Passed (no var CV = 0) AND Failed (no var CV = 0) | Equal Means", IF(AND(IFERROR(ROUND(V97,8),0)&gt;0, IFERROR(ROUND(Y97,8),0)&gt;0), "Group 6: Flaky | Passed (with var CV &gt; 0) AND Failed (with var CV &gt; 0) | Equal Means", IF(AND(IFERROR(ROUND(V97,8),0)=0, IFERROR(ROUND(Y97,8),0)&gt;0),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97" s="29" t="n">
        <v>0</v>
      </c>
      <c r="AB97" s="29" t="n">
        <v>0</v>
      </c>
      <c r="AC97" s="29" t="str">
        <f aca="false">IFERROR(AB97/AA97*100,"N/A")</f>
        <v>N/A</v>
      </c>
      <c r="AD97" s="29" t="n">
        <v>0.827198</v>
      </c>
      <c r="AE97" s="29" t="n">
        <v>0.014088</v>
      </c>
      <c r="AF97" s="29" t="n">
        <f aca="false">IFERROR(AE97/AD97*100,"N/A")</f>
        <v>1.70309889530681</v>
      </c>
      <c r="AG97" s="30" t="str">
        <f aca="false">IF(AND(Q97&gt;0, R97=0), IF(IFERROR(ROUND(AC97,8),0)=0, "Group 9: Only Passed | Without variation (no var CV = 0)", "Group 10: Only Passed | With variation (with var CV &gt; 0)"), IF(AND(Q97=0, R97&gt;0), IF(IFERROR(ROUND(AF97,8),0)=0, "Group 11: Only Failed | Without variation (no var CV = 0)", "Group 12: Only Failed | With variation (with var CV &gt; 0)"), IF(AND(Q97&gt;0, R97&gt;0), IF(ROUND(AA97,5)&lt;&gt;ROUND(AD97,5), IF(AND(IFERROR(ROUND(AC97,8),0)=0, IFERROR(ROUND(AF97,8),0)=0), "Group 1: Flaky | Passed (no variation: CV = 0) AND Failed (no variation: CV = 0) | Different Means", IF(AND(IFERROR(ROUND(AC97,8),0)&gt;0, IFERROR(ROUND(AF97,8),0)&gt;0), "Group 2: Flaky | Passed (with variation: CV &gt; 0) AND Failed (with variation: CV &gt; 0) | Different Means", IF(AND(IFERROR(ROUND(AC97,8),0)=0, IFERROR(ROUND(AF97,8),0)&gt;0), "Group 3: Flaky | Passed (no variation: CV = 0) AND Failed (with variation: CV &gt; 0) | Different Means", "Group 4: Flaky | Passed (with variation: CV &gt; 0) AND Failed (no variation: CV = 0) | Different Means"))), IF(AND(IFERROR(ROUND(AC97,8),0)=0, IFERROR(ROUND(AF97,8),0)=0), "Group 5: Flaky | Passed (no var CV = 0) AND Failed (no var CV = 0) | Equal Means", IF(AND(IFERROR(ROUND(AC97,8),0)&gt;0, IFERROR(ROUND(AF97,8),0)&gt;0), "Group 6: Flaky | Passed (with var CV &gt; 0) AND Failed (with var CV &gt; 0) | Equal Means", IF(AND(IFERROR(ROUND(AC97,8),0)=0, IFERROR(ROUND(AF97,8),0)&gt;0),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97" s="22" t="n">
        <v>0</v>
      </c>
      <c r="AI97" s="17" t="n">
        <v>100</v>
      </c>
      <c r="AJ97" s="31" t="str">
        <f aca="false">IF(AND(AH97&gt;0, AI97&gt;0), "Observed Flaky Test", "Non-observed Flaky Test")</f>
        <v>Non-observed Flaky Test</v>
      </c>
      <c r="AK97" s="32" t="n">
        <v>0</v>
      </c>
      <c r="AL97" s="32" t="n">
        <v>0</v>
      </c>
      <c r="AM97" s="33" t="str">
        <f aca="false">IFERROR(AL97/AK97*100,"N/A")</f>
        <v>N/A</v>
      </c>
      <c r="AN97" s="32" t="n">
        <v>29018</v>
      </c>
      <c r="AO97" s="32" t="n">
        <v>0</v>
      </c>
      <c r="AP97" s="35" t="n">
        <f aca="false">IFERROR(AO97/AN97*100,"N/A")</f>
        <v>0</v>
      </c>
      <c r="AQ97" s="73" t="str">
        <f aca="false">IF(AND(AH97&gt;0, AI97&gt;0),
    IF(ROUND(N(AK97),5)&lt;&gt;ROUND(N(AN97),5),
        IF(AND(ROUND(N(AL97),8)=0, ROUND(N(AO97),8)=0), "Group 1: Flaky | Passed (no variation: SD = 0) AND Failed (no variation: SD = 0) | Different Means",
        IF(AND(ROUND(N(AL97),8)&gt;0, ROUND(N(AO97),8)&gt;0), "Group 2: Flaky | Passed (with variation: SD &gt; 0) AND Failed (with variation: SD &gt; 0) | Different Means",
        IF(AND(ROUND(N(AL97),8)=0, ROUND(N(AO97),8)&gt;0), "Group 3: Flaky | Passed (no variation: SD = 0) AND Failed (with variation: SD &gt; 0) | Different Means",
        "Group 4: Flaky | Passed (with variation: SD &gt; 0) AND Failed (no variation: SD = 0) | Different Means"))),
        IF(AND(ROUND(N(AL97),8)=0, ROUND(N(AO97),8)=0), "Group 5: Flaky | Passed (no var SD = 0) AND Failed (no var SD = 0) | Equal Means",
        IF(AND(ROUND(N(AL97),8)&gt;0, ROUND(N(AO97),8)&gt;0), "Group 6: Flaky | Passed (with var SD &gt; 0 ) AND Failed (with var SD &gt; 0) | Equal Means",
        IF(AND(ROUND(N(AL97),8)=0, ROUND(N(AO97),8)&gt;0), "Group 7: Flaky | Passed (no var SD = 0) AND Failed (with var SD &gt; 0) | Equal Means",
        "Group 8: Flaky | Passed (with var SD &gt; 0 ) AND Failed (no var SD = 0) | Equal Means")))
    ),
    IF(AH97&gt;0,
        IF(N(AL97)&gt;0, "Group 10: Only Passed | With variation (with var SD &gt; 0)", "Group 9: Only Passed | Without variation (no var SD = 0)"),
        IF(AI97&gt;0,
            IF(N(AO97)&gt;0,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97" s="37" t="str">
        <f aca="false">IF(OR(F97="Observed Flaky Test", I97="Observed Flaky Test", S97="Observed Flaky Test", AJ97="Observed Flaky Test"), "Observed Flaky Test", "Non-observed Flaky Test")</f>
        <v>Non-observed Flaky Test</v>
      </c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</row>
    <row r="98" customFormat="false" ht="15.75" hidden="false" customHeight="true" outlineLevel="0" collapsed="false">
      <c r="A98" s="13"/>
      <c r="B98" s="14" t="s">
        <v>226</v>
      </c>
      <c r="C98" s="14" t="s">
        <v>227</v>
      </c>
      <c r="D98" s="15" t="n">
        <v>0</v>
      </c>
      <c r="E98" s="15" t="n">
        <v>100</v>
      </c>
      <c r="F98" s="16" t="str">
        <f aca="false">IF(AND(D98&gt;0, E98&gt;0), "Observed Flaky Test", "Non-observed Flaky Test")</f>
        <v>Non-observed Flaky Test</v>
      </c>
      <c r="G98" s="17" t="n">
        <v>100</v>
      </c>
      <c r="H98" s="17" t="n">
        <v>0</v>
      </c>
      <c r="I98" s="16" t="str">
        <f aca="false">IF(AND(G98&gt;0, H98&gt;0), "Observed Flaky Test", "Non-observed Flaky Test")</f>
        <v>Non-observed Flaky Test</v>
      </c>
      <c r="J98" s="18" t="n">
        <v>24.65</v>
      </c>
      <c r="K98" s="18" t="n">
        <v>0</v>
      </c>
      <c r="L98" s="19" t="n">
        <f aca="false">IFERROR(K98/J98*100,"N/A")</f>
        <v>0</v>
      </c>
      <c r="M98" s="18" t="n">
        <v>0</v>
      </c>
      <c r="N98" s="18" t="n">
        <v>0</v>
      </c>
      <c r="O98" s="20" t="str">
        <f aca="false">IFERROR(N98/M98*100,"N/A")</f>
        <v>N/A</v>
      </c>
      <c r="P98" s="56" t="str">
        <f aca="false">IF(AND(G98&gt;0, H98=0), IF(ROUND(K98,8)=0, "Group 9: Only Passed | Without variation (SD Passed = 0)", "Group 10: Only Passed | With variation (SD Passed &gt; 0)"), IF(AND(G98=0, H98&gt;0), IF(ROUND(N98,8)=0, "Group 11: Only Failed | Without variation (SD Failed = 0)", "Group 12: Only Failed | With variation (SD Failed &gt; 0)"), IF(AND(G98&gt;0, H98&gt;0), IF(ROUND(J98,5)&lt;&gt;ROUND(M98,5), IF(AND(ROUND(K98,8)=0, ROUND(N98,8)=0), "Group 1: Flaky | Passed (no variation) AND Failed (no variation) | Different Means", IF(AND(ROUND(K98,8)&gt;0, ROUND(N98,8)&gt;0), "Group 2: Flaky | Passed (with variation) AND Failed (with variation) | Different Means", IF(AND(ROUND(K98,8)=0, ROUND(N98,8)&gt;0), "Group 3: Flaky | Passed (no variation) AND Failed (with variation) | Different Means", "Group 4: Flaky | Passed (with variation) AND Failed (no variation) | Different Means"))), IF(AND(ROUND(K98,8)=0, ROUND(N98,8)=0), "Group 5: Flaky | Passed (no variation) AND Failed (no variation) | Equal Means", IF(AND(ROUND(K98,8)&gt;0, ROUND(N98,8)&gt;0), "Group 6: Flaky | Passed (with variation) AND Failed (with variation) | Equal Means", IF(AND(ROUND(K98,8)=0, ROUND(N98,8)&gt;0),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8" s="22" t="n">
        <v>100</v>
      </c>
      <c r="R98" s="22" t="n">
        <v>0</v>
      </c>
      <c r="S98" s="23" t="str">
        <f aca="false">IF(AND(Q98&gt;0, R98&gt;0), "Observed Flaky Test", "Non-observed Flaky Test")</f>
        <v>Non-observed Flaky Test</v>
      </c>
      <c r="T98" s="22" t="n">
        <v>1050084.83</v>
      </c>
      <c r="U98" s="24" t="n">
        <v>12.148122</v>
      </c>
      <c r="V98" s="25" t="n">
        <f aca="false">IFERROR(U98/T98*100,"N/A")</f>
        <v>0.00115687053587852</v>
      </c>
      <c r="W98" s="22" t="n">
        <v>0</v>
      </c>
      <c r="X98" s="22" t="n">
        <v>0</v>
      </c>
      <c r="Y98" s="27" t="str">
        <f aca="false">IFERROR(X98/W98*100,"N/A")</f>
        <v>N/A</v>
      </c>
      <c r="Z98" s="50" t="str">
        <f aca="false">IF(AND(Q98&gt;0, R98=0), IF(IFERROR(ROUND(V98,8),0)=0, "Group 9: Only Passed | Without variation (no var CV = 0)", "Group 10: Only Passed | With variation (with var CV &gt; 0)"), IF(AND(Q98=0, R98&gt;0), IF(IFERROR(ROUND(Y98,8),0)=0, "Group 11: Only Failed | Without variation (no var CV = 0)", "Group 12: Only Failed | With variation (with var CV &gt; 0)"), IF(AND(Q98&gt;0, R98&gt;0), IF(ROUND(T98,5)&lt;&gt;ROUND(W98,5), IF(AND(IFERROR(ROUND(V98,8),0)=0, IFERROR(ROUND(Y98,8),0)=0), "Group 1: Flaky | Passed (no variation: CV = 0) AND Failed (no variation: CV = 0) | Different Means", IF(AND(IFERROR(ROUND(V98,8),0)&gt;0, IFERROR(ROUND(Y98,8),0)&gt;0), "Group 2: Flaky | Passed (with variation: CV &gt; 0) AND Failed (with variation: CV &gt; 0) | Different Means", IF(AND(IFERROR(ROUND(V98,8),0)=0, IFERROR(ROUND(Y98,8),0)&gt;0), "Group 3: Flaky | Passed (no variation: CV = 0) AND Failed (with variation: CV &gt; 0) | Different Means", "Group 4: Flaky | Passed (with variation: CV &gt; 0) AND Failed (no variation: CV = 0) | Different Means"))), IF(AND(IFERROR(ROUND(V98,8),0)=0, IFERROR(ROUND(Y98,8),0)=0), "Group 5: Flaky | Passed (no var CV = 0) AND Failed (no var CV = 0) | Equal Means", IF(AND(IFERROR(ROUND(V98,8),0)&gt;0, IFERROR(ROUND(Y98,8),0)&gt;0), "Group 6: Flaky | Passed (with var CV &gt; 0) AND Failed (with var CV &gt; 0) | Equal Means", IF(AND(IFERROR(ROUND(V98,8),0)=0, IFERROR(ROUND(Y98,8),0)&gt;0),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8" s="29" t="n">
        <v>0.640191</v>
      </c>
      <c r="AB98" s="29" t="n">
        <v>0.024256</v>
      </c>
      <c r="AC98" s="29" t="n">
        <f aca="false">IFERROR(AB98/AA98*100,"N/A")</f>
        <v>3.78886925933042</v>
      </c>
      <c r="AD98" s="29" t="n">
        <v>0</v>
      </c>
      <c r="AE98" s="29" t="n">
        <v>0</v>
      </c>
      <c r="AF98" s="29" t="str">
        <f aca="false">IFERROR(AE98/AD98*100,"N/A")</f>
        <v>N/A</v>
      </c>
      <c r="AG98" s="51" t="str">
        <f aca="false">IF(AND(Q98&gt;0, R98=0), IF(IFERROR(ROUND(AC98,8),0)=0, "Group 9: Only Passed | Without variation (no var CV = 0)", "Group 10: Only Passed | With variation (with var CV &gt; 0)"), IF(AND(Q98=0, R98&gt;0), IF(IFERROR(ROUND(AF98,8),0)=0, "Group 11: Only Failed | Without variation (no var CV = 0)", "Group 12: Only Failed | With variation (with var CV &gt; 0)"), IF(AND(Q98&gt;0, R98&gt;0), IF(ROUND(AA98,5)&lt;&gt;ROUND(AD98,5), IF(AND(IFERROR(ROUND(AC98,8),0)=0, IFERROR(ROUND(AF98,8),0)=0), "Group 1: Flaky | Passed (no variation: CV = 0) AND Failed (no variation: CV = 0) | Different Means", IF(AND(IFERROR(ROUND(AC98,8),0)&gt;0, IFERROR(ROUND(AF98,8),0)&gt;0), "Group 2: Flaky | Passed (with variation: CV &gt; 0) AND Failed (with variation: CV &gt; 0) | Different Means", IF(AND(IFERROR(ROUND(AC98,8),0)=0, IFERROR(ROUND(AF98,8),0)&gt;0), "Group 3: Flaky | Passed (no variation: CV = 0) AND Failed (with variation: CV &gt; 0) | Different Means", "Group 4: Flaky | Passed (with variation: CV &gt; 0) AND Failed (no variation: CV = 0) | Different Means"))), IF(AND(IFERROR(ROUND(AC98,8),0)=0, IFERROR(ROUND(AF98,8),0)=0), "Group 5: Flaky | Passed (no var CV = 0) AND Failed (no var CV = 0) | Equal Means", IF(AND(IFERROR(ROUND(AC98,8),0)&gt;0, IFERROR(ROUND(AF98,8),0)&gt;0), "Group 6: Flaky | Passed (with var CV &gt; 0) AND Failed (with var CV &gt; 0) | Equal Means", IF(AND(IFERROR(ROUND(AC98,8),0)=0, IFERROR(ROUND(AF98,8),0)&gt;0),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8" s="22" t="n">
        <v>100</v>
      </c>
      <c r="AI98" s="17" t="n">
        <v>0</v>
      </c>
      <c r="AJ98" s="31" t="str">
        <f aca="false">IF(AND(AH98&gt;0, AI98&gt;0), "Observed Flaky Test", "Non-observed Flaky Test")</f>
        <v>Non-observed Flaky Test</v>
      </c>
      <c r="AK98" s="32" t="n">
        <v>29014</v>
      </c>
      <c r="AL98" s="32" t="n">
        <v>0</v>
      </c>
      <c r="AM98" s="33" t="n">
        <f aca="false">IFERROR(AL98/AK98*100,"N/A")</f>
        <v>0</v>
      </c>
      <c r="AN98" s="32" t="n">
        <v>0</v>
      </c>
      <c r="AO98" s="32" t="n">
        <v>0</v>
      </c>
      <c r="AP98" s="35" t="str">
        <f aca="false">IFERROR(AO98/AN98*100,"N/A")</f>
        <v>N/A</v>
      </c>
      <c r="AQ98" s="45" t="str">
        <f aca="false">IF(AND(AH98&gt;0, AI98&gt;0),
    IF(ROUND(N(AK98),5)&lt;&gt;ROUND(N(AN98),5),
        IF(AND(ROUND(N(AL98),8)=0, ROUND(N(AO98),8)=0), "Group 1: Flaky | Passed (no variation: SD = 0) AND Failed (no variation: SD = 0) | Different Means",
        IF(AND(ROUND(N(AL98),8)&gt;0, ROUND(N(AO98),8)&gt;0), "Group 2: Flaky | Passed (with variation: SD &gt; 0) AND Failed (with variation: SD &gt; 0) | Different Means",
        IF(AND(ROUND(N(AL98),8)=0, ROUND(N(AO98),8)&gt;0), "Group 3: Flaky | Passed (no variation: SD = 0) AND Failed (with variation: SD &gt; 0) | Different Means",
        "Group 4: Flaky | Passed (with variation: SD &gt; 0) AND Failed (no variation: SD = 0) | Different Means"))),
        IF(AND(ROUND(N(AL98),8)=0, ROUND(N(AO98),8)=0), "Group 5: Flaky | Passed (no var SD = 0) AND Failed (no var SD = 0) | Equal Means",
        IF(AND(ROUND(N(AL98),8)&gt;0, ROUND(N(AO98),8)&gt;0), "Group 6: Flaky | Passed (with var SD &gt; 0 ) AND Failed (with var SD &gt; 0) | Equal Means",
        IF(AND(ROUND(N(AL98),8)=0, ROUND(N(AO98),8)&gt;0), "Group 7: Flaky | Passed (no var SD = 0) AND Failed (with var SD &gt; 0) | Equal Means",
        "Group 8: Flaky | Passed (with var SD &gt; 0 ) AND Failed (no var SD = 0) | Equal Means")))
    ),
    IF(AH98&gt;0,
        IF(N(AL98)&gt;0, "Group 10: Only Passed | With variation (with var SD &gt; 0)", "Group 9: Only Passed | Without variation (no var SD = 0)"),
        IF(AI98&gt;0,
            IF(N(AO98)&gt;0,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98" s="37" t="str">
        <f aca="false">IF(OR(F98="Observed Flaky Test", I98="Observed Flaky Test", S98="Observed Flaky Test", AJ98="Observed Flaky Test"), "Observed Flaky Test", "Non-observed Flaky Test")</f>
        <v>Non-observed Flaky Test</v>
      </c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</row>
    <row r="99" customFormat="false" ht="15.75" hidden="false" customHeight="true" outlineLevel="0" collapsed="false">
      <c r="A99" s="13"/>
      <c r="B99" s="14" t="s">
        <v>228</v>
      </c>
      <c r="C99" s="14" t="s">
        <v>229</v>
      </c>
      <c r="D99" s="15" t="n">
        <v>0</v>
      </c>
      <c r="E99" s="15" t="n">
        <v>100</v>
      </c>
      <c r="F99" s="16" t="str">
        <f aca="false">IF(AND(D99&gt;0, E99&gt;0), "Observed Flaky Test", "Non-observed Flaky Test")</f>
        <v>Non-observed Flaky Test</v>
      </c>
      <c r="G99" s="17" t="n">
        <v>100</v>
      </c>
      <c r="H99" s="17" t="n">
        <v>0</v>
      </c>
      <c r="I99" s="16" t="str">
        <f aca="false">IF(AND(G99&gt;0, H99&gt;0), "Observed Flaky Test", "Non-observed Flaky Test")</f>
        <v>Non-observed Flaky Test</v>
      </c>
      <c r="J99" s="18" t="n">
        <v>24.94</v>
      </c>
      <c r="K99" s="18" t="n">
        <v>0</v>
      </c>
      <c r="L99" s="19" t="n">
        <f aca="false">IFERROR(K99/J99*100,"N/A")</f>
        <v>0</v>
      </c>
      <c r="M99" s="18" t="n">
        <v>0</v>
      </c>
      <c r="N99" s="18" t="n">
        <v>0</v>
      </c>
      <c r="O99" s="20" t="str">
        <f aca="false">IFERROR(N99/M99*100,"N/A")</f>
        <v>N/A</v>
      </c>
      <c r="P99" s="56" t="str">
        <f aca="false">IF(AND(G99&gt;0, H99=0), IF(ROUND(K99,8)=0, "Group 9: Only Passed | Without variation (SD Passed = 0)", "Group 10: Only Passed | With variation (SD Passed &gt; 0)"), IF(AND(G99=0, H99&gt;0), IF(ROUND(N99,8)=0, "Group 11: Only Failed | Without variation (SD Failed = 0)", "Group 12: Only Failed | With variation (SD Failed &gt; 0)"), IF(AND(G99&gt;0, H99&gt;0), IF(ROUND(J99,5)&lt;&gt;ROUND(M99,5), IF(AND(ROUND(K99,8)=0, ROUND(N99,8)=0), "Group 1: Flaky | Passed (no variation) AND Failed (no variation) | Different Means", IF(AND(ROUND(K99,8)&gt;0, ROUND(N99,8)&gt;0), "Group 2: Flaky | Passed (with variation) AND Failed (with variation) | Different Means", IF(AND(ROUND(K99,8)=0, ROUND(N99,8)&gt;0), "Group 3: Flaky | Passed (no variation) AND Failed (with variation) | Different Means", "Group 4: Flaky | Passed (with variation) AND Failed (no variation) | Different Means"))), IF(AND(ROUND(K99,8)=0, ROUND(N99,8)=0), "Group 5: Flaky | Passed (no variation) AND Failed (no variation) | Equal Means", IF(AND(ROUND(K99,8)&gt;0, ROUND(N99,8)&gt;0), "Group 6: Flaky | Passed (with variation) AND Failed (with variation) | Equal Means", IF(AND(ROUND(K99,8)=0, ROUND(N99,8)&gt;0),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99" s="22" t="n">
        <v>100</v>
      </c>
      <c r="R99" s="22" t="n">
        <v>0</v>
      </c>
      <c r="S99" s="23" t="str">
        <f aca="false">IF(AND(Q99&gt;0, R99&gt;0), "Observed Flaky Test", "Non-observed Flaky Test")</f>
        <v>Non-observed Flaky Test</v>
      </c>
      <c r="T99" s="22" t="n">
        <v>1068942.54</v>
      </c>
      <c r="U99" s="26" t="n">
        <v>13.805591</v>
      </c>
      <c r="V99" s="25" t="n">
        <f aca="false">IFERROR(U99/T99*100,"N/A")</f>
        <v>0.00129151853195028</v>
      </c>
      <c r="W99" s="22" t="n">
        <v>0</v>
      </c>
      <c r="X99" s="22" t="n">
        <v>0</v>
      </c>
      <c r="Y99" s="27" t="str">
        <f aca="false">IFERROR(X99/W99*100,"N/A")</f>
        <v>N/A</v>
      </c>
      <c r="Z99" s="50" t="str">
        <f aca="false">IF(AND(Q99&gt;0, R99=0), IF(IFERROR(ROUND(V99,8),0)=0, "Group 9: Only Passed | Without variation (no var CV = 0)", "Group 10: Only Passed | With variation (with var CV &gt; 0)"), IF(AND(Q99=0, R99&gt;0), IF(IFERROR(ROUND(Y99,8),0)=0, "Group 11: Only Failed | Without variation (no var CV = 0)", "Group 12: Only Failed | With variation (with var CV &gt; 0)"), IF(AND(Q99&gt;0, R99&gt;0), IF(ROUND(T99,5)&lt;&gt;ROUND(W99,5), IF(AND(IFERROR(ROUND(V99,8),0)=0, IFERROR(ROUND(Y99,8),0)=0), "Group 1: Flaky | Passed (no variation: CV = 0) AND Failed (no variation: CV = 0) | Different Means", IF(AND(IFERROR(ROUND(V99,8),0)&gt;0, IFERROR(ROUND(Y99,8),0)&gt;0), "Group 2: Flaky | Passed (with variation: CV &gt; 0) AND Failed (with variation: CV &gt; 0) | Different Means", IF(AND(IFERROR(ROUND(V99,8),0)=0, IFERROR(ROUND(Y99,8),0)&gt;0), "Group 3: Flaky | Passed (no variation: CV = 0) AND Failed (with variation: CV &gt; 0) | Different Means", "Group 4: Flaky | Passed (with variation: CV &gt; 0) AND Failed (no variation: CV = 0) | Different Means"))), IF(AND(IFERROR(ROUND(V99,8),0)=0, IFERROR(ROUND(Y99,8),0)=0), "Group 5: Flaky | Passed (no var CV = 0) AND Failed (no var CV = 0) | Equal Means", IF(AND(IFERROR(ROUND(V99,8),0)&gt;0, IFERROR(ROUND(Y99,8),0)&gt;0), "Group 6: Flaky | Passed (with var CV &gt; 0) AND Failed (with var CV &gt; 0) | Equal Means", IF(AND(IFERROR(ROUND(V99,8),0)=0, IFERROR(ROUND(Y99,8),0)&gt;0),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99" s="29" t="n">
        <v>1.63251</v>
      </c>
      <c r="AB99" s="29" t="n">
        <v>0.020419</v>
      </c>
      <c r="AC99" s="29" t="n">
        <f aca="false">IFERROR(AB99/AA99*100,"N/A")</f>
        <v>1.25077334901471</v>
      </c>
      <c r="AD99" s="29" t="n">
        <v>0</v>
      </c>
      <c r="AE99" s="29" t="n">
        <v>0</v>
      </c>
      <c r="AF99" s="29" t="str">
        <f aca="false">IFERROR(AE99/AD99*100,"N/A")</f>
        <v>N/A</v>
      </c>
      <c r="AG99" s="51" t="str">
        <f aca="false">IF(AND(Q99&gt;0, R99=0), IF(IFERROR(ROUND(AC99,8),0)=0, "Group 9: Only Passed | Without variation (no var CV = 0)", "Group 10: Only Passed | With variation (with var CV &gt; 0)"), IF(AND(Q99=0, R99&gt;0), IF(IFERROR(ROUND(AF99,8),0)=0, "Group 11: Only Failed | Without variation (no var CV = 0)", "Group 12: Only Failed | With variation (with var CV &gt; 0)"), IF(AND(Q99&gt;0, R99&gt;0), IF(ROUND(AA99,5)&lt;&gt;ROUND(AD99,5), IF(AND(IFERROR(ROUND(AC99,8),0)=0, IFERROR(ROUND(AF99,8),0)=0), "Group 1: Flaky | Passed (no variation: CV = 0) AND Failed (no variation: CV = 0) | Different Means", IF(AND(IFERROR(ROUND(AC99,8),0)&gt;0, IFERROR(ROUND(AF99,8),0)&gt;0), "Group 2: Flaky | Passed (with variation: CV &gt; 0) AND Failed (with variation: CV &gt; 0) | Different Means", IF(AND(IFERROR(ROUND(AC99,8),0)=0, IFERROR(ROUND(AF99,8),0)&gt;0), "Group 3: Flaky | Passed (no variation: CV = 0) AND Failed (with variation: CV &gt; 0) | Different Means", "Group 4: Flaky | Passed (with variation: CV &gt; 0) AND Failed (no variation: CV = 0) | Different Means"))), IF(AND(IFERROR(ROUND(AC99,8),0)=0, IFERROR(ROUND(AF99,8),0)=0), "Group 5: Flaky | Passed (no var CV = 0) AND Failed (no var CV = 0) | Equal Means", IF(AND(IFERROR(ROUND(AC99,8),0)&gt;0, IFERROR(ROUND(AF99,8),0)&gt;0), "Group 6: Flaky | Passed (with var CV &gt; 0) AND Failed (with var CV &gt; 0) | Equal Means", IF(AND(IFERROR(ROUND(AC99,8),0)=0, IFERROR(ROUND(AF99,8),0)&gt;0),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99" s="22" t="n">
        <v>100</v>
      </c>
      <c r="AI99" s="17" t="n">
        <v>0</v>
      </c>
      <c r="AJ99" s="31" t="str">
        <f aca="false">IF(AND(AH99&gt;0, AI99&gt;0), "Observed Flaky Test", "Non-observed Flaky Test")</f>
        <v>Non-observed Flaky Test</v>
      </c>
      <c r="AK99" s="32" t="n">
        <v>21839</v>
      </c>
      <c r="AL99" s="32" t="n">
        <v>0</v>
      </c>
      <c r="AM99" s="33" t="n">
        <f aca="false">IFERROR(AL99/AK99*100,"N/A")</f>
        <v>0</v>
      </c>
      <c r="AN99" s="32" t="n">
        <v>0</v>
      </c>
      <c r="AO99" s="32" t="n">
        <v>0</v>
      </c>
      <c r="AP99" s="35" t="str">
        <f aca="false">IFERROR(AO99/AN99*100,"N/A")</f>
        <v>N/A</v>
      </c>
      <c r="AQ99" s="45" t="str">
        <f aca="false">IF(AND(AH99&gt;0, AI99&gt;0),
    IF(ROUND(N(AK99),5)&lt;&gt;ROUND(N(AN99),5),
        IF(AND(ROUND(N(AL99),8)=0, ROUND(N(AO99),8)=0), "Group 1: Flaky | Passed (no variation: SD = 0) AND Failed (no variation: SD = 0) | Different Means",
        IF(AND(ROUND(N(AL99),8)&gt;0, ROUND(N(AO99),8)&gt;0), "Group 2: Flaky | Passed (with variation: SD &gt; 0) AND Failed (with variation: SD &gt; 0) | Different Means",
        IF(AND(ROUND(N(AL99),8)=0, ROUND(N(AO99),8)&gt;0), "Group 3: Flaky | Passed (no variation: SD = 0) AND Failed (with variation: SD &gt; 0) | Different Means",
        "Group 4: Flaky | Passed (with variation: SD &gt; 0) AND Failed (no variation: SD = 0) | Different Means"))),
        IF(AND(ROUND(N(AL99),8)=0, ROUND(N(AO99),8)=0), "Group 5: Flaky | Passed (no var SD = 0) AND Failed (no var SD = 0) | Equal Means",
        IF(AND(ROUND(N(AL99),8)&gt;0, ROUND(N(AO99),8)&gt;0), "Group 6: Flaky | Passed (with var SD &gt; 0 ) AND Failed (with var SD &gt; 0) | Equal Means",
        IF(AND(ROUND(N(AL99),8)=0, ROUND(N(AO99),8)&gt;0), "Group 7: Flaky | Passed (no var SD = 0) AND Failed (with var SD &gt; 0) | Equal Means",
        "Group 8: Flaky | Passed (with var SD &gt; 0 ) AND Failed (no var SD = 0) | Equal Means")))
    ),
    IF(AH99&gt;0,
        IF(N(AL99)&gt;0, "Group 10: Only Passed | With variation (with var SD &gt; 0)", "Group 9: Only Passed | Without variation (no var SD = 0)"),
        IF(AI99&gt;0,
            IF(N(AO99)&gt;0,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99" s="37" t="str">
        <f aca="false">IF(OR(F99="Observed Flaky Test", I99="Observed Flaky Test", S99="Observed Flaky Test", AJ99="Observed Flaky Test"), "Observed Flaky Test", "Non-observed Flaky Test")</f>
        <v>Non-observed Flaky Test</v>
      </c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</row>
    <row r="100" customFormat="false" ht="15.75" hidden="false" customHeight="true" outlineLevel="0" collapsed="false">
      <c r="A100" s="13"/>
      <c r="B100" s="14" t="s">
        <v>230</v>
      </c>
      <c r="C100" s="14" t="s">
        <v>231</v>
      </c>
      <c r="D100" s="15" t="n">
        <v>0</v>
      </c>
      <c r="E100" s="15" t="n">
        <v>100</v>
      </c>
      <c r="F100" s="16" t="str">
        <f aca="false">IF(AND(D100&gt;0, E100&gt;0), "Observed Flaky Test", "Non-observed Flaky Test")</f>
        <v>Non-observed Flaky Test</v>
      </c>
      <c r="G100" s="17" t="n">
        <v>100</v>
      </c>
      <c r="H100" s="17" t="n">
        <v>0</v>
      </c>
      <c r="I100" s="16" t="str">
        <f aca="false">IF(AND(G100&gt;0, H100&gt;0), "Observed Flaky Test", "Non-observed Flaky Test")</f>
        <v>Non-observed Flaky Test</v>
      </c>
      <c r="J100" s="66" t="n">
        <v>36.579</v>
      </c>
      <c r="K100" s="53" t="n">
        <v>0.005745</v>
      </c>
      <c r="L100" s="19" t="n">
        <f aca="false">IFERROR(K100/J100*100,"N/A")</f>
        <v>0.0157057327975068</v>
      </c>
      <c r="M100" s="18" t="n">
        <v>0</v>
      </c>
      <c r="N100" s="18" t="n">
        <v>0</v>
      </c>
      <c r="O100" s="20" t="str">
        <f aca="false">IFERROR(N100/M100*100,"N/A")</f>
        <v>N/A</v>
      </c>
      <c r="P100" s="48" t="str">
        <f aca="false">IF(AND(G100&gt;0, H100=0), IF(ROUND(K100,8)=0, "Group 9: Only Passed | Without variation (SD Passed = 0)", "Group 10: Only Passed | With variation (SD Passed &gt; 0)"), IF(AND(G100=0, H100&gt;0), IF(ROUND(N100,8)=0, "Group 11: Only Failed | Without variation (SD Failed = 0)", "Group 12: Only Failed | With variation (SD Failed &gt; 0)"), IF(AND(G100&gt;0, H100&gt;0), IF(ROUND(J100,5)&lt;&gt;ROUND(M100,5), IF(AND(ROUND(K100,8)=0, ROUND(N100,8)=0), "Group 1: Flaky | Passed (no variation) AND Failed (no variation) | Different Means", IF(AND(ROUND(K100,8)&gt;0, ROUND(N100,8)&gt;0), "Group 2: Flaky | Passed (with variation) AND Failed (with variation) | Different Means", IF(AND(ROUND(K100,8)=0, ROUND(N100,8)&gt;0), "Group 3: Flaky | Passed (no variation) AND Failed (with variation) | Different Means", "Group 4: Flaky | Passed (with variation) AND Failed (no variation) | Different Means"))), IF(AND(ROUND(K100,8)=0, ROUND(N100,8)=0), "Group 5: Flaky | Passed (no variation) AND Failed (no variation) | Equal Means", IF(AND(ROUND(K100,8)&gt;0, ROUND(N100,8)&gt;0), "Group 6: Flaky | Passed (with variation) AND Failed (with variation) | Equal Means", IF(AND(ROUND(K100,8)=0, ROUND(N100,8)&gt;0),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0" s="22" t="n">
        <v>100</v>
      </c>
      <c r="R100" s="22" t="n">
        <v>0</v>
      </c>
      <c r="S100" s="23" t="str">
        <f aca="false">IF(AND(Q100&gt;0, R100&gt;0), "Observed Flaky Test", "Non-observed Flaky Test")</f>
        <v>Non-observed Flaky Test</v>
      </c>
      <c r="T100" s="22" t="n">
        <v>1310821.63</v>
      </c>
      <c r="U100" s="24" t="n">
        <v>15.430296</v>
      </c>
      <c r="V100" s="25" t="n">
        <f aca="false">IFERROR(U100/T100*100,"N/A")</f>
        <v>0.0011771468861099</v>
      </c>
      <c r="W100" s="22" t="n">
        <v>0</v>
      </c>
      <c r="X100" s="22" t="n">
        <v>0</v>
      </c>
      <c r="Y100" s="27" t="str">
        <f aca="false">IFERROR(X100/W100*100,"N/A")</f>
        <v>N/A</v>
      </c>
      <c r="Z100" s="50" t="str">
        <f aca="false">IF(AND(Q100&gt;0, R100=0), IF(IFERROR(ROUND(V100,8),0)=0, "Group 9: Only Passed | Without variation (no var CV = 0)", "Group 10: Only Passed | With variation (with var CV &gt; 0)"), IF(AND(Q100=0, R100&gt;0), IF(IFERROR(ROUND(Y100,8),0)=0, "Group 11: Only Failed | Without variation (no var CV = 0)", "Group 12: Only Failed | With variation (with var CV &gt; 0)"), IF(AND(Q100&gt;0, R100&gt;0), IF(ROUND(T100,5)&lt;&gt;ROUND(W100,5), IF(AND(IFERROR(ROUND(V100,8),0)=0, IFERROR(ROUND(Y100,8),0)=0), "Group 1: Flaky | Passed (no variation: CV = 0) AND Failed (no variation: CV = 0) | Different Means", IF(AND(IFERROR(ROUND(V100,8),0)&gt;0, IFERROR(ROUND(Y100,8),0)&gt;0), "Group 2: Flaky | Passed (with variation: CV &gt; 0) AND Failed (with variation: CV &gt; 0) | Different Means", IF(AND(IFERROR(ROUND(V100,8),0)=0, IFERROR(ROUND(Y100,8),0)&gt;0), "Group 3: Flaky | Passed (no variation: CV = 0) AND Failed (with variation: CV &gt; 0) | Different Means", "Group 4: Flaky | Passed (with variation: CV &gt; 0) AND Failed (no variation: CV = 0) | Different Means"))), IF(AND(IFERROR(ROUND(V100,8),0)=0, IFERROR(ROUND(Y100,8),0)=0), "Group 5: Flaky | Passed (no var CV = 0) AND Failed (no var CV = 0) | Equal Means", IF(AND(IFERROR(ROUND(V100,8),0)&gt;0, IFERROR(ROUND(Y100,8),0)&gt;0), "Group 6: Flaky | Passed (with var CV &gt; 0) AND Failed (with var CV &gt; 0) | Equal Means", IF(AND(IFERROR(ROUND(V100,8),0)=0, IFERROR(ROUND(Y100,8),0)&gt;0),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0" s="29" t="n">
        <v>11.720187</v>
      </c>
      <c r="AB100" s="29" t="n">
        <v>0.047857</v>
      </c>
      <c r="AC100" s="29" t="n">
        <f aca="false">IFERROR(AB100/AA100*100,"N/A")</f>
        <v>0.408329662316821</v>
      </c>
      <c r="AD100" s="29" t="n">
        <v>0</v>
      </c>
      <c r="AE100" s="29" t="n">
        <v>0</v>
      </c>
      <c r="AF100" s="29" t="str">
        <f aca="false">IFERROR(AE100/AD100*100,"N/A")</f>
        <v>N/A</v>
      </c>
      <c r="AG100" s="51" t="str">
        <f aca="false">IF(AND(Q100&gt;0, R100=0), IF(IFERROR(ROUND(AC100,8),0)=0, "Group 9: Only Passed | Without variation (no var CV = 0)", "Group 10: Only Passed | With variation (with var CV &gt; 0)"), IF(AND(Q100=0, R100&gt;0), IF(IFERROR(ROUND(AF100,8),0)=0, "Group 11: Only Failed | Without variation (no var CV = 0)", "Group 12: Only Failed | With variation (with var CV &gt; 0)"), IF(AND(Q100&gt;0, R100&gt;0), IF(ROUND(AA100,5)&lt;&gt;ROUND(AD100,5), IF(AND(IFERROR(ROUND(AC100,8),0)=0, IFERROR(ROUND(AF100,8),0)=0), "Group 1: Flaky | Passed (no variation: CV = 0) AND Failed (no variation: CV = 0) | Different Means", IF(AND(IFERROR(ROUND(AC100,8),0)&gt;0, IFERROR(ROUND(AF100,8),0)&gt;0), "Group 2: Flaky | Passed (with variation: CV &gt; 0) AND Failed (with variation: CV &gt; 0) | Different Means", IF(AND(IFERROR(ROUND(AC100,8),0)=0, IFERROR(ROUND(AF100,8),0)&gt;0), "Group 3: Flaky | Passed (no variation: CV = 0) AND Failed (with variation: CV &gt; 0) | Different Means", "Group 4: Flaky | Passed (with variation: CV &gt; 0) AND Failed (no variation: CV = 0) | Different Means"))), IF(AND(IFERROR(ROUND(AC100,8),0)=0, IFERROR(ROUND(AF100,8),0)=0), "Group 5: Flaky | Passed (no var CV = 0) AND Failed (no var CV = 0) | Equal Means", IF(AND(IFERROR(ROUND(AC100,8),0)&gt;0, IFERROR(ROUND(AF100,8),0)&gt;0), "Group 6: Flaky | Passed (with var CV &gt; 0) AND Failed (with var CV &gt; 0) | Equal Means", IF(AND(IFERROR(ROUND(AC100,8),0)=0, IFERROR(ROUND(AF100,8),0)&gt;0),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0" s="22" t="n">
        <v>100</v>
      </c>
      <c r="AI100" s="17" t="n">
        <v>0</v>
      </c>
      <c r="AJ100" s="31" t="str">
        <f aca="false">IF(AND(AH100&gt;0, AI100&gt;0), "Observed Flaky Test", "Non-observed Flaky Test")</f>
        <v>Non-observed Flaky Test</v>
      </c>
      <c r="AK100" s="32" t="n">
        <v>211667.71</v>
      </c>
      <c r="AL100" s="40" t="n">
        <v>76.0542463235181</v>
      </c>
      <c r="AM100" s="33" t="n">
        <f aca="false">IFERROR(AL100/AK100*100,"N/A")</f>
        <v>0.0359309628868372</v>
      </c>
      <c r="AN100" s="32" t="n">
        <v>0</v>
      </c>
      <c r="AO100" s="32" t="n">
        <v>0</v>
      </c>
      <c r="AP100" s="35" t="str">
        <f aca="false">IFERROR(AO100/AN100*100,"N/A")</f>
        <v>N/A</v>
      </c>
      <c r="AQ100" s="52" t="str">
        <f aca="false">IF(AND(AH100&gt;0, AI100&gt;0),
    IF(ROUND(N(AK100),5)&lt;&gt;ROUND(N(AN100),5),
        IF(AND(ROUND(N(AL100),8)=0, ROUND(N(AO100),8)=0), "Group 1: Flaky | Passed (no variation: SD = 0) AND Failed (no variation: SD = 0) | Different Means",
        IF(AND(ROUND(N(AL100),8)&gt;0, ROUND(N(AO100),8)&gt;0), "Group 2: Flaky | Passed (with variation: SD &gt; 0) AND Failed (with variation: SD &gt; 0) | Different Means",
        IF(AND(ROUND(N(AL100),8)=0, ROUND(N(AO100),8)&gt;0), "Group 3: Flaky | Passed (no variation: SD = 0) AND Failed (with variation: SD &gt; 0) | Different Means",
        "Group 4: Flaky | Passed (with variation: SD &gt; 0) AND Failed (no variation: SD = 0) | Different Means"))),
        IF(AND(ROUND(N(AL100),8)=0, ROUND(N(AO100),8)=0), "Group 5: Flaky | Passed (no var SD = 0) AND Failed (no var SD = 0) | Equal Means",
        IF(AND(ROUND(N(AL100),8)&gt;0, ROUND(N(AO100),8)&gt;0), "Group 6: Flaky | Passed (with var SD &gt; 0 ) AND Failed (with var SD &gt; 0) | Equal Means",
        IF(AND(ROUND(N(AL100),8)=0, ROUND(N(AO100),8)&gt;0), "Group 7: Flaky | Passed (no var SD = 0) AND Failed (with var SD &gt; 0) | Equal Means",
        "Group 8: Flaky | Passed (with var SD &gt; 0 ) AND Failed (no var SD = 0) | Equal Means")))
    ),
    IF(AH100&gt;0,
        IF(N(AL100)&gt;0, "Group 10: Only Passed | With variation (with var SD &gt; 0)", "Group 9: Only Passed | Without variation (no var SD = 0)"),
        IF(AI100&gt;0,
            IF(N(AO100)&gt;0,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0" s="37" t="str">
        <f aca="false">IF(OR(F100="Observed Flaky Test", I100="Observed Flaky Test", S100="Observed Flaky Test", AJ100="Observed Flaky Test"), "Observed Flaky Test", "Non-observed Flaky Test")</f>
        <v>Non-observed Flaky Test</v>
      </c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</row>
    <row r="101" customFormat="false" ht="15.75" hidden="false" customHeight="true" outlineLevel="0" collapsed="false">
      <c r="A101" s="13"/>
      <c r="B101" s="14" t="s">
        <v>232</v>
      </c>
      <c r="C101" s="14" t="s">
        <v>233</v>
      </c>
      <c r="D101" s="15" t="n">
        <v>0</v>
      </c>
      <c r="E101" s="15" t="n">
        <v>100</v>
      </c>
      <c r="F101" s="16" t="str">
        <f aca="false">IF(AND(D101&gt;0, E101&gt;0), "Observed Flaky Test", "Non-observed Flaky Test")</f>
        <v>Non-observed Flaky Test</v>
      </c>
      <c r="G101" s="17" t="n">
        <v>100</v>
      </c>
      <c r="H101" s="17" t="n">
        <v>0</v>
      </c>
      <c r="I101" s="16" t="str">
        <f aca="false">IF(AND(G101&gt;0, H101&gt;0), "Observed Flaky Test", "Non-observed Flaky Test")</f>
        <v>Non-observed Flaky Test</v>
      </c>
      <c r="J101" s="46" t="n">
        <v>36.3856</v>
      </c>
      <c r="K101" s="53" t="n">
        <v>0.004964</v>
      </c>
      <c r="L101" s="19" t="n">
        <f aca="false">IFERROR(K101/J101*100,"N/A")</f>
        <v>0.013642759773097</v>
      </c>
      <c r="M101" s="18" t="n">
        <v>0</v>
      </c>
      <c r="N101" s="18" t="n">
        <v>0</v>
      </c>
      <c r="O101" s="20" t="str">
        <f aca="false">IFERROR(N101/M101*100,"N/A")</f>
        <v>N/A</v>
      </c>
      <c r="P101" s="48" t="str">
        <f aca="false">IF(AND(G101&gt;0, H101=0), IF(ROUND(K101,8)=0, "Group 9: Only Passed | Without variation (SD Passed = 0)", "Group 10: Only Passed | With variation (SD Passed &gt; 0)"), IF(AND(G101=0, H101&gt;0), IF(ROUND(N101,8)=0, "Group 11: Only Failed | Without variation (SD Failed = 0)", "Group 12: Only Failed | With variation (SD Failed &gt; 0)"), IF(AND(G101&gt;0, H101&gt;0), IF(ROUND(J101,5)&lt;&gt;ROUND(M101,5), IF(AND(ROUND(K101,8)=0, ROUND(N101,8)=0), "Group 1: Flaky | Passed (no variation) AND Failed (no variation) | Different Means", IF(AND(ROUND(K101,8)&gt;0, ROUND(N101,8)&gt;0), "Group 2: Flaky | Passed (with variation) AND Failed (with variation) | Different Means", IF(AND(ROUND(K101,8)=0, ROUND(N101,8)&gt;0), "Group 3: Flaky | Passed (no variation) AND Failed (with variation) | Different Means", "Group 4: Flaky | Passed (with variation) AND Failed (no variation) | Different Means"))), IF(AND(ROUND(K101,8)=0, ROUND(N101,8)=0), "Group 5: Flaky | Passed (no variation) AND Failed (no variation) | Equal Means", IF(AND(ROUND(K101,8)&gt;0, ROUND(N101,8)&gt;0), "Group 6: Flaky | Passed (with variation) AND Failed (with variation) | Equal Means", IF(AND(ROUND(K101,8)=0, ROUND(N101,8)&gt;0),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1" s="22" t="n">
        <v>100</v>
      </c>
      <c r="R101" s="22" t="n">
        <v>0</v>
      </c>
      <c r="S101" s="23" t="str">
        <f aca="false">IF(AND(Q101&gt;0, R101&gt;0), "Observed Flaky Test", "Non-observed Flaky Test")</f>
        <v>Non-observed Flaky Test</v>
      </c>
      <c r="T101" s="22" t="n">
        <v>1319357.98</v>
      </c>
      <c r="U101" s="24" t="n">
        <v>14.792832</v>
      </c>
      <c r="V101" s="25" t="n">
        <f aca="false">IFERROR(U101/T101*100,"N/A")</f>
        <v>0.00112121442582247</v>
      </c>
      <c r="W101" s="22" t="n">
        <v>0</v>
      </c>
      <c r="X101" s="22" t="n">
        <v>0</v>
      </c>
      <c r="Y101" s="27" t="str">
        <f aca="false">IFERROR(X101/W101*100,"N/A")</f>
        <v>N/A</v>
      </c>
      <c r="Z101" s="50" t="str">
        <f aca="false">IF(AND(Q101&gt;0, R101=0), IF(IFERROR(ROUND(V101,8),0)=0, "Group 9: Only Passed | Without variation (no var CV = 0)", "Group 10: Only Passed | With variation (with var CV &gt; 0)"), IF(AND(Q101=0, R101&gt;0), IF(IFERROR(ROUND(Y101,8),0)=0, "Group 11: Only Failed | Without variation (no var CV = 0)", "Group 12: Only Failed | With variation (with var CV &gt; 0)"), IF(AND(Q101&gt;0, R101&gt;0), IF(ROUND(T101,5)&lt;&gt;ROUND(W101,5), IF(AND(IFERROR(ROUND(V101,8),0)=0, IFERROR(ROUND(Y101,8),0)=0), "Group 1: Flaky | Passed (no variation: CV = 0) AND Failed (no variation: CV = 0) | Different Means", IF(AND(IFERROR(ROUND(V101,8),0)&gt;0, IFERROR(ROUND(Y101,8),0)&gt;0), "Group 2: Flaky | Passed (with variation: CV &gt; 0) AND Failed (with variation: CV &gt; 0) | Different Means", IF(AND(IFERROR(ROUND(V101,8),0)=0, IFERROR(ROUND(Y101,8),0)&gt;0), "Group 3: Flaky | Passed (no variation: CV = 0) AND Failed (with variation: CV &gt; 0) | Different Means", "Group 4: Flaky | Passed (with variation: CV &gt; 0) AND Failed (no variation: CV = 0) | Different Means"))), IF(AND(IFERROR(ROUND(V101,8),0)=0, IFERROR(ROUND(Y101,8),0)=0), "Group 5: Flaky | Passed (no var CV = 0) AND Failed (no var CV = 0) | Equal Means", IF(AND(IFERROR(ROUND(V101,8),0)&gt;0, IFERROR(ROUND(Y101,8),0)&gt;0), "Group 6: Flaky | Passed (with var CV &gt; 0) AND Failed (with var CV &gt; 0) | Equal Means", IF(AND(IFERROR(ROUND(V101,8),0)=0, IFERROR(ROUND(Y101,8),0)&gt;0),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1" s="29" t="n">
        <v>11.478595</v>
      </c>
      <c r="AB101" s="29" t="n">
        <v>0.029795</v>
      </c>
      <c r="AC101" s="29" t="n">
        <f aca="false">IFERROR(AB101/AA101*100,"N/A")</f>
        <v>0.259570095469001</v>
      </c>
      <c r="AD101" s="29" t="n">
        <v>0</v>
      </c>
      <c r="AE101" s="29" t="n">
        <v>0</v>
      </c>
      <c r="AF101" s="29" t="str">
        <f aca="false">IFERROR(AE101/AD101*100,"N/A")</f>
        <v>N/A</v>
      </c>
      <c r="AG101" s="51" t="str">
        <f aca="false">IF(AND(Q101&gt;0, R101=0), IF(IFERROR(ROUND(AC101,8),0)=0, "Group 9: Only Passed | Without variation (no var CV = 0)", "Group 10: Only Passed | With variation (with var CV &gt; 0)"), IF(AND(Q101=0, R101&gt;0), IF(IFERROR(ROUND(AF101,8),0)=0, "Group 11: Only Failed | Without variation (no var CV = 0)", "Group 12: Only Failed | With variation (with var CV &gt; 0)"), IF(AND(Q101&gt;0, R101&gt;0), IF(ROUND(AA101,5)&lt;&gt;ROUND(AD101,5), IF(AND(IFERROR(ROUND(AC101,8),0)=0, IFERROR(ROUND(AF101,8),0)=0), "Group 1: Flaky | Passed (no variation: CV = 0) AND Failed (no variation: CV = 0) | Different Means", IF(AND(IFERROR(ROUND(AC101,8),0)&gt;0, IFERROR(ROUND(AF101,8),0)&gt;0), "Group 2: Flaky | Passed (with variation: CV &gt; 0) AND Failed (with variation: CV &gt; 0) | Different Means", IF(AND(IFERROR(ROUND(AC101,8),0)=0, IFERROR(ROUND(AF101,8),0)&gt;0), "Group 3: Flaky | Passed (no variation: CV = 0) AND Failed (with variation: CV &gt; 0) | Different Means", "Group 4: Flaky | Passed (with variation: CV &gt; 0) AND Failed (no variation: CV = 0) | Different Means"))), IF(AND(IFERROR(ROUND(AC101,8),0)=0, IFERROR(ROUND(AF101,8),0)=0), "Group 5: Flaky | Passed (no var CV = 0) AND Failed (no var CV = 0) | Equal Means", IF(AND(IFERROR(ROUND(AC101,8),0)&gt;0, IFERROR(ROUND(AF101,8),0)&gt;0), "Group 6: Flaky | Passed (with var CV &gt; 0) AND Failed (with var CV &gt; 0) | Equal Means", IF(AND(IFERROR(ROUND(AC101,8),0)=0, IFERROR(ROUND(AF101,8),0)&gt;0),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1" s="22" t="n">
        <v>100</v>
      </c>
      <c r="AI101" s="17" t="n">
        <v>0</v>
      </c>
      <c r="AJ101" s="31" t="str">
        <f aca="false">IF(AND(AH101&gt;0, AI101&gt;0), "Observed Flaky Test", "Non-observed Flaky Test")</f>
        <v>Non-observed Flaky Test</v>
      </c>
      <c r="AK101" s="32" t="n">
        <v>372579.3</v>
      </c>
      <c r="AL101" s="40" t="n">
        <v>10.6945657870592</v>
      </c>
      <c r="AM101" s="33" t="n">
        <f aca="false">IFERROR(AL101/AK101*100,"N/A")</f>
        <v>0.00287041330182842</v>
      </c>
      <c r="AN101" s="32" t="n">
        <v>0</v>
      </c>
      <c r="AO101" s="32" t="n">
        <v>0</v>
      </c>
      <c r="AP101" s="35" t="str">
        <f aca="false">IFERROR(AO101/AN101*100,"N/A")</f>
        <v>N/A</v>
      </c>
      <c r="AQ101" s="52" t="str">
        <f aca="false">IF(AND(AH101&gt;0, AI101&gt;0),
    IF(ROUND(N(AK101),5)&lt;&gt;ROUND(N(AN101),5),
        IF(AND(ROUND(N(AL101),8)=0, ROUND(N(AO101),8)=0), "Group 1: Flaky | Passed (no variation: SD = 0) AND Failed (no variation: SD = 0) | Different Means",
        IF(AND(ROUND(N(AL101),8)&gt;0, ROUND(N(AO101),8)&gt;0), "Group 2: Flaky | Passed (with variation: SD &gt; 0) AND Failed (with variation: SD &gt; 0) | Different Means",
        IF(AND(ROUND(N(AL101),8)=0, ROUND(N(AO101),8)&gt;0), "Group 3: Flaky | Passed (no variation: SD = 0) AND Failed (with variation: SD &gt; 0) | Different Means",
        "Group 4: Flaky | Passed (with variation: SD &gt; 0) AND Failed (no variation: SD = 0) | Different Means"))),
        IF(AND(ROUND(N(AL101),8)=0, ROUND(N(AO101),8)=0), "Group 5: Flaky | Passed (no var SD = 0) AND Failed (no var SD = 0) | Equal Means",
        IF(AND(ROUND(N(AL101),8)&gt;0, ROUND(N(AO101),8)&gt;0), "Group 6: Flaky | Passed (with var SD &gt; 0 ) AND Failed (with var SD &gt; 0) | Equal Means",
        IF(AND(ROUND(N(AL101),8)=0, ROUND(N(AO101),8)&gt;0), "Group 7: Flaky | Passed (no var SD = 0) AND Failed (with var SD &gt; 0) | Equal Means",
        "Group 8: Flaky | Passed (with var SD &gt; 0 ) AND Failed (no var SD = 0) | Equal Means")))
    ),
    IF(AH101&gt;0,
        IF(N(AL101)&gt;0, "Group 10: Only Passed | With variation (with var SD &gt; 0)", "Group 9: Only Passed | Without variation (no var SD = 0)"),
        IF(AI101&gt;0,
            IF(N(AO101)&gt;0,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1" s="37" t="str">
        <f aca="false">IF(OR(F101="Observed Flaky Test", I101="Observed Flaky Test", S101="Observed Flaky Test", AJ101="Observed Flaky Test"), "Observed Flaky Test", "Non-observed Flaky Test")</f>
        <v>Non-observed Flaky Test</v>
      </c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customFormat="false" ht="15.75" hidden="false" customHeight="true" outlineLevel="0" collapsed="false">
      <c r="A102" s="13"/>
      <c r="B102" s="14" t="s">
        <v>234</v>
      </c>
      <c r="C102" s="14" t="s">
        <v>235</v>
      </c>
      <c r="D102" s="15" t="n">
        <v>0</v>
      </c>
      <c r="E102" s="15" t="n">
        <v>100</v>
      </c>
      <c r="F102" s="16" t="str">
        <f aca="false">IF(AND(D102&gt;0, E102&gt;0), "Observed Flaky Test", "Non-observed Flaky Test")</f>
        <v>Non-observed Flaky Test</v>
      </c>
      <c r="G102" s="17" t="n">
        <v>100</v>
      </c>
      <c r="H102" s="17" t="n">
        <v>0</v>
      </c>
      <c r="I102" s="16" t="str">
        <f aca="false">IF(AND(G102&gt;0, H102&gt;0), "Observed Flaky Test", "Non-observed Flaky Test")</f>
        <v>Non-observed Flaky Test</v>
      </c>
      <c r="J102" s="46" t="n">
        <v>35.1201</v>
      </c>
      <c r="K102" s="53" t="n">
        <v>0.000995</v>
      </c>
      <c r="L102" s="19" t="n">
        <f aca="false">IFERROR(K102/J102*100,"N/A")</f>
        <v>0.00283313544095831</v>
      </c>
      <c r="M102" s="18" t="n">
        <v>0</v>
      </c>
      <c r="N102" s="18" t="n">
        <v>0</v>
      </c>
      <c r="O102" s="20" t="str">
        <f aca="false">IFERROR(N102/M102*100,"N/A")</f>
        <v>N/A</v>
      </c>
      <c r="P102" s="48" t="str">
        <f aca="false">IF(AND(G102&gt;0, H102=0), IF(ROUND(K102,8)=0, "Group 9: Only Passed | Without variation (SD Passed = 0)", "Group 10: Only Passed | With variation (SD Passed &gt; 0)"), IF(AND(G102=0, H102&gt;0), IF(ROUND(N102,8)=0, "Group 11: Only Failed | Without variation (SD Failed = 0)", "Group 12: Only Failed | With variation (SD Failed &gt; 0)"), IF(AND(G102&gt;0, H102&gt;0), IF(ROUND(J102,5)&lt;&gt;ROUND(M102,5), IF(AND(ROUND(K102,8)=0, ROUND(N102,8)=0), "Group 1: Flaky | Passed (no variation) AND Failed (no variation) | Different Means", IF(AND(ROUND(K102,8)&gt;0, ROUND(N102,8)&gt;0), "Group 2: Flaky | Passed (with variation) AND Failed (with variation) | Different Means", IF(AND(ROUND(K102,8)=0, ROUND(N102,8)&gt;0), "Group 3: Flaky | Passed (no variation) AND Failed (with variation) | Different Means", "Group 4: Flaky | Passed (with variation) AND Failed (no variation) | Different Means"))), IF(AND(ROUND(K102,8)=0, ROUND(N102,8)=0), "Group 5: Flaky | Passed (no variation) AND Failed (no variation) | Equal Means", IF(AND(ROUND(K102,8)&gt;0, ROUND(N102,8)&gt;0), "Group 6: Flaky | Passed (with variation) AND Failed (with variation) | Equal Means", IF(AND(ROUND(K102,8)=0, ROUND(N102,8)&gt;0),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2" s="22" t="n">
        <v>100</v>
      </c>
      <c r="R102" s="22" t="n">
        <v>0</v>
      </c>
      <c r="S102" s="23" t="str">
        <f aca="false">IF(AND(Q102&gt;0, R102&gt;0), "Observed Flaky Test", "Non-observed Flaky Test")</f>
        <v>Non-observed Flaky Test</v>
      </c>
      <c r="T102" s="22" t="n">
        <v>1110671.43</v>
      </c>
      <c r="U102" s="24" t="n">
        <v>14.929636</v>
      </c>
      <c r="V102" s="25" t="n">
        <f aca="false">IFERROR(U102/T102*100,"N/A")</f>
        <v>0.00134419915708105</v>
      </c>
      <c r="W102" s="22" t="n">
        <v>0</v>
      </c>
      <c r="X102" s="22" t="n">
        <v>0</v>
      </c>
      <c r="Y102" s="27" t="str">
        <f aca="false">IFERROR(X102/W102*100,"N/A")</f>
        <v>N/A</v>
      </c>
      <c r="Z102" s="50" t="str">
        <f aca="false">IF(AND(Q102&gt;0, R102=0), IF(IFERROR(ROUND(V102,8),0)=0, "Group 9: Only Passed | Without variation (no var CV = 0)", "Group 10: Only Passed | With variation (with var CV &gt; 0)"), IF(AND(Q102=0, R102&gt;0), IF(IFERROR(ROUND(Y102,8),0)=0, "Group 11: Only Failed | Without variation (no var CV = 0)", "Group 12: Only Failed | With variation (with var CV &gt; 0)"), IF(AND(Q102&gt;0, R102&gt;0), IF(ROUND(T102,5)&lt;&gt;ROUND(W102,5), IF(AND(IFERROR(ROUND(V102,8),0)=0, IFERROR(ROUND(Y102,8),0)=0), "Group 1: Flaky | Passed (no variation: CV = 0) AND Failed (no variation: CV = 0) | Different Means", IF(AND(IFERROR(ROUND(V102,8),0)&gt;0, IFERROR(ROUND(Y102,8),0)&gt;0), "Group 2: Flaky | Passed (with variation: CV &gt; 0) AND Failed (with variation: CV &gt; 0) | Different Means", IF(AND(IFERROR(ROUND(V102,8),0)=0, IFERROR(ROUND(Y102,8),0)&gt;0), "Group 3: Flaky | Passed (no variation: CV = 0) AND Failed (with variation: CV &gt; 0) | Different Means", "Group 4: Flaky | Passed (with variation: CV &gt; 0) AND Failed (no variation: CV = 0) | Different Means"))), IF(AND(IFERROR(ROUND(V102,8),0)=0, IFERROR(ROUND(Y102,8),0)=0), "Group 5: Flaky | Passed (no var CV = 0) AND Failed (no var CV = 0) | Equal Means", IF(AND(IFERROR(ROUND(V102,8),0)&gt;0, IFERROR(ROUND(Y102,8),0)&gt;0), "Group 6: Flaky | Passed (with var CV &gt; 0) AND Failed (with var CV &gt; 0) | Equal Means", IF(AND(IFERROR(ROUND(V102,8),0)=0, IFERROR(ROUND(Y102,8),0)&gt;0),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2" s="29" t="n">
        <v>11.387241</v>
      </c>
      <c r="AB102" s="29" t="n">
        <v>0.024652</v>
      </c>
      <c r="AC102" s="29" t="n">
        <f aca="false">IFERROR(AB102/AA102*100,"N/A")</f>
        <v>0.216487909582312</v>
      </c>
      <c r="AD102" s="29" t="n">
        <v>0</v>
      </c>
      <c r="AE102" s="29" t="n">
        <v>0</v>
      </c>
      <c r="AF102" s="29" t="str">
        <f aca="false">IFERROR(AE102/AD102*100,"N/A")</f>
        <v>N/A</v>
      </c>
      <c r="AG102" s="51" t="str">
        <f aca="false">IF(AND(Q102&gt;0, R102=0), IF(IFERROR(ROUND(AC102,8),0)=0, "Group 9: Only Passed | Without variation (no var CV = 0)", "Group 10: Only Passed | With variation (with var CV &gt; 0)"), IF(AND(Q102=0, R102&gt;0), IF(IFERROR(ROUND(AF102,8),0)=0, "Group 11: Only Failed | Without variation (no var CV = 0)", "Group 12: Only Failed | With variation (with var CV &gt; 0)"), IF(AND(Q102&gt;0, R102&gt;0), IF(ROUND(AA102,5)&lt;&gt;ROUND(AD102,5), IF(AND(IFERROR(ROUND(AC102,8),0)=0, IFERROR(ROUND(AF102,8),0)=0), "Group 1: Flaky | Passed (no variation: CV = 0) AND Failed (no variation: CV = 0) | Different Means", IF(AND(IFERROR(ROUND(AC102,8),0)&gt;0, IFERROR(ROUND(AF102,8),0)&gt;0), "Group 2: Flaky | Passed (with variation: CV &gt; 0) AND Failed (with variation: CV &gt; 0) | Different Means", IF(AND(IFERROR(ROUND(AC102,8),0)=0, IFERROR(ROUND(AF102,8),0)&gt;0), "Group 3: Flaky | Passed (no variation: CV = 0) AND Failed (with variation: CV &gt; 0) | Different Means", "Group 4: Flaky | Passed (with variation: CV &gt; 0) AND Failed (no variation: CV = 0) | Different Means"))), IF(AND(IFERROR(ROUND(AC102,8),0)=0, IFERROR(ROUND(AF102,8),0)=0), "Group 5: Flaky | Passed (no var CV = 0) AND Failed (no var CV = 0) | Equal Means", IF(AND(IFERROR(ROUND(AC102,8),0)&gt;0, IFERROR(ROUND(AF102,8),0)&gt;0), "Group 6: Flaky | Passed (with var CV &gt; 0) AND Failed (with var CV &gt; 0) | Equal Means", IF(AND(IFERROR(ROUND(AC102,8),0)=0, IFERROR(ROUND(AF102,8),0)&gt;0),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2" s="22" t="n">
        <v>100</v>
      </c>
      <c r="AI102" s="17" t="n">
        <v>0</v>
      </c>
      <c r="AJ102" s="31" t="str">
        <f aca="false">IF(AND(AH102&gt;0, AI102&gt;0), "Observed Flaky Test", "Non-observed Flaky Test")</f>
        <v>Non-observed Flaky Test</v>
      </c>
      <c r="AK102" s="32" t="n">
        <v>351859</v>
      </c>
      <c r="AL102" s="32" t="n">
        <v>0</v>
      </c>
      <c r="AM102" s="33" t="n">
        <f aca="false">IFERROR(AL102/AK102*100,"N/A")</f>
        <v>0</v>
      </c>
      <c r="AN102" s="32" t="n">
        <v>0</v>
      </c>
      <c r="AO102" s="32" t="n">
        <v>0</v>
      </c>
      <c r="AP102" s="35" t="str">
        <f aca="false">IFERROR(AO102/AN102*100,"N/A")</f>
        <v>N/A</v>
      </c>
      <c r="AQ102" s="45" t="str">
        <f aca="false">IF(AND(AH102&gt;0, AI102&gt;0),
    IF(ROUND(N(AK102),5)&lt;&gt;ROUND(N(AN102),5),
        IF(AND(ROUND(N(AL102),8)=0, ROUND(N(AO102),8)=0), "Group 1: Flaky | Passed (no variation: SD = 0) AND Failed (no variation: SD = 0) | Different Means",
        IF(AND(ROUND(N(AL102),8)&gt;0, ROUND(N(AO102),8)&gt;0), "Group 2: Flaky | Passed (with variation: SD &gt; 0) AND Failed (with variation: SD &gt; 0) | Different Means",
        IF(AND(ROUND(N(AL102),8)=0, ROUND(N(AO102),8)&gt;0), "Group 3: Flaky | Passed (no variation: SD = 0) AND Failed (with variation: SD &gt; 0) | Different Means",
        "Group 4: Flaky | Passed (with variation: SD &gt; 0) AND Failed (no variation: SD = 0) | Different Means"))),
        IF(AND(ROUND(N(AL102),8)=0, ROUND(N(AO102),8)=0), "Group 5: Flaky | Passed (no var SD = 0) AND Failed (no var SD = 0) | Equal Means",
        IF(AND(ROUND(N(AL102),8)&gt;0, ROUND(N(AO102),8)&gt;0), "Group 6: Flaky | Passed (with var SD &gt; 0 ) AND Failed (with var SD &gt; 0) | Equal Means",
        IF(AND(ROUND(N(AL102),8)=0, ROUND(N(AO102),8)&gt;0), "Group 7: Flaky | Passed (no var SD = 0) AND Failed (with var SD &gt; 0) | Equal Means",
        "Group 8: Flaky | Passed (with var SD &gt; 0 ) AND Failed (no var SD = 0) | Equal Means")))
    ),
    IF(AH102&gt;0,
        IF(N(AL102)&gt;0, "Group 10: Only Passed | With variation (with var SD &gt; 0)", "Group 9: Only Passed | Without variation (no var SD = 0)"),
        IF(AI102&gt;0,
            IF(N(AO102)&gt;0,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02" s="37" t="str">
        <f aca="false">IF(OR(F102="Observed Flaky Test", I102="Observed Flaky Test", S102="Observed Flaky Test", AJ102="Observed Flaky Test"), "Observed Flaky Test", "Non-observed Flaky Test")</f>
        <v>Non-observed Flaky Test</v>
      </c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</row>
    <row r="103" customFormat="false" ht="15.75" hidden="false" customHeight="true" outlineLevel="0" collapsed="false">
      <c r="A103" s="13"/>
      <c r="B103" s="14" t="s">
        <v>236</v>
      </c>
      <c r="C103" s="14" t="s">
        <v>237</v>
      </c>
      <c r="D103" s="15" t="n">
        <v>0</v>
      </c>
      <c r="E103" s="15" t="n">
        <v>100</v>
      </c>
      <c r="F103" s="16" t="str">
        <f aca="false">IF(AND(D103&gt;0, E103&gt;0), "Observed Flaky Test", "Non-observed Flaky Test")</f>
        <v>Non-observed Flaky Test</v>
      </c>
      <c r="G103" s="17" t="n">
        <v>100</v>
      </c>
      <c r="H103" s="17" t="n">
        <v>0</v>
      </c>
      <c r="I103" s="16" t="str">
        <f aca="false">IF(AND(G103&gt;0, H103&gt;0), "Observed Flaky Test", "Non-observed Flaky Test")</f>
        <v>Non-observed Flaky Test</v>
      </c>
      <c r="J103" s="18" t="n">
        <v>25.59</v>
      </c>
      <c r="K103" s="18" t="n">
        <v>0</v>
      </c>
      <c r="L103" s="19" t="n">
        <f aca="false">IFERROR(K103/J103*100,"N/A")</f>
        <v>0</v>
      </c>
      <c r="M103" s="18" t="n">
        <v>0</v>
      </c>
      <c r="N103" s="18" t="n">
        <v>0</v>
      </c>
      <c r="O103" s="20" t="str">
        <f aca="false">IFERROR(N103/M103*100,"N/A")</f>
        <v>N/A</v>
      </c>
      <c r="P103" s="56" t="str">
        <f aca="false">IF(AND(G103&gt;0, H103=0), IF(ROUND(K103,8)=0, "Group 9: Only Passed | Without variation (SD Passed = 0)", "Group 10: Only Passed | With variation (SD Passed &gt; 0)"), IF(AND(G103=0, H103&gt;0), IF(ROUND(N103,8)=0, "Group 11: Only Failed | Without variation (SD Failed = 0)", "Group 12: Only Failed | With variation (SD Failed &gt; 0)"), IF(AND(G103&gt;0, H103&gt;0), IF(ROUND(J103,5)&lt;&gt;ROUND(M103,5), IF(AND(ROUND(K103,8)=0, ROUND(N103,8)=0), "Group 1: Flaky | Passed (no variation) AND Failed (no variation) | Different Means", IF(AND(ROUND(K103,8)&gt;0, ROUND(N103,8)&gt;0), "Group 2: Flaky | Passed (with variation) AND Failed (with variation) | Different Means", IF(AND(ROUND(K103,8)=0, ROUND(N103,8)&gt;0), "Group 3: Flaky | Passed (no variation) AND Failed (with variation) | Different Means", "Group 4: Flaky | Passed (with variation) AND Failed (no variation) | Different Means"))), IF(AND(ROUND(K103,8)=0, ROUND(N103,8)=0), "Group 5: Flaky | Passed (no variation) AND Failed (no variation) | Equal Means", IF(AND(ROUND(K103,8)&gt;0, ROUND(N103,8)&gt;0), "Group 6: Flaky | Passed (with variation) AND Failed (with variation) | Equal Means", IF(AND(ROUND(K103,8)=0, ROUND(N103,8)&gt;0),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03" s="22" t="n">
        <v>100</v>
      </c>
      <c r="R103" s="22" t="n">
        <v>0</v>
      </c>
      <c r="S103" s="23" t="str">
        <f aca="false">IF(AND(Q103&gt;0, R103&gt;0), "Observed Flaky Test", "Non-observed Flaky Test")</f>
        <v>Non-observed Flaky Test</v>
      </c>
      <c r="T103" s="22" t="n">
        <v>1283066.77</v>
      </c>
      <c r="U103" s="24" t="n">
        <v>11.611432</v>
      </c>
      <c r="V103" s="25" t="n">
        <f aca="false">IFERROR(U103/T103*100,"N/A")</f>
        <v>0.000904974882951727</v>
      </c>
      <c r="W103" s="22" t="n">
        <v>0</v>
      </c>
      <c r="X103" s="22" t="n">
        <v>0</v>
      </c>
      <c r="Y103" s="27" t="str">
        <f aca="false">IFERROR(X103/W103*100,"N/A")</f>
        <v>N/A</v>
      </c>
      <c r="Z103" s="50" t="str">
        <f aca="false">IF(AND(Q103&gt;0, R103=0), IF(IFERROR(ROUND(V103,8),0)=0, "Group 9: Only Passed | Without variation (no var CV = 0)", "Group 10: Only Passed | With variation (with var CV &gt; 0)"), IF(AND(Q103=0, R103&gt;0), IF(IFERROR(ROUND(Y103,8),0)=0, "Group 11: Only Failed | Without variation (no var CV = 0)", "Group 12: Only Failed | With variation (with var CV &gt; 0)"), IF(AND(Q103&gt;0, R103&gt;0), IF(ROUND(T103,5)&lt;&gt;ROUND(W103,5), IF(AND(IFERROR(ROUND(V103,8),0)=0, IFERROR(ROUND(Y103,8),0)=0), "Group 1: Flaky | Passed (no variation: CV = 0) AND Failed (no variation: CV = 0) | Different Means", IF(AND(IFERROR(ROUND(V103,8),0)&gt;0, IFERROR(ROUND(Y103,8),0)&gt;0), "Group 2: Flaky | Passed (with variation: CV &gt; 0) AND Failed (with variation: CV &gt; 0) | Different Means", IF(AND(IFERROR(ROUND(V103,8),0)=0, IFERROR(ROUND(Y103,8),0)&gt;0), "Group 3: Flaky | Passed (no variation: CV = 0) AND Failed (with variation: CV &gt; 0) | Different Means", "Group 4: Flaky | Passed (with variation: CV &gt; 0) AND Failed (no variation: CV = 0) | Different Means"))), IF(AND(IFERROR(ROUND(V103,8),0)=0, IFERROR(ROUND(Y103,8),0)=0), "Group 5: Flaky | Passed (no var CV = 0) AND Failed (no var CV = 0) | Equal Means", IF(AND(IFERROR(ROUND(V103,8),0)&gt;0, IFERROR(ROUND(Y103,8),0)&gt;0), "Group 6: Flaky | Passed (with var CV &gt; 0) AND Failed (with var CV &gt; 0) | Equal Means", IF(AND(IFERROR(ROUND(V103,8),0)=0, IFERROR(ROUND(Y103,8),0)&gt;0),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3" s="29" t="n">
        <v>1.412895</v>
      </c>
      <c r="AB103" s="29" t="n">
        <v>0.042315</v>
      </c>
      <c r="AC103" s="29" t="n">
        <f aca="false">IFERROR(AB103/AA103*100,"N/A")</f>
        <v>2.99491469642118</v>
      </c>
      <c r="AD103" s="29" t="n">
        <v>0</v>
      </c>
      <c r="AE103" s="29" t="n">
        <v>0</v>
      </c>
      <c r="AF103" s="29" t="str">
        <f aca="false">IFERROR(AE103/AD103*100,"N/A")</f>
        <v>N/A</v>
      </c>
      <c r="AG103" s="51" t="str">
        <f aca="false">IF(AND(Q103&gt;0, R103=0), IF(IFERROR(ROUND(AC103,8),0)=0, "Group 9: Only Passed | Without variation (no var CV = 0)", "Group 10: Only Passed | With variation (with var CV &gt; 0)"), IF(AND(Q103=0, R103&gt;0), IF(IFERROR(ROUND(AF103,8),0)=0, "Group 11: Only Failed | Without variation (no var CV = 0)", "Group 12: Only Failed | With variation (with var CV &gt; 0)"), IF(AND(Q103&gt;0, R103&gt;0), IF(ROUND(AA103,5)&lt;&gt;ROUND(AD103,5), IF(AND(IFERROR(ROUND(AC103,8),0)=0, IFERROR(ROUND(AF103,8),0)=0), "Group 1: Flaky | Passed (no variation: CV = 0) AND Failed (no variation: CV = 0) | Different Means", IF(AND(IFERROR(ROUND(AC103,8),0)&gt;0, IFERROR(ROUND(AF103,8),0)&gt;0), "Group 2: Flaky | Passed (with variation: CV &gt; 0) AND Failed (with variation: CV &gt; 0) | Different Means", IF(AND(IFERROR(ROUND(AC103,8),0)=0, IFERROR(ROUND(AF103,8),0)&gt;0), "Group 3: Flaky | Passed (no variation: CV = 0) AND Failed (with variation: CV &gt; 0) | Different Means", "Group 4: Flaky | Passed (with variation: CV &gt; 0) AND Failed (no variation: CV = 0) | Different Means"))), IF(AND(IFERROR(ROUND(AC103,8),0)=0, IFERROR(ROUND(AF103,8),0)=0), "Group 5: Flaky | Passed (no var CV = 0) AND Failed (no var CV = 0) | Equal Means", IF(AND(IFERROR(ROUND(AC103,8),0)&gt;0, IFERROR(ROUND(AF103,8),0)&gt;0), "Group 6: Flaky | Passed (with var CV &gt; 0) AND Failed (with var CV &gt; 0) | Equal Means", IF(AND(IFERROR(ROUND(AC103,8),0)=0, IFERROR(ROUND(AF103,8),0)&gt;0),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3" s="22" t="n">
        <v>100</v>
      </c>
      <c r="AI103" s="17" t="n">
        <v>0</v>
      </c>
      <c r="AJ103" s="31" t="str">
        <f aca="false">IF(AND(AH103&gt;0, AI103&gt;0), "Observed Flaky Test", "Non-observed Flaky Test")</f>
        <v>Non-observed Flaky Test</v>
      </c>
      <c r="AK103" s="32" t="n">
        <v>2520687.54</v>
      </c>
      <c r="AL103" s="40" t="n">
        <v>20.8648464691647</v>
      </c>
      <c r="AM103" s="33" t="n">
        <f aca="false">IFERROR(AL103/AK103*100,"N/A")</f>
        <v>0.000827744261756644</v>
      </c>
      <c r="AN103" s="32" t="n">
        <v>0</v>
      </c>
      <c r="AO103" s="32" t="n">
        <v>0</v>
      </c>
      <c r="AP103" s="35" t="str">
        <f aca="false">IFERROR(AO103/AN103*100,"N/A")</f>
        <v>N/A</v>
      </c>
      <c r="AQ103" s="52" t="str">
        <f aca="false">IF(AND(AH103&gt;0, AI103&gt;0),
    IF(ROUND(N(AK103),5)&lt;&gt;ROUND(N(AN103),5),
        IF(AND(ROUND(N(AL103),8)=0, ROUND(N(AO103),8)=0), "Group 1: Flaky | Passed (no variation: SD = 0) AND Failed (no variation: SD = 0) | Different Means",
        IF(AND(ROUND(N(AL103),8)&gt;0, ROUND(N(AO103),8)&gt;0), "Group 2: Flaky | Passed (with variation: SD &gt; 0) AND Failed (with variation: SD &gt; 0) | Different Means",
        IF(AND(ROUND(N(AL103),8)=0, ROUND(N(AO103),8)&gt;0), "Group 3: Flaky | Passed (no variation: SD = 0) AND Failed (with variation: SD &gt; 0) | Different Means",
        "Group 4: Flaky | Passed (with variation: SD &gt; 0) AND Failed (no variation: SD = 0) | Different Means"))),
        IF(AND(ROUND(N(AL103),8)=0, ROUND(N(AO103),8)=0), "Group 5: Flaky | Passed (no var SD = 0) AND Failed (no var SD = 0) | Equal Means",
        IF(AND(ROUND(N(AL103),8)&gt;0, ROUND(N(AO103),8)&gt;0), "Group 6: Flaky | Passed (with var SD &gt; 0 ) AND Failed (with var SD &gt; 0) | Equal Means",
        IF(AND(ROUND(N(AL103),8)=0, ROUND(N(AO103),8)&gt;0), "Group 7: Flaky | Passed (no var SD = 0) AND Failed (with var SD &gt; 0) | Equal Means",
        "Group 8: Flaky | Passed (with var SD &gt; 0 ) AND Failed (no var SD = 0) | Equal Means")))
    ),
    IF(AH103&gt;0,
        IF(N(AL103)&gt;0, "Group 10: Only Passed | With variation (with var SD &gt; 0)", "Group 9: Only Passed | Without variation (no var SD = 0)"),
        IF(AI103&gt;0,
            IF(N(AO103)&gt;0,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3" s="37" t="str">
        <f aca="false">IF(OR(F103="Observed Flaky Test", I103="Observed Flaky Test", S103="Observed Flaky Test", AJ103="Observed Flaky Test"), "Observed Flaky Test", "Non-observed Flaky Test")</f>
        <v>Non-observed Flaky Test</v>
      </c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</row>
    <row r="104" customFormat="false" ht="15.75" hidden="false" customHeight="true" outlineLevel="0" collapsed="false">
      <c r="A104" s="13"/>
      <c r="B104" s="14" t="s">
        <v>238</v>
      </c>
      <c r="C104" s="14" t="s">
        <v>239</v>
      </c>
      <c r="D104" s="15" t="n">
        <v>0</v>
      </c>
      <c r="E104" s="15" t="n">
        <v>100</v>
      </c>
      <c r="F104" s="16" t="str">
        <f aca="false">IF(AND(D104&gt;0, E104&gt;0), "Observed Flaky Test", "Non-observed Flaky Test")</f>
        <v>Non-observed Flaky Test</v>
      </c>
      <c r="G104" s="17" t="n">
        <v>100</v>
      </c>
      <c r="H104" s="17" t="n">
        <v>0</v>
      </c>
      <c r="I104" s="16" t="str">
        <f aca="false">IF(AND(G104&gt;0, H104&gt;0), "Observed Flaky Test", "Non-observed Flaky Test")</f>
        <v>Non-observed Flaky Test</v>
      </c>
      <c r="J104" s="18" t="n">
        <v>25.39</v>
      </c>
      <c r="K104" s="18" t="n">
        <v>0</v>
      </c>
      <c r="L104" s="19" t="n">
        <f aca="false">IFERROR(K104/J104*100,"N/A")</f>
        <v>0</v>
      </c>
      <c r="M104" s="18" t="n">
        <v>0</v>
      </c>
      <c r="N104" s="18" t="n">
        <v>0</v>
      </c>
      <c r="O104" s="20" t="str">
        <f aca="false">IFERROR(N104/M104*100,"N/A")</f>
        <v>N/A</v>
      </c>
      <c r="P104" s="56" t="str">
        <f aca="false">IF(AND(G104&gt;0, H104=0), IF(ROUND(K104,8)=0, "Group 9: Only Passed | Without variation (SD Passed = 0)", "Group 10: Only Passed | With variation (SD Passed &gt; 0)"), IF(AND(G104=0, H104&gt;0), IF(ROUND(N104,8)=0, "Group 11: Only Failed | Without variation (SD Failed = 0)", "Group 12: Only Failed | With variation (SD Failed &gt; 0)"), IF(AND(G104&gt;0, H104&gt;0), IF(ROUND(J104,5)&lt;&gt;ROUND(M104,5), IF(AND(ROUND(K104,8)=0, ROUND(N104,8)=0), "Group 1: Flaky | Passed (no variation) AND Failed (no variation) | Different Means", IF(AND(ROUND(K104,8)&gt;0, ROUND(N104,8)&gt;0), "Group 2: Flaky | Passed (with variation) AND Failed (with variation) | Different Means", IF(AND(ROUND(K104,8)=0, ROUND(N104,8)&gt;0), "Group 3: Flaky | Passed (no variation) AND Failed (with variation) | Different Means", "Group 4: Flaky | Passed (with variation) AND Failed (no variation) | Different Means"))), IF(AND(ROUND(K104,8)=0, ROUND(N104,8)=0), "Group 5: Flaky | Passed (no variation) AND Failed (no variation) | Equal Means", IF(AND(ROUND(K104,8)&gt;0, ROUND(N104,8)&gt;0), "Group 6: Flaky | Passed (with variation) AND Failed (with variation) | Equal Means", IF(AND(ROUND(K104,8)=0, ROUND(N104,8)&gt;0),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04" s="22" t="n">
        <v>100</v>
      </c>
      <c r="R104" s="22" t="n">
        <v>0</v>
      </c>
      <c r="S104" s="23" t="str">
        <f aca="false">IF(AND(Q104&gt;0, R104&gt;0), "Observed Flaky Test", "Non-observed Flaky Test")</f>
        <v>Non-observed Flaky Test</v>
      </c>
      <c r="T104" s="22" t="n">
        <v>1138003.44</v>
      </c>
      <c r="U104" s="88" t="n">
        <v>12.552371</v>
      </c>
      <c r="V104" s="25" t="n">
        <f aca="false">IFERROR(U104/T104*100,"N/A")</f>
        <v>0.00110301696451814</v>
      </c>
      <c r="W104" s="22" t="n">
        <v>0</v>
      </c>
      <c r="X104" s="22" t="n">
        <v>0</v>
      </c>
      <c r="Y104" s="27" t="str">
        <f aca="false">IFERROR(X104/W104*100,"N/A")</f>
        <v>N/A</v>
      </c>
      <c r="Z104" s="50" t="str">
        <f aca="false">IF(AND(Q104&gt;0, R104=0), IF(IFERROR(ROUND(V104,8),0)=0, "Group 9: Only Passed | Without variation (no var CV = 0)", "Group 10: Only Passed | With variation (with var CV &gt; 0)"), IF(AND(Q104=0, R104&gt;0), IF(IFERROR(ROUND(Y104,8),0)=0, "Group 11: Only Failed | Without variation (no var CV = 0)", "Group 12: Only Failed | With variation (with var CV &gt; 0)"), IF(AND(Q104&gt;0, R104&gt;0), IF(ROUND(T104,5)&lt;&gt;ROUND(W104,5), IF(AND(IFERROR(ROUND(V104,8),0)=0, IFERROR(ROUND(Y104,8),0)=0), "Group 1: Flaky | Passed (no variation: CV = 0) AND Failed (no variation: CV = 0) | Different Means", IF(AND(IFERROR(ROUND(V104,8),0)&gt;0, IFERROR(ROUND(Y104,8),0)&gt;0), "Group 2: Flaky | Passed (with variation: CV &gt; 0) AND Failed (with variation: CV &gt; 0) | Different Means", IF(AND(IFERROR(ROUND(V104,8),0)=0, IFERROR(ROUND(Y104,8),0)&gt;0), "Group 3: Flaky | Passed (no variation: CV = 0) AND Failed (with variation: CV &gt; 0) | Different Means", "Group 4: Flaky | Passed (with variation: CV &gt; 0) AND Failed (no variation: CV = 0) | Different Means"))), IF(AND(IFERROR(ROUND(V104,8),0)=0, IFERROR(ROUND(Y104,8),0)=0), "Group 5: Flaky | Passed (no var CV = 0) AND Failed (no var CV = 0) | Equal Means", IF(AND(IFERROR(ROUND(V104,8),0)&gt;0, IFERROR(ROUND(Y104,8),0)&gt;0), "Group 6: Flaky | Passed (with var CV &gt; 0) AND Failed (with var CV &gt; 0) | Equal Means", IF(AND(IFERROR(ROUND(V104,8),0)=0, IFERROR(ROUND(Y104,8),0)&gt;0),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4" s="29" t="n">
        <v>1.881602</v>
      </c>
      <c r="AB104" s="29" t="n">
        <v>0.020334</v>
      </c>
      <c r="AC104" s="29" t="n">
        <f aca="false">IFERROR(AB104/AA104*100,"N/A")</f>
        <v>1.08067487173164</v>
      </c>
      <c r="AD104" s="29" t="n">
        <v>0</v>
      </c>
      <c r="AE104" s="29" t="n">
        <v>0</v>
      </c>
      <c r="AF104" s="29" t="str">
        <f aca="false">IFERROR(AE104/AD104*100,"N/A")</f>
        <v>N/A</v>
      </c>
      <c r="AG104" s="51" t="str">
        <f aca="false">IF(AND(Q104&gt;0, R104=0), IF(IFERROR(ROUND(AC104,8),0)=0, "Group 9: Only Passed | Without variation (no var CV = 0)", "Group 10: Only Passed | With variation (with var CV &gt; 0)"), IF(AND(Q104=0, R104&gt;0), IF(IFERROR(ROUND(AF104,8),0)=0, "Group 11: Only Failed | Without variation (no var CV = 0)", "Group 12: Only Failed | With variation (with var CV &gt; 0)"), IF(AND(Q104&gt;0, R104&gt;0), IF(ROUND(AA104,5)&lt;&gt;ROUND(AD104,5), IF(AND(IFERROR(ROUND(AC104,8),0)=0, IFERROR(ROUND(AF104,8),0)=0), "Group 1: Flaky | Passed (no variation: CV = 0) AND Failed (no variation: CV = 0) | Different Means", IF(AND(IFERROR(ROUND(AC104,8),0)&gt;0, IFERROR(ROUND(AF104,8),0)&gt;0), "Group 2: Flaky | Passed (with variation: CV &gt; 0) AND Failed (with variation: CV &gt; 0) | Different Means", IF(AND(IFERROR(ROUND(AC104,8),0)=0, IFERROR(ROUND(AF104,8),0)&gt;0), "Group 3: Flaky | Passed (no variation: CV = 0) AND Failed (with variation: CV &gt; 0) | Different Means", "Group 4: Flaky | Passed (with variation: CV &gt; 0) AND Failed (no variation: CV = 0) | Different Means"))), IF(AND(IFERROR(ROUND(AC104,8),0)=0, IFERROR(ROUND(AF104,8),0)=0), "Group 5: Flaky | Passed (no var CV = 0) AND Failed (no var CV = 0) | Equal Means", IF(AND(IFERROR(ROUND(AC104,8),0)&gt;0, IFERROR(ROUND(AF104,8),0)&gt;0), "Group 6: Flaky | Passed (with var CV &gt; 0) AND Failed (with var CV &gt; 0) | Equal Means", IF(AND(IFERROR(ROUND(AC104,8),0)=0, IFERROR(ROUND(AF104,8),0)&gt;0),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4" s="22" t="n">
        <v>100</v>
      </c>
      <c r="AI104" s="17" t="n">
        <v>0</v>
      </c>
      <c r="AJ104" s="31" t="str">
        <f aca="false">IF(AND(AH104&gt;0, AI104&gt;0), "Observed Flaky Test", "Non-observed Flaky Test")</f>
        <v>Non-observed Flaky Test</v>
      </c>
      <c r="AK104" s="81" t="n">
        <v>584162.44</v>
      </c>
      <c r="AL104" s="34" t="n">
        <v>445.294802361425</v>
      </c>
      <c r="AM104" s="33" t="n">
        <f aca="false">IFERROR(AL104/AK104*100,"N/A")</f>
        <v>0.0762279071488104</v>
      </c>
      <c r="AN104" s="32" t="n">
        <v>0</v>
      </c>
      <c r="AO104" s="32" t="n">
        <v>0</v>
      </c>
      <c r="AP104" s="35" t="str">
        <f aca="false">IFERROR(AO104/AN104*100,"N/A")</f>
        <v>N/A</v>
      </c>
      <c r="AQ104" s="52" t="str">
        <f aca="false">IF(AND(AH104&gt;0, AI104&gt;0),
    IF(ROUND(N(AK104),5)&lt;&gt;ROUND(N(AN104),5),
        IF(AND(ROUND(N(AL104),8)=0, ROUND(N(AO104),8)=0), "Group 1: Flaky | Passed (no variation: SD = 0) AND Failed (no variation: SD = 0) | Different Means",
        IF(AND(ROUND(N(AL104),8)&gt;0, ROUND(N(AO104),8)&gt;0), "Group 2: Flaky | Passed (with variation: SD &gt; 0) AND Failed (with variation: SD &gt; 0) | Different Means",
        IF(AND(ROUND(N(AL104),8)=0, ROUND(N(AO104),8)&gt;0), "Group 3: Flaky | Passed (no variation: SD = 0) AND Failed (with variation: SD &gt; 0) | Different Means",
        "Group 4: Flaky | Passed (with variation: SD &gt; 0) AND Failed (no variation: SD = 0) | Different Means"))),
        IF(AND(ROUND(N(AL104),8)=0, ROUND(N(AO104),8)=0), "Group 5: Flaky | Passed (no var SD = 0) AND Failed (no var SD = 0) | Equal Means",
        IF(AND(ROUND(N(AL104),8)&gt;0, ROUND(N(AO104),8)&gt;0), "Group 6: Flaky | Passed (with var SD &gt; 0 ) AND Failed (with var SD &gt; 0) | Equal Means",
        IF(AND(ROUND(N(AL104),8)=0, ROUND(N(AO104),8)&gt;0), "Group 7: Flaky | Passed (no var SD = 0) AND Failed (with var SD &gt; 0) | Equal Means",
        "Group 8: Flaky | Passed (with var SD &gt; 0 ) AND Failed (no var SD = 0) | Equal Means")))
    ),
    IF(AH104&gt;0,
        IF(N(AL104)&gt;0, "Group 10: Only Passed | With variation (with var SD &gt; 0)", "Group 9: Only Passed | Without variation (no var SD = 0)"),
        IF(AI104&gt;0,
            IF(N(AO104)&gt;0,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4" s="37" t="str">
        <f aca="false">IF(OR(F104="Observed Flaky Test", I104="Observed Flaky Test", S104="Observed Flaky Test", AJ104="Observed Flaky Test"), "Observed Flaky Test", "Non-observed Flaky Test")</f>
        <v>Non-observed Flaky Test</v>
      </c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customFormat="false" ht="15.75" hidden="false" customHeight="true" outlineLevel="0" collapsed="false">
      <c r="A105" s="13"/>
      <c r="B105" s="14" t="s">
        <v>240</v>
      </c>
      <c r="C105" s="14" t="s">
        <v>241</v>
      </c>
      <c r="D105" s="15" t="n">
        <v>0</v>
      </c>
      <c r="E105" s="15" t="n">
        <v>100</v>
      </c>
      <c r="F105" s="16" t="str">
        <f aca="false">IF(AND(D105&gt;0, E105&gt;0), "Observed Flaky Test", "Non-observed Flaky Test")</f>
        <v>Non-observed Flaky Test</v>
      </c>
      <c r="G105" s="17" t="n">
        <v>100</v>
      </c>
      <c r="H105" s="17" t="n">
        <v>0</v>
      </c>
      <c r="I105" s="16" t="str">
        <f aca="false">IF(AND(G105&gt;0, H105&gt;0), "Observed Flaky Test", "Non-observed Flaky Test")</f>
        <v>Non-observed Flaky Test</v>
      </c>
      <c r="J105" s="18" t="n">
        <v>24.62</v>
      </c>
      <c r="K105" s="18" t="n">
        <v>0</v>
      </c>
      <c r="L105" s="19" t="n">
        <f aca="false">IFERROR(K105/J105*100,"N/A")</f>
        <v>0</v>
      </c>
      <c r="M105" s="18" t="n">
        <v>0</v>
      </c>
      <c r="N105" s="18" t="n">
        <v>0</v>
      </c>
      <c r="O105" s="20" t="str">
        <f aca="false">IFERROR(N105/M105*100,"N/A")</f>
        <v>N/A</v>
      </c>
      <c r="P105" s="56" t="str">
        <f aca="false">IF(AND(G105&gt;0, H105=0), IF(ROUND(K105,8)=0, "Group 9: Only Passed | Without variation (SD Passed = 0)", "Group 10: Only Passed | With variation (SD Passed &gt; 0)"), IF(AND(G105=0, H105&gt;0), IF(ROUND(N105,8)=0, "Group 11: Only Failed | Without variation (SD Failed = 0)", "Group 12: Only Failed | With variation (SD Failed &gt; 0)"), IF(AND(G105&gt;0, H105&gt;0), IF(ROUND(J105,5)&lt;&gt;ROUND(M105,5), IF(AND(ROUND(K105,8)=0, ROUND(N105,8)=0), "Group 1: Flaky | Passed (no variation) AND Failed (no variation) | Different Means", IF(AND(ROUND(K105,8)&gt;0, ROUND(N105,8)&gt;0), "Group 2: Flaky | Passed (with variation) AND Failed (with variation) | Different Means", IF(AND(ROUND(K105,8)=0, ROUND(N105,8)&gt;0), "Group 3: Flaky | Passed (no variation) AND Failed (with variation) | Different Means", "Group 4: Flaky | Passed (with variation) AND Failed (no variation) | Different Means"))), IF(AND(ROUND(K105,8)=0, ROUND(N105,8)=0), "Group 5: Flaky | Passed (no variation) AND Failed (no variation) | Equal Means", IF(AND(ROUND(K105,8)&gt;0, ROUND(N105,8)&gt;0), "Group 6: Flaky | Passed (with variation) AND Failed (with variation) | Equal Means", IF(AND(ROUND(K105,8)=0, ROUND(N105,8)&gt;0),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05" s="22" t="n">
        <v>100</v>
      </c>
      <c r="R105" s="22" t="n">
        <v>0</v>
      </c>
      <c r="S105" s="23" t="str">
        <f aca="false">IF(AND(Q105&gt;0, R105&gt;0), "Observed Flaky Test", "Non-observed Flaky Test")</f>
        <v>Non-observed Flaky Test</v>
      </c>
      <c r="T105" s="22" t="n">
        <v>1066706.64</v>
      </c>
      <c r="U105" s="24" t="n">
        <v>12.330073</v>
      </c>
      <c r="V105" s="25" t="n">
        <f aca="false">IFERROR(U105/T105*100,"N/A")</f>
        <v>0.00115590102635904</v>
      </c>
      <c r="W105" s="22" t="n">
        <v>0</v>
      </c>
      <c r="X105" s="22" t="n">
        <v>0</v>
      </c>
      <c r="Y105" s="27" t="str">
        <f aca="false">IFERROR(X105/W105*100,"N/A")</f>
        <v>N/A</v>
      </c>
      <c r="Z105" s="50" t="str">
        <f aca="false">IF(AND(Q105&gt;0, R105=0), IF(IFERROR(ROUND(V105,8),0)=0, "Group 9: Only Passed | Without variation (no var CV = 0)", "Group 10: Only Passed | With variation (with var CV &gt; 0)"), IF(AND(Q105=0, R105&gt;0), IF(IFERROR(ROUND(Y105,8),0)=0, "Group 11: Only Failed | Without variation (no var CV = 0)", "Group 12: Only Failed | With variation (with var CV &gt; 0)"), IF(AND(Q105&gt;0, R105&gt;0), IF(ROUND(T105,5)&lt;&gt;ROUND(W105,5), IF(AND(IFERROR(ROUND(V105,8),0)=0, IFERROR(ROUND(Y105,8),0)=0), "Group 1: Flaky | Passed (no variation: CV = 0) AND Failed (no variation: CV = 0) | Different Means", IF(AND(IFERROR(ROUND(V105,8),0)&gt;0, IFERROR(ROUND(Y105,8),0)&gt;0), "Group 2: Flaky | Passed (with variation: CV &gt; 0) AND Failed (with variation: CV &gt; 0) | Different Means", IF(AND(IFERROR(ROUND(V105,8),0)=0, IFERROR(ROUND(Y105,8),0)&gt;0), "Group 3: Flaky | Passed (no variation: CV = 0) AND Failed (with variation: CV &gt; 0) | Different Means", "Group 4: Flaky | Passed (with variation: CV &gt; 0) AND Failed (no variation: CV = 0) | Different Means"))), IF(AND(IFERROR(ROUND(V105,8),0)=0, IFERROR(ROUND(Y105,8),0)=0), "Group 5: Flaky | Passed (no var CV = 0) AND Failed (no var CV = 0) | Equal Means", IF(AND(IFERROR(ROUND(V105,8),0)&gt;0, IFERROR(ROUND(Y105,8),0)&gt;0), "Group 6: Flaky | Passed (with var CV &gt; 0) AND Failed (with var CV &gt; 0) | Equal Means", IF(AND(IFERROR(ROUND(V105,8),0)=0, IFERROR(ROUND(Y105,8),0)&gt;0),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5" s="29" t="n">
        <v>0.629152</v>
      </c>
      <c r="AB105" s="29" t="n">
        <v>0.008756</v>
      </c>
      <c r="AC105" s="29" t="n">
        <f aca="false">IFERROR(AB105/AA105*100,"N/A")</f>
        <v>1.3917145618229</v>
      </c>
      <c r="AD105" s="29" t="n">
        <v>0</v>
      </c>
      <c r="AE105" s="29" t="n">
        <v>0</v>
      </c>
      <c r="AF105" s="29" t="str">
        <f aca="false">IFERROR(AE105/AD105*100,"N/A")</f>
        <v>N/A</v>
      </c>
      <c r="AG105" s="51" t="str">
        <f aca="false">IF(AND(Q105&gt;0, R105=0), IF(IFERROR(ROUND(AC105,8),0)=0, "Group 9: Only Passed | Without variation (no var CV = 0)", "Group 10: Only Passed | With variation (with var CV &gt; 0)"), IF(AND(Q105=0, R105&gt;0), IF(IFERROR(ROUND(AF105,8),0)=0, "Group 11: Only Failed | Without variation (no var CV = 0)", "Group 12: Only Failed | With variation (with var CV &gt; 0)"), IF(AND(Q105&gt;0, R105&gt;0), IF(ROUND(AA105,5)&lt;&gt;ROUND(AD105,5), IF(AND(IFERROR(ROUND(AC105,8),0)=0, IFERROR(ROUND(AF105,8),0)=0), "Group 1: Flaky | Passed (no variation: CV = 0) AND Failed (no variation: CV = 0) | Different Means", IF(AND(IFERROR(ROUND(AC105,8),0)&gt;0, IFERROR(ROUND(AF105,8),0)&gt;0), "Group 2: Flaky | Passed (with variation: CV &gt; 0) AND Failed (with variation: CV &gt; 0) | Different Means", IF(AND(IFERROR(ROUND(AC105,8),0)=0, IFERROR(ROUND(AF105,8),0)&gt;0), "Group 3: Flaky | Passed (no variation: CV = 0) AND Failed (with variation: CV &gt; 0) | Different Means", "Group 4: Flaky | Passed (with variation: CV &gt; 0) AND Failed (no variation: CV = 0) | Different Means"))), IF(AND(IFERROR(ROUND(AC105,8),0)=0, IFERROR(ROUND(AF105,8),0)=0), "Group 5: Flaky | Passed (no var CV = 0) AND Failed (no var CV = 0) | Equal Means", IF(AND(IFERROR(ROUND(AC105,8),0)&gt;0, IFERROR(ROUND(AF105,8),0)&gt;0), "Group 6: Flaky | Passed (with var CV &gt; 0) AND Failed (with var CV &gt; 0) | Equal Means", IF(AND(IFERROR(ROUND(AC105,8),0)=0, IFERROR(ROUND(AF105,8),0)&gt;0),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5" s="22" t="n">
        <v>100</v>
      </c>
      <c r="AI105" s="17" t="n">
        <v>0</v>
      </c>
      <c r="AJ105" s="31" t="str">
        <f aca="false">IF(AND(AH105&gt;0, AI105&gt;0), "Observed Flaky Test", "Non-observed Flaky Test")</f>
        <v>Non-observed Flaky Test</v>
      </c>
      <c r="AK105" s="32" t="n">
        <v>26898</v>
      </c>
      <c r="AL105" s="32" t="n">
        <v>0</v>
      </c>
      <c r="AM105" s="33" t="n">
        <f aca="false">IFERROR(AL105/AK105*100,"N/A")</f>
        <v>0</v>
      </c>
      <c r="AN105" s="32" t="n">
        <v>0</v>
      </c>
      <c r="AO105" s="32" t="n">
        <v>0</v>
      </c>
      <c r="AP105" s="35" t="str">
        <f aca="false">IFERROR(AO105/AN105*100,"N/A")</f>
        <v>N/A</v>
      </c>
      <c r="AQ105" s="45" t="str">
        <f aca="false">IF(AND(AH105&gt;0, AI105&gt;0),
    IF(ROUND(N(AK105),5)&lt;&gt;ROUND(N(AN105),5),
        IF(AND(ROUND(N(AL105),8)=0, ROUND(N(AO105),8)=0), "Group 1: Flaky | Passed (no variation: SD = 0) AND Failed (no variation: SD = 0) | Different Means",
        IF(AND(ROUND(N(AL105),8)&gt;0, ROUND(N(AO105),8)&gt;0), "Group 2: Flaky | Passed (with variation: SD &gt; 0) AND Failed (with variation: SD &gt; 0) | Different Means",
        IF(AND(ROUND(N(AL105),8)=0, ROUND(N(AO105),8)&gt;0), "Group 3: Flaky | Passed (no variation: SD = 0) AND Failed (with variation: SD &gt; 0) | Different Means",
        "Group 4: Flaky | Passed (with variation: SD &gt; 0) AND Failed (no variation: SD = 0) | Different Means"))),
        IF(AND(ROUND(N(AL105),8)=0, ROUND(N(AO105),8)=0), "Group 5: Flaky | Passed (no var SD = 0) AND Failed (no var SD = 0) | Equal Means",
        IF(AND(ROUND(N(AL105),8)&gt;0, ROUND(N(AO105),8)&gt;0), "Group 6: Flaky | Passed (with var SD &gt; 0 ) AND Failed (with var SD &gt; 0) | Equal Means",
        IF(AND(ROUND(N(AL105),8)=0, ROUND(N(AO105),8)&gt;0), "Group 7: Flaky | Passed (no var SD = 0) AND Failed (with var SD &gt; 0) | Equal Means",
        "Group 8: Flaky | Passed (with var SD &gt; 0 ) AND Failed (no var SD = 0) | Equal Means")))
    ),
    IF(AH105&gt;0,
        IF(N(AL105)&gt;0, "Group 10: Only Passed | With variation (with var SD &gt; 0)", "Group 9: Only Passed | Without variation (no var SD = 0)"),
        IF(AI105&gt;0,
            IF(N(AO105)&gt;0,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05" s="37" t="str">
        <f aca="false">IF(OR(F105="Observed Flaky Test", I105="Observed Flaky Test", S105="Observed Flaky Test", AJ105="Observed Flaky Test"), "Observed Flaky Test", "Non-observed Flaky Test")</f>
        <v>Non-observed Flaky Test</v>
      </c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</row>
    <row r="106" customFormat="false" ht="15.75" hidden="false" customHeight="true" outlineLevel="0" collapsed="false">
      <c r="A106" s="13"/>
      <c r="B106" s="14" t="s">
        <v>242</v>
      </c>
      <c r="C106" s="14" t="s">
        <v>243</v>
      </c>
      <c r="D106" s="15" t="n">
        <v>0</v>
      </c>
      <c r="E106" s="15" t="n">
        <v>100</v>
      </c>
      <c r="F106" s="16" t="str">
        <f aca="false">IF(AND(D106&gt;0, E106&gt;0), "Observed Flaky Test", "Non-observed Flaky Test")</f>
        <v>Non-observed Flaky Test</v>
      </c>
      <c r="G106" s="17" t="n">
        <v>100</v>
      </c>
      <c r="H106" s="17" t="n">
        <v>0</v>
      </c>
      <c r="I106" s="16" t="str">
        <f aca="false">IF(AND(G106&gt;0, H106&gt;0), "Observed Flaky Test", "Non-observed Flaky Test")</f>
        <v>Non-observed Flaky Test</v>
      </c>
      <c r="J106" s="18" t="n">
        <v>24.62</v>
      </c>
      <c r="K106" s="18" t="n">
        <v>0</v>
      </c>
      <c r="L106" s="19" t="n">
        <f aca="false">IFERROR(K106/J106*100,"N/A")</f>
        <v>0</v>
      </c>
      <c r="M106" s="18" t="n">
        <v>0</v>
      </c>
      <c r="N106" s="18" t="n">
        <v>0</v>
      </c>
      <c r="O106" s="20" t="str">
        <f aca="false">IFERROR(N106/M106*100,"N/A")</f>
        <v>N/A</v>
      </c>
      <c r="P106" s="56" t="str">
        <f aca="false">IF(AND(G106&gt;0, H106=0), IF(ROUND(K106,8)=0, "Group 9: Only Passed | Without variation (SD Passed = 0)", "Group 10: Only Passed | With variation (SD Passed &gt; 0)"), IF(AND(G106=0, H106&gt;0), IF(ROUND(N106,8)=0, "Group 11: Only Failed | Without variation (SD Failed = 0)", "Group 12: Only Failed | With variation (SD Failed &gt; 0)"), IF(AND(G106&gt;0, H106&gt;0), IF(ROUND(J106,5)&lt;&gt;ROUND(M106,5), IF(AND(ROUND(K106,8)=0, ROUND(N106,8)=0), "Group 1: Flaky | Passed (no variation) AND Failed (no variation) | Different Means", IF(AND(ROUND(K106,8)&gt;0, ROUND(N106,8)&gt;0), "Group 2: Flaky | Passed (with variation) AND Failed (with variation) | Different Means", IF(AND(ROUND(K106,8)=0, ROUND(N106,8)&gt;0), "Group 3: Flaky | Passed (no variation) AND Failed (with variation) | Different Means", "Group 4: Flaky | Passed (with variation) AND Failed (no variation) | Different Means"))), IF(AND(ROUND(K106,8)=0, ROUND(N106,8)=0), "Group 5: Flaky | Passed (no variation) AND Failed (no variation) | Equal Means", IF(AND(ROUND(K106,8)&gt;0, ROUND(N106,8)&gt;0), "Group 6: Flaky | Passed (with variation) AND Failed (with variation) | Equal Means", IF(AND(ROUND(K106,8)=0, ROUND(N106,8)&gt;0),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06" s="22" t="n">
        <v>100</v>
      </c>
      <c r="R106" s="22" t="n">
        <v>0</v>
      </c>
      <c r="S106" s="23" t="str">
        <f aca="false">IF(AND(Q106&gt;0, R106&gt;0), "Observed Flaky Test", "Non-observed Flaky Test")</f>
        <v>Non-observed Flaky Test</v>
      </c>
      <c r="T106" s="22" t="n">
        <v>1066707.21</v>
      </c>
      <c r="U106" s="24" t="n">
        <v>12.979623</v>
      </c>
      <c r="V106" s="25" t="n">
        <f aca="false">IFERROR(U106/T106*100,"N/A")</f>
        <v>0.00121679340669311</v>
      </c>
      <c r="W106" s="22" t="n">
        <v>0</v>
      </c>
      <c r="X106" s="22" t="n">
        <v>0</v>
      </c>
      <c r="Y106" s="27" t="str">
        <f aca="false">IFERROR(X106/W106*100,"N/A")</f>
        <v>N/A</v>
      </c>
      <c r="Z106" s="50" t="str">
        <f aca="false">IF(AND(Q106&gt;0, R106=0), IF(IFERROR(ROUND(V106,8),0)=0, "Group 9: Only Passed | Without variation (no var CV = 0)", "Group 10: Only Passed | With variation (with var CV &gt; 0)"), IF(AND(Q106=0, R106&gt;0), IF(IFERROR(ROUND(Y106,8),0)=0, "Group 11: Only Failed | Without variation (no var CV = 0)", "Group 12: Only Failed | With variation (with var CV &gt; 0)"), IF(AND(Q106&gt;0, R106&gt;0), IF(ROUND(T106,5)&lt;&gt;ROUND(W106,5), IF(AND(IFERROR(ROUND(V106,8),0)=0, IFERROR(ROUND(Y106,8),0)=0), "Group 1: Flaky | Passed (no variation: CV = 0) AND Failed (no variation: CV = 0) | Different Means", IF(AND(IFERROR(ROUND(V106,8),0)&gt;0, IFERROR(ROUND(Y106,8),0)&gt;0), "Group 2: Flaky | Passed (with variation: CV &gt; 0) AND Failed (with variation: CV &gt; 0) | Different Means", IF(AND(IFERROR(ROUND(V106,8),0)=0, IFERROR(ROUND(Y106,8),0)&gt;0), "Group 3: Flaky | Passed (no variation: CV = 0) AND Failed (with variation: CV &gt; 0) | Different Means", "Group 4: Flaky | Passed (with variation: CV &gt; 0) AND Failed (no variation: CV = 0) | Different Means"))), IF(AND(IFERROR(ROUND(V106,8),0)=0, IFERROR(ROUND(Y106,8),0)=0), "Group 5: Flaky | Passed (no var CV = 0) AND Failed (no var CV = 0) | Equal Means", IF(AND(IFERROR(ROUND(V106,8),0)&gt;0, IFERROR(ROUND(Y106,8),0)&gt;0), "Group 6: Flaky | Passed (with var CV &gt; 0) AND Failed (with var CV &gt; 0) | Equal Means", IF(AND(IFERROR(ROUND(V106,8),0)=0, IFERROR(ROUND(Y106,8),0)&gt;0),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6" s="29" t="n">
        <v>0.631833</v>
      </c>
      <c r="AB106" s="29" t="n">
        <v>0.011506</v>
      </c>
      <c r="AC106" s="29" t="n">
        <f aca="false">IFERROR(AB106/AA106*100,"N/A")</f>
        <v>1.82105081564274</v>
      </c>
      <c r="AD106" s="29" t="n">
        <v>0</v>
      </c>
      <c r="AE106" s="29" t="n">
        <v>0</v>
      </c>
      <c r="AF106" s="29" t="str">
        <f aca="false">IFERROR(AE106/AD106*100,"N/A")</f>
        <v>N/A</v>
      </c>
      <c r="AG106" s="51" t="str">
        <f aca="false">IF(AND(Q106&gt;0, R106=0), IF(IFERROR(ROUND(AC106,8),0)=0, "Group 9: Only Passed | Without variation (no var CV = 0)", "Group 10: Only Passed | With variation (with var CV &gt; 0)"), IF(AND(Q106=0, R106&gt;0), IF(IFERROR(ROUND(AF106,8),0)=0, "Group 11: Only Failed | Without variation (no var CV = 0)", "Group 12: Only Failed | With variation (with var CV &gt; 0)"), IF(AND(Q106&gt;0, R106&gt;0), IF(ROUND(AA106,5)&lt;&gt;ROUND(AD106,5), IF(AND(IFERROR(ROUND(AC106,8),0)=0, IFERROR(ROUND(AF106,8),0)=0), "Group 1: Flaky | Passed (no variation: CV = 0) AND Failed (no variation: CV = 0) | Different Means", IF(AND(IFERROR(ROUND(AC106,8),0)&gt;0, IFERROR(ROUND(AF106,8),0)&gt;0), "Group 2: Flaky | Passed (with variation: CV &gt; 0) AND Failed (with variation: CV &gt; 0) | Different Means", IF(AND(IFERROR(ROUND(AC106,8),0)=0, IFERROR(ROUND(AF106,8),0)&gt;0), "Group 3: Flaky | Passed (no variation: CV = 0) AND Failed (with variation: CV &gt; 0) | Different Means", "Group 4: Flaky | Passed (with variation: CV &gt; 0) AND Failed (no variation: CV = 0) | Different Means"))), IF(AND(IFERROR(ROUND(AC106,8),0)=0, IFERROR(ROUND(AF106,8),0)=0), "Group 5: Flaky | Passed (no var CV = 0) AND Failed (no var CV = 0) | Equal Means", IF(AND(IFERROR(ROUND(AC106,8),0)&gt;0, IFERROR(ROUND(AF106,8),0)&gt;0), "Group 6: Flaky | Passed (with var CV &gt; 0) AND Failed (with var CV &gt; 0) | Equal Means", IF(AND(IFERROR(ROUND(AC106,8),0)=0, IFERROR(ROUND(AF106,8),0)&gt;0),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6" s="22" t="n">
        <v>100</v>
      </c>
      <c r="AI106" s="17" t="n">
        <v>0</v>
      </c>
      <c r="AJ106" s="31" t="str">
        <f aca="false">IF(AND(AH106&gt;0, AI106&gt;0), "Observed Flaky Test", "Non-observed Flaky Test")</f>
        <v>Non-observed Flaky Test</v>
      </c>
      <c r="AK106" s="32" t="n">
        <v>26898</v>
      </c>
      <c r="AL106" s="32" t="n">
        <v>0</v>
      </c>
      <c r="AM106" s="33" t="n">
        <f aca="false">IFERROR(AL106/AK106*100,"N/A")</f>
        <v>0</v>
      </c>
      <c r="AN106" s="32" t="n">
        <v>0</v>
      </c>
      <c r="AO106" s="32" t="n">
        <v>0</v>
      </c>
      <c r="AP106" s="35" t="str">
        <f aca="false">IFERROR(AO106/AN106*100,"N/A")</f>
        <v>N/A</v>
      </c>
      <c r="AQ106" s="45" t="str">
        <f aca="false">IF(AND(AH106&gt;0, AI106&gt;0),
    IF(ROUND(N(AK106),5)&lt;&gt;ROUND(N(AN106),5),
        IF(AND(ROUND(N(AL106),8)=0, ROUND(N(AO106),8)=0), "Group 1: Flaky | Passed (no variation: SD = 0) AND Failed (no variation: SD = 0) | Different Means",
        IF(AND(ROUND(N(AL106),8)&gt;0, ROUND(N(AO106),8)&gt;0), "Group 2: Flaky | Passed (with variation: SD &gt; 0) AND Failed (with variation: SD &gt; 0) | Different Means",
        IF(AND(ROUND(N(AL106),8)=0, ROUND(N(AO106),8)&gt;0), "Group 3: Flaky | Passed (no variation: SD = 0) AND Failed (with variation: SD &gt; 0) | Different Means",
        "Group 4: Flaky | Passed (with variation: SD &gt; 0) AND Failed (no variation: SD = 0) | Different Means"))),
        IF(AND(ROUND(N(AL106),8)=0, ROUND(N(AO106),8)=0), "Group 5: Flaky | Passed (no var SD = 0) AND Failed (no var SD = 0) | Equal Means",
        IF(AND(ROUND(N(AL106),8)&gt;0, ROUND(N(AO106),8)&gt;0), "Group 6: Flaky | Passed (with var SD &gt; 0 ) AND Failed (with var SD &gt; 0) | Equal Means",
        IF(AND(ROUND(N(AL106),8)=0, ROUND(N(AO106),8)&gt;0), "Group 7: Flaky | Passed (no var SD = 0) AND Failed (with var SD &gt; 0) | Equal Means",
        "Group 8: Flaky | Passed (with var SD &gt; 0 ) AND Failed (no var SD = 0) | Equal Means")))
    ),
    IF(AH106&gt;0,
        IF(N(AL106)&gt;0, "Group 10: Only Passed | With variation (with var SD &gt; 0)", "Group 9: Only Passed | Without variation (no var SD = 0)"),
        IF(AI106&gt;0,
            IF(N(AO106)&gt;0,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06" s="37" t="str">
        <f aca="false">IF(OR(F106="Observed Flaky Test", I106="Observed Flaky Test", S106="Observed Flaky Test", AJ106="Observed Flaky Test"), "Observed Flaky Test", "Non-observed Flaky Test")</f>
        <v>Non-observed Flaky Test</v>
      </c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</row>
    <row r="107" customFormat="false" ht="15.75" hidden="false" customHeight="true" outlineLevel="0" collapsed="false">
      <c r="A107" s="13"/>
      <c r="B107" s="14" t="s">
        <v>244</v>
      </c>
      <c r="C107" s="14" t="s">
        <v>245</v>
      </c>
      <c r="D107" s="15" t="n">
        <v>0</v>
      </c>
      <c r="E107" s="15" t="n">
        <v>100</v>
      </c>
      <c r="F107" s="16" t="str">
        <f aca="false">IF(AND(D107&gt;0, E107&gt;0), "Observed Flaky Test", "Non-observed Flaky Test")</f>
        <v>Non-observed Flaky Test</v>
      </c>
      <c r="G107" s="17" t="n">
        <v>100</v>
      </c>
      <c r="H107" s="17" t="n">
        <v>0</v>
      </c>
      <c r="I107" s="16" t="str">
        <f aca="false">IF(AND(G107&gt;0, H107&gt;0), "Observed Flaky Test", "Non-observed Flaky Test")</f>
        <v>Non-observed Flaky Test</v>
      </c>
      <c r="J107" s="18" t="n">
        <v>24.62</v>
      </c>
      <c r="K107" s="18" t="n">
        <v>0</v>
      </c>
      <c r="L107" s="19" t="n">
        <f aca="false">IFERROR(K107/J107*100,"N/A")</f>
        <v>0</v>
      </c>
      <c r="M107" s="18" t="n">
        <v>0</v>
      </c>
      <c r="N107" s="18" t="n">
        <v>0</v>
      </c>
      <c r="O107" s="20" t="str">
        <f aca="false">IFERROR(N107/M107*100,"N/A")</f>
        <v>N/A</v>
      </c>
      <c r="P107" s="56" t="str">
        <f aca="false">IF(AND(G107&gt;0, H107=0), IF(ROUND(K107,8)=0, "Group 9: Only Passed | Without variation (SD Passed = 0)", "Group 10: Only Passed | With variation (SD Passed &gt; 0)"), IF(AND(G107=0, H107&gt;0), IF(ROUND(N107,8)=0, "Group 11: Only Failed | Without variation (SD Failed = 0)", "Group 12: Only Failed | With variation (SD Failed &gt; 0)"), IF(AND(G107&gt;0, H107&gt;0), IF(ROUND(J107,5)&lt;&gt;ROUND(M107,5), IF(AND(ROUND(K107,8)=0, ROUND(N107,8)=0), "Group 1: Flaky | Passed (no variation) AND Failed (no variation) | Different Means", IF(AND(ROUND(K107,8)&gt;0, ROUND(N107,8)&gt;0), "Group 2: Flaky | Passed (with variation) AND Failed (with variation) | Different Means", IF(AND(ROUND(K107,8)=0, ROUND(N107,8)&gt;0), "Group 3: Flaky | Passed (no variation) AND Failed (with variation) | Different Means", "Group 4: Flaky | Passed (with variation) AND Failed (no variation) | Different Means"))), IF(AND(ROUND(K107,8)=0, ROUND(N107,8)=0), "Group 5: Flaky | Passed (no variation) AND Failed (no variation) | Equal Means", IF(AND(ROUND(K107,8)&gt;0, ROUND(N107,8)&gt;0), "Group 6: Flaky | Passed (with variation) AND Failed (with variation) | Equal Means", IF(AND(ROUND(K107,8)=0, ROUND(N107,8)&gt;0),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07" s="22" t="n">
        <v>100</v>
      </c>
      <c r="R107" s="22" t="n">
        <v>0</v>
      </c>
      <c r="S107" s="23" t="str">
        <f aca="false">IF(AND(Q107&gt;0, R107&gt;0), "Observed Flaky Test", "Non-observed Flaky Test")</f>
        <v>Non-observed Flaky Test</v>
      </c>
      <c r="T107" s="22" t="n">
        <v>1066707.95</v>
      </c>
      <c r="U107" s="24" t="n">
        <v>12.700414</v>
      </c>
      <c r="V107" s="25" t="n">
        <f aca="false">IFERROR(U107/T107*100,"N/A")</f>
        <v>0.0011906177318731</v>
      </c>
      <c r="W107" s="22" t="n">
        <v>0</v>
      </c>
      <c r="X107" s="22" t="n">
        <v>0</v>
      </c>
      <c r="Y107" s="27" t="str">
        <f aca="false">IFERROR(X107/W107*100,"N/A")</f>
        <v>N/A</v>
      </c>
      <c r="Z107" s="50" t="str">
        <f aca="false">IF(AND(Q107&gt;0, R107=0), IF(IFERROR(ROUND(V107,8),0)=0, "Group 9: Only Passed | Without variation (no var CV = 0)", "Group 10: Only Passed | With variation (with var CV &gt; 0)"), IF(AND(Q107=0, R107&gt;0), IF(IFERROR(ROUND(Y107,8),0)=0, "Group 11: Only Failed | Without variation (no var CV = 0)", "Group 12: Only Failed | With variation (with var CV &gt; 0)"), IF(AND(Q107&gt;0, R107&gt;0), IF(ROUND(T107,5)&lt;&gt;ROUND(W107,5), IF(AND(IFERROR(ROUND(V107,8),0)=0, IFERROR(ROUND(Y107,8),0)=0), "Group 1: Flaky | Passed (no variation: CV = 0) AND Failed (no variation: CV = 0) | Different Means", IF(AND(IFERROR(ROUND(V107,8),0)&gt;0, IFERROR(ROUND(Y107,8),0)&gt;0), "Group 2: Flaky | Passed (with variation: CV &gt; 0) AND Failed (with variation: CV &gt; 0) | Different Means", IF(AND(IFERROR(ROUND(V107,8),0)=0, IFERROR(ROUND(Y107,8),0)&gt;0), "Group 3: Flaky | Passed (no variation: CV = 0) AND Failed (with variation: CV &gt; 0) | Different Means", "Group 4: Flaky | Passed (with variation: CV &gt; 0) AND Failed (no variation: CV = 0) | Different Means"))), IF(AND(IFERROR(ROUND(V107,8),0)=0, IFERROR(ROUND(Y107,8),0)=0), "Group 5: Flaky | Passed (no var CV = 0) AND Failed (no var CV = 0) | Equal Means", IF(AND(IFERROR(ROUND(V107,8),0)&gt;0, IFERROR(ROUND(Y107,8),0)&gt;0), "Group 6: Flaky | Passed (with var CV &gt; 0) AND Failed (with var CV &gt; 0) | Equal Means", IF(AND(IFERROR(ROUND(V107,8),0)=0, IFERROR(ROUND(Y107,8),0)&gt;0),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7" s="29" t="n">
        <v>0.631255</v>
      </c>
      <c r="AB107" s="29" t="n">
        <v>0.008111</v>
      </c>
      <c r="AC107" s="29" t="n">
        <f aca="false">IFERROR(AB107/AA107*100,"N/A")</f>
        <v>1.28490071365771</v>
      </c>
      <c r="AD107" s="29" t="n">
        <v>0</v>
      </c>
      <c r="AE107" s="29" t="n">
        <v>0</v>
      </c>
      <c r="AF107" s="29" t="str">
        <f aca="false">IFERROR(AE107/AD107*100,"N/A")</f>
        <v>N/A</v>
      </c>
      <c r="AG107" s="51" t="str">
        <f aca="false">IF(AND(Q107&gt;0, R107=0), IF(IFERROR(ROUND(AC107,8),0)=0, "Group 9: Only Passed | Without variation (no var CV = 0)", "Group 10: Only Passed | With variation (with var CV &gt; 0)"), IF(AND(Q107=0, R107&gt;0), IF(IFERROR(ROUND(AF107,8),0)=0, "Group 11: Only Failed | Without variation (no var CV = 0)", "Group 12: Only Failed | With variation (with var CV &gt; 0)"), IF(AND(Q107&gt;0, R107&gt;0), IF(ROUND(AA107,5)&lt;&gt;ROUND(AD107,5), IF(AND(IFERROR(ROUND(AC107,8),0)=0, IFERROR(ROUND(AF107,8),0)=0), "Group 1: Flaky | Passed (no variation: CV = 0) AND Failed (no variation: CV = 0) | Different Means", IF(AND(IFERROR(ROUND(AC107,8),0)&gt;0, IFERROR(ROUND(AF107,8),0)&gt;0), "Group 2: Flaky | Passed (with variation: CV &gt; 0) AND Failed (with variation: CV &gt; 0) | Different Means", IF(AND(IFERROR(ROUND(AC107,8),0)=0, IFERROR(ROUND(AF107,8),0)&gt;0), "Group 3: Flaky | Passed (no variation: CV = 0) AND Failed (with variation: CV &gt; 0) | Different Means", "Group 4: Flaky | Passed (with variation: CV &gt; 0) AND Failed (no variation: CV = 0) | Different Means"))), IF(AND(IFERROR(ROUND(AC107,8),0)=0, IFERROR(ROUND(AF107,8),0)=0), "Group 5: Flaky | Passed (no var CV = 0) AND Failed (no var CV = 0) | Equal Means", IF(AND(IFERROR(ROUND(AC107,8),0)&gt;0, IFERROR(ROUND(AF107,8),0)&gt;0), "Group 6: Flaky | Passed (with var CV &gt; 0) AND Failed (with var CV &gt; 0) | Equal Means", IF(AND(IFERROR(ROUND(AC107,8),0)=0, IFERROR(ROUND(AF107,8),0)&gt;0),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7" s="22" t="n">
        <v>100</v>
      </c>
      <c r="AI107" s="17" t="n">
        <v>0</v>
      </c>
      <c r="AJ107" s="31" t="str">
        <f aca="false">IF(AND(AH107&gt;0, AI107&gt;0), "Observed Flaky Test", "Non-observed Flaky Test")</f>
        <v>Non-observed Flaky Test</v>
      </c>
      <c r="AK107" s="32" t="n">
        <v>26898</v>
      </c>
      <c r="AL107" s="32" t="n">
        <v>0</v>
      </c>
      <c r="AM107" s="33" t="n">
        <f aca="false">IFERROR(AL107/AK107*100,"N/A")</f>
        <v>0</v>
      </c>
      <c r="AN107" s="32" t="n">
        <v>0</v>
      </c>
      <c r="AO107" s="32" t="n">
        <v>0</v>
      </c>
      <c r="AP107" s="35" t="str">
        <f aca="false">IFERROR(AO107/AN107*100,"N/A")</f>
        <v>N/A</v>
      </c>
      <c r="AQ107" s="45" t="str">
        <f aca="false">IF(AND(AH107&gt;0, AI107&gt;0),
    IF(ROUND(N(AK107),5)&lt;&gt;ROUND(N(AN107),5),
        IF(AND(ROUND(N(AL107),8)=0, ROUND(N(AO107),8)=0), "Group 1: Flaky | Passed (no variation: SD = 0) AND Failed (no variation: SD = 0) | Different Means",
        IF(AND(ROUND(N(AL107),8)&gt;0, ROUND(N(AO107),8)&gt;0), "Group 2: Flaky | Passed (with variation: SD &gt; 0) AND Failed (with variation: SD &gt; 0) | Different Means",
        IF(AND(ROUND(N(AL107),8)=0, ROUND(N(AO107),8)&gt;0), "Group 3: Flaky | Passed (no variation: SD = 0) AND Failed (with variation: SD &gt; 0) | Different Means",
        "Group 4: Flaky | Passed (with variation: SD &gt; 0) AND Failed (no variation: SD = 0) | Different Means"))),
        IF(AND(ROUND(N(AL107),8)=0, ROUND(N(AO107),8)=0), "Group 5: Flaky | Passed (no var SD = 0) AND Failed (no var SD = 0) | Equal Means",
        IF(AND(ROUND(N(AL107),8)&gt;0, ROUND(N(AO107),8)&gt;0), "Group 6: Flaky | Passed (with var SD &gt; 0 ) AND Failed (with var SD &gt; 0) | Equal Means",
        IF(AND(ROUND(N(AL107),8)=0, ROUND(N(AO107),8)&gt;0), "Group 7: Flaky | Passed (no var SD = 0) AND Failed (with var SD &gt; 0) | Equal Means",
        "Group 8: Flaky | Passed (with var SD &gt; 0 ) AND Failed (no var SD = 0) | Equal Means")))
    ),
    IF(AH107&gt;0,
        IF(N(AL107)&gt;0, "Group 10: Only Passed | With variation (with var SD &gt; 0)", "Group 9: Only Passed | Without variation (no var SD = 0)"),
        IF(AI107&gt;0,
            IF(N(AO107)&gt;0,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07" s="37" t="str">
        <f aca="false">IF(OR(F107="Observed Flaky Test", I107="Observed Flaky Test", S107="Observed Flaky Test", AJ107="Observed Flaky Test"), "Observed Flaky Test", "Non-observed Flaky Test")</f>
        <v>Non-observed Flaky Test</v>
      </c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</row>
    <row r="108" customFormat="false" ht="15.75" hidden="false" customHeight="true" outlineLevel="0" collapsed="false">
      <c r="A108" s="13"/>
      <c r="B108" s="14" t="s">
        <v>246</v>
      </c>
      <c r="C108" s="14" t="s">
        <v>247</v>
      </c>
      <c r="D108" s="15" t="n">
        <v>0</v>
      </c>
      <c r="E108" s="15" t="n">
        <v>100</v>
      </c>
      <c r="F108" s="16" t="str">
        <f aca="false">IF(AND(D108&gt;0, E108&gt;0), "Observed Flaky Test", "Non-observed Flaky Test")</f>
        <v>Non-observed Flaky Test</v>
      </c>
      <c r="G108" s="17" t="n">
        <v>100</v>
      </c>
      <c r="H108" s="17" t="n">
        <v>0</v>
      </c>
      <c r="I108" s="16" t="str">
        <f aca="false">IF(AND(G108&gt;0, H108&gt;0), "Observed Flaky Test", "Non-observed Flaky Test")</f>
        <v>Non-observed Flaky Test</v>
      </c>
      <c r="J108" s="46" t="n">
        <v>28.7047</v>
      </c>
      <c r="K108" s="47" t="n">
        <v>0.01034</v>
      </c>
      <c r="L108" s="19" t="n">
        <f aca="false">IFERROR(K108/J108*100,"N/A")</f>
        <v>0.0360219754953022</v>
      </c>
      <c r="M108" s="18" t="n">
        <v>0</v>
      </c>
      <c r="N108" s="18" t="n">
        <v>0</v>
      </c>
      <c r="O108" s="20" t="str">
        <f aca="false">IFERROR(N108/M108*100,"N/A")</f>
        <v>N/A</v>
      </c>
      <c r="P108" s="48" t="str">
        <f aca="false">IF(AND(G108&gt;0, H108=0), IF(ROUND(K108,8)=0, "Group 9: Only Passed | Without variation (SD Passed = 0)", "Group 10: Only Passed | With variation (SD Passed &gt; 0)"), IF(AND(G108=0, H108&gt;0), IF(ROUND(N108,8)=0, "Group 11: Only Failed | Without variation (SD Failed = 0)", "Group 12: Only Failed | With variation (SD Failed &gt; 0)"), IF(AND(G108&gt;0, H108&gt;0), IF(ROUND(J108,5)&lt;&gt;ROUND(M108,5), IF(AND(ROUND(K108,8)=0, ROUND(N108,8)=0), "Group 1: Flaky | Passed (no variation) AND Failed (no variation) | Different Means", IF(AND(ROUND(K108,8)&gt;0, ROUND(N108,8)&gt;0), "Group 2: Flaky | Passed (with variation) AND Failed (with variation) | Different Means", IF(AND(ROUND(K108,8)=0, ROUND(N108,8)&gt;0), "Group 3: Flaky | Passed (no variation) AND Failed (with variation) | Different Means", "Group 4: Flaky | Passed (with variation) AND Failed (no variation) | Different Means"))), IF(AND(ROUND(K108,8)=0, ROUND(N108,8)=0), "Group 5: Flaky | Passed (no variation) AND Failed (no variation) | Equal Means", IF(AND(ROUND(K108,8)&gt;0, ROUND(N108,8)&gt;0), "Group 6: Flaky | Passed (with variation) AND Failed (with variation) | Equal Means", IF(AND(ROUND(K108,8)=0, ROUND(N108,8)&gt;0),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8" s="22" t="n">
        <v>100</v>
      </c>
      <c r="R108" s="22" t="n">
        <v>0</v>
      </c>
      <c r="S108" s="23" t="str">
        <f aca="false">IF(AND(Q108&gt;0, R108&gt;0), "Observed Flaky Test", "Non-observed Flaky Test")</f>
        <v>Non-observed Flaky Test</v>
      </c>
      <c r="T108" s="22" t="n">
        <v>1054096.45</v>
      </c>
      <c r="U108" s="24" t="n">
        <v>110.534091</v>
      </c>
      <c r="V108" s="25" t="n">
        <f aca="false">IFERROR(U108/T108*100,"N/A")</f>
        <v>0.0104861458360855</v>
      </c>
      <c r="W108" s="22" t="n">
        <v>0</v>
      </c>
      <c r="X108" s="22" t="n">
        <v>0</v>
      </c>
      <c r="Y108" s="27" t="str">
        <f aca="false">IFERROR(X108/W108*100,"N/A")</f>
        <v>N/A</v>
      </c>
      <c r="Z108" s="50" t="str">
        <f aca="false">IF(AND(Q108&gt;0, R108=0), IF(IFERROR(ROUND(V108,8),0)=0, "Group 9: Only Passed | Without variation (no var CV = 0)", "Group 10: Only Passed | With variation (with var CV &gt; 0)"), IF(AND(Q108=0, R108&gt;0), IF(IFERROR(ROUND(Y108,8),0)=0, "Group 11: Only Failed | Without variation (no var CV = 0)", "Group 12: Only Failed | With variation (with var CV &gt; 0)"), IF(AND(Q108&gt;0, R108&gt;0), IF(ROUND(T108,5)&lt;&gt;ROUND(W108,5), IF(AND(IFERROR(ROUND(V108,8),0)=0, IFERROR(ROUND(Y108,8),0)=0), "Group 1: Flaky | Passed (no variation: CV = 0) AND Failed (no variation: CV = 0) | Different Means", IF(AND(IFERROR(ROUND(V108,8),0)&gt;0, IFERROR(ROUND(Y108,8),0)&gt;0), "Group 2: Flaky | Passed (with variation: CV &gt; 0) AND Failed (with variation: CV &gt; 0) | Different Means", IF(AND(IFERROR(ROUND(V108,8),0)=0, IFERROR(ROUND(Y108,8),0)&gt;0), "Group 3: Flaky | Passed (no variation: CV = 0) AND Failed (with variation: CV &gt; 0) | Different Means", "Group 4: Flaky | Passed (with variation: CV &gt; 0) AND Failed (no variation: CV = 0) | Different Means"))), IF(AND(IFERROR(ROUND(V108,8),0)=0, IFERROR(ROUND(Y108,8),0)=0), "Group 5: Flaky | Passed (no var CV = 0) AND Failed (no var CV = 0) | Equal Means", IF(AND(IFERROR(ROUND(V108,8),0)&gt;0, IFERROR(ROUND(Y108,8),0)&gt;0), "Group 6: Flaky | Passed (with var CV &gt; 0) AND Failed (with var CV &gt; 0) | Equal Means", IF(AND(IFERROR(ROUND(V108,8),0)=0, IFERROR(ROUND(Y108,8),0)&gt;0),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8" s="29" t="n">
        <v>1.1886</v>
      </c>
      <c r="AB108" s="29" t="n">
        <v>0.022679</v>
      </c>
      <c r="AC108" s="29" t="n">
        <f aca="false">IFERROR(AB108/AA108*100,"N/A")</f>
        <v>1.9080430758876</v>
      </c>
      <c r="AD108" s="29" t="n">
        <v>0</v>
      </c>
      <c r="AE108" s="29" t="n">
        <v>0</v>
      </c>
      <c r="AF108" s="29" t="str">
        <f aca="false">IFERROR(AE108/AD108*100,"N/A")</f>
        <v>N/A</v>
      </c>
      <c r="AG108" s="51" t="str">
        <f aca="false">IF(AND(Q108&gt;0, R108=0), IF(IFERROR(ROUND(AC108,8),0)=0, "Group 9: Only Passed | Without variation (no var CV = 0)", "Group 10: Only Passed | With variation (with var CV &gt; 0)"), IF(AND(Q108=0, R108&gt;0), IF(IFERROR(ROUND(AF108,8),0)=0, "Group 11: Only Failed | Without variation (no var CV = 0)", "Group 12: Only Failed | With variation (with var CV &gt; 0)"), IF(AND(Q108&gt;0, R108&gt;0), IF(ROUND(AA108,5)&lt;&gt;ROUND(AD108,5), IF(AND(IFERROR(ROUND(AC108,8),0)=0, IFERROR(ROUND(AF108,8),0)=0), "Group 1: Flaky | Passed (no variation: CV = 0) AND Failed (no variation: CV = 0) | Different Means", IF(AND(IFERROR(ROUND(AC108,8),0)&gt;0, IFERROR(ROUND(AF108,8),0)&gt;0), "Group 2: Flaky | Passed (with variation: CV &gt; 0) AND Failed (with variation: CV &gt; 0) | Different Means", IF(AND(IFERROR(ROUND(AC108,8),0)=0, IFERROR(ROUND(AF108,8),0)&gt;0), "Group 3: Flaky | Passed (no variation: CV = 0) AND Failed (with variation: CV &gt; 0) | Different Means", "Group 4: Flaky | Passed (with variation: CV &gt; 0) AND Failed (no variation: CV = 0) | Different Means"))), IF(AND(IFERROR(ROUND(AC108,8),0)=0, IFERROR(ROUND(AF108,8),0)=0), "Group 5: Flaky | Passed (no var CV = 0) AND Failed (no var CV = 0) | Equal Means", IF(AND(IFERROR(ROUND(AC108,8),0)&gt;0, IFERROR(ROUND(AF108,8),0)&gt;0), "Group 6: Flaky | Passed (with var CV &gt; 0) AND Failed (with var CV &gt; 0) | Equal Means", IF(AND(IFERROR(ROUND(AC108,8),0)=0, IFERROR(ROUND(AF108,8),0)&gt;0),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8" s="22" t="n">
        <v>100</v>
      </c>
      <c r="AI108" s="17" t="n">
        <v>0</v>
      </c>
      <c r="AJ108" s="31" t="str">
        <f aca="false">IF(AND(AH108&gt;0, AI108&gt;0), "Observed Flaky Test", "Non-observed Flaky Test")</f>
        <v>Non-observed Flaky Test</v>
      </c>
      <c r="AK108" s="32" t="n">
        <v>180120.94</v>
      </c>
      <c r="AL108" s="34" t="n">
        <v>211.525140946709</v>
      </c>
      <c r="AM108" s="33" t="n">
        <f aca="false">IFERROR(AL108/AK108*100,"N/A")</f>
        <v>0.117435063878031</v>
      </c>
      <c r="AN108" s="32" t="n">
        <v>0</v>
      </c>
      <c r="AO108" s="32" t="n">
        <v>0</v>
      </c>
      <c r="AP108" s="35" t="str">
        <f aca="false">IFERROR(AO108/AN108*100,"N/A")</f>
        <v>N/A</v>
      </c>
      <c r="AQ108" s="52" t="str">
        <f aca="false">IF(AND(AH108&gt;0, AI108&gt;0),
    IF(ROUND(N(AK108),5)&lt;&gt;ROUND(N(AN108),5),
        IF(AND(ROUND(N(AL108),8)=0, ROUND(N(AO108),8)=0), "Group 1: Flaky | Passed (no variation: SD = 0) AND Failed (no variation: SD = 0) | Different Means",
        IF(AND(ROUND(N(AL108),8)&gt;0, ROUND(N(AO108),8)&gt;0), "Group 2: Flaky | Passed (with variation: SD &gt; 0) AND Failed (with variation: SD &gt; 0) | Different Means",
        IF(AND(ROUND(N(AL108),8)=0, ROUND(N(AO108),8)&gt;0), "Group 3: Flaky | Passed (no variation: SD = 0) AND Failed (with variation: SD &gt; 0) | Different Means",
        "Group 4: Flaky | Passed (with variation: SD &gt; 0) AND Failed (no variation: SD = 0) | Different Means"))),
        IF(AND(ROUND(N(AL108),8)=0, ROUND(N(AO108),8)=0), "Group 5: Flaky | Passed (no var SD = 0) AND Failed (no var SD = 0) | Equal Means",
        IF(AND(ROUND(N(AL108),8)&gt;0, ROUND(N(AO108),8)&gt;0), "Group 6: Flaky | Passed (with var SD &gt; 0 ) AND Failed (with var SD &gt; 0) | Equal Means",
        IF(AND(ROUND(N(AL108),8)=0, ROUND(N(AO108),8)&gt;0), "Group 7: Flaky | Passed (no var SD = 0) AND Failed (with var SD &gt; 0) | Equal Means",
        "Group 8: Flaky | Passed (with var SD &gt; 0 ) AND Failed (no var SD = 0) | Equal Means")))
    ),
    IF(AH108&gt;0,
        IF(N(AL108)&gt;0, "Group 10: Only Passed | With variation (with var SD &gt; 0)", "Group 9: Only Passed | Without variation (no var SD = 0)"),
        IF(AI108&gt;0,
            IF(N(AO108)&gt;0,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8" s="37" t="str">
        <f aca="false">IF(OR(F108="Observed Flaky Test", I108="Observed Flaky Test", S108="Observed Flaky Test", AJ108="Observed Flaky Test"), "Observed Flaky Test", "Non-observed Flaky Test")</f>
        <v>Non-observed Flaky Test</v>
      </c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</row>
    <row r="109" customFormat="false" ht="15.75" hidden="false" customHeight="true" outlineLevel="0" collapsed="false">
      <c r="A109" s="13"/>
      <c r="B109" s="14" t="s">
        <v>248</v>
      </c>
      <c r="C109" s="14" t="s">
        <v>249</v>
      </c>
      <c r="D109" s="15" t="n">
        <v>0</v>
      </c>
      <c r="E109" s="15" t="n">
        <v>100</v>
      </c>
      <c r="F109" s="16" t="str">
        <f aca="false">IF(AND(D109&gt;0, E109&gt;0), "Observed Flaky Test", "Non-observed Flaky Test")</f>
        <v>Non-observed Flaky Test</v>
      </c>
      <c r="G109" s="17" t="n">
        <v>100</v>
      </c>
      <c r="H109" s="17" t="n">
        <v>0</v>
      </c>
      <c r="I109" s="16" t="str">
        <f aca="false">IF(AND(G109&gt;0, H109&gt;0), "Observed Flaky Test", "Non-observed Flaky Test")</f>
        <v>Non-observed Flaky Test</v>
      </c>
      <c r="J109" s="46" t="n">
        <v>30.5577</v>
      </c>
      <c r="K109" s="53" t="n">
        <v>0.022039</v>
      </c>
      <c r="L109" s="19" t="n">
        <f aca="false">IFERROR(K109/J109*100,"N/A")</f>
        <v>0.0721225746702141</v>
      </c>
      <c r="M109" s="18" t="n">
        <v>0</v>
      </c>
      <c r="N109" s="18" t="n">
        <v>0</v>
      </c>
      <c r="O109" s="20" t="str">
        <f aca="false">IFERROR(N109/M109*100,"N/A")</f>
        <v>N/A</v>
      </c>
      <c r="P109" s="48" t="str">
        <f aca="false">IF(AND(G109&gt;0, H109=0), IF(ROUND(K109,8)=0, "Group 9: Only Passed | Without variation (SD Passed = 0)", "Group 10: Only Passed | With variation (SD Passed &gt; 0)"), IF(AND(G109=0, H109&gt;0), IF(ROUND(N109,8)=0, "Group 11: Only Failed | Without variation (SD Failed = 0)", "Group 12: Only Failed | With variation (SD Failed &gt; 0)"), IF(AND(G109&gt;0, H109&gt;0), IF(ROUND(J109,5)&lt;&gt;ROUND(M109,5), IF(AND(ROUND(K109,8)=0, ROUND(N109,8)=0), "Group 1: Flaky | Passed (no variation) AND Failed (no variation) | Different Means", IF(AND(ROUND(K109,8)&gt;0, ROUND(N109,8)&gt;0), "Group 2: Flaky | Passed (with variation) AND Failed (with variation) | Different Means", IF(AND(ROUND(K109,8)=0, ROUND(N109,8)&gt;0), "Group 3: Flaky | Passed (no variation) AND Failed (with variation) | Different Means", "Group 4: Flaky | Passed (with variation) AND Failed (no variation) | Different Means"))), IF(AND(ROUND(K109,8)=0, ROUND(N109,8)=0), "Group 5: Flaky | Passed (no variation) AND Failed (no variation) | Equal Means", IF(AND(ROUND(K109,8)&gt;0, ROUND(N109,8)&gt;0), "Group 6: Flaky | Passed (with variation) AND Failed (with variation) | Equal Means", IF(AND(ROUND(K109,8)=0, ROUND(N109,8)&gt;0),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09" s="22" t="n">
        <v>100</v>
      </c>
      <c r="R109" s="22" t="n">
        <v>0</v>
      </c>
      <c r="S109" s="23" t="str">
        <f aca="false">IF(AND(Q109&gt;0, R109&gt;0), "Observed Flaky Test", "Non-observed Flaky Test")</f>
        <v>Non-observed Flaky Test</v>
      </c>
      <c r="T109" s="22" t="n">
        <v>1263619.39</v>
      </c>
      <c r="U109" s="26" t="n">
        <v>103.032102</v>
      </c>
      <c r="V109" s="25" t="n">
        <f aca="false">IFERROR(U109/T109*100,"N/A")</f>
        <v>0.00815372910667349</v>
      </c>
      <c r="W109" s="22" t="n">
        <v>0</v>
      </c>
      <c r="X109" s="22" t="n">
        <v>0</v>
      </c>
      <c r="Y109" s="27" t="str">
        <f aca="false">IFERROR(X109/W109*100,"N/A")</f>
        <v>N/A</v>
      </c>
      <c r="Z109" s="50" t="str">
        <f aca="false">IF(AND(Q109&gt;0, R109=0), IF(IFERROR(ROUND(V109,8),0)=0, "Group 9: Only Passed | Without variation (no var CV = 0)", "Group 10: Only Passed | With variation (with var CV &gt; 0)"), IF(AND(Q109=0, R109&gt;0), IF(IFERROR(ROUND(Y109,8),0)=0, "Group 11: Only Failed | Without variation (no var CV = 0)", "Group 12: Only Failed | With variation (with var CV &gt; 0)"), IF(AND(Q109&gt;0, R109&gt;0), IF(ROUND(T109,5)&lt;&gt;ROUND(W109,5), IF(AND(IFERROR(ROUND(V109,8),0)=0, IFERROR(ROUND(Y109,8),0)=0), "Group 1: Flaky | Passed (no variation: CV = 0) AND Failed (no variation: CV = 0) | Different Means", IF(AND(IFERROR(ROUND(V109,8),0)&gt;0, IFERROR(ROUND(Y109,8),0)&gt;0), "Group 2: Flaky | Passed (with variation: CV &gt; 0) AND Failed (with variation: CV &gt; 0) | Different Means", IF(AND(IFERROR(ROUND(V109,8),0)=0, IFERROR(ROUND(Y109,8),0)&gt;0), "Group 3: Flaky | Passed (no variation: CV = 0) AND Failed (with variation: CV &gt; 0) | Different Means", "Group 4: Flaky | Passed (with variation: CV &gt; 0) AND Failed (no variation: CV = 0) | Different Means"))), IF(AND(IFERROR(ROUND(V109,8),0)=0, IFERROR(ROUND(Y109,8),0)=0), "Group 5: Flaky | Passed (no var CV = 0) AND Failed (no var CV = 0) | Equal Means", IF(AND(IFERROR(ROUND(V109,8),0)&gt;0, IFERROR(ROUND(Y109,8),0)&gt;0), "Group 6: Flaky | Passed (with var CV &gt; 0) AND Failed (with var CV &gt; 0) | Equal Means", IF(AND(IFERROR(ROUND(V109,8),0)=0, IFERROR(ROUND(Y109,8),0)&gt;0),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09" s="29" t="n">
        <v>1.86184</v>
      </c>
      <c r="AB109" s="29" t="n">
        <v>0.029992</v>
      </c>
      <c r="AC109" s="29" t="n">
        <f aca="false">IFERROR(AB109/AA109*100,"N/A")</f>
        <v>1.61087956000516</v>
      </c>
      <c r="AD109" s="29" t="n">
        <v>0</v>
      </c>
      <c r="AE109" s="29" t="n">
        <v>0</v>
      </c>
      <c r="AF109" s="29" t="str">
        <f aca="false">IFERROR(AE109/AD109*100,"N/A")</f>
        <v>N/A</v>
      </c>
      <c r="AG109" s="51" t="str">
        <f aca="false">IF(AND(Q109&gt;0, R109=0), IF(IFERROR(ROUND(AC109,8),0)=0, "Group 9: Only Passed | Without variation (no var CV = 0)", "Group 10: Only Passed | With variation (with var CV &gt; 0)"), IF(AND(Q109=0, R109&gt;0), IF(IFERROR(ROUND(AF109,8),0)=0, "Group 11: Only Failed | Without variation (no var CV = 0)", "Group 12: Only Failed | With variation (with var CV &gt; 0)"), IF(AND(Q109&gt;0, R109&gt;0), IF(ROUND(AA109,5)&lt;&gt;ROUND(AD109,5), IF(AND(IFERROR(ROUND(AC109,8),0)=0, IFERROR(ROUND(AF109,8),0)=0), "Group 1: Flaky | Passed (no variation: CV = 0) AND Failed (no variation: CV = 0) | Different Means", IF(AND(IFERROR(ROUND(AC109,8),0)&gt;0, IFERROR(ROUND(AF109,8),0)&gt;0), "Group 2: Flaky | Passed (with variation: CV &gt; 0) AND Failed (with variation: CV &gt; 0) | Different Means", IF(AND(IFERROR(ROUND(AC109,8),0)=0, IFERROR(ROUND(AF109,8),0)&gt;0), "Group 3: Flaky | Passed (no variation: CV = 0) AND Failed (with variation: CV &gt; 0) | Different Means", "Group 4: Flaky | Passed (with variation: CV &gt; 0) AND Failed (no variation: CV = 0) | Different Means"))), IF(AND(IFERROR(ROUND(AC109,8),0)=0, IFERROR(ROUND(AF109,8),0)=0), "Group 5: Flaky | Passed (no var CV = 0) AND Failed (no var CV = 0) | Equal Means", IF(AND(IFERROR(ROUND(AC109,8),0)&gt;0, IFERROR(ROUND(AF109,8),0)&gt;0), "Group 6: Flaky | Passed (with var CV &gt; 0) AND Failed (with var CV &gt; 0) | Equal Means", IF(AND(IFERROR(ROUND(AC109,8),0)=0, IFERROR(ROUND(AF109,8),0)&gt;0),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09" s="22" t="n">
        <v>100</v>
      </c>
      <c r="AI109" s="17" t="n">
        <v>0</v>
      </c>
      <c r="AJ109" s="31" t="str">
        <f aca="false">IF(AND(AH109&gt;0, AI109&gt;0), "Observed Flaky Test", "Non-observed Flaky Test")</f>
        <v>Non-observed Flaky Test</v>
      </c>
      <c r="AK109" s="81" t="n">
        <v>90668.08</v>
      </c>
      <c r="AL109" s="81" t="n">
        <v>767.638049704113</v>
      </c>
      <c r="AM109" s="33" t="n">
        <f aca="false">IFERROR(AL109/AK109*100,"N/A")</f>
        <v>0.8466464159207</v>
      </c>
      <c r="AN109" s="32" t="n">
        <v>0</v>
      </c>
      <c r="AO109" s="32" t="n">
        <v>0</v>
      </c>
      <c r="AP109" s="35" t="str">
        <f aca="false">IFERROR(AO109/AN109*100,"N/A")</f>
        <v>N/A</v>
      </c>
      <c r="AQ109" s="52" t="str">
        <f aca="false">IF(AND(AH109&gt;0, AI109&gt;0),
    IF(ROUND(N(AK109),5)&lt;&gt;ROUND(N(AN109),5),
        IF(AND(ROUND(N(AL109),8)=0, ROUND(N(AO109),8)=0), "Group 1: Flaky | Passed (no variation: SD = 0) AND Failed (no variation: SD = 0) | Different Means",
        IF(AND(ROUND(N(AL109),8)&gt;0, ROUND(N(AO109),8)&gt;0), "Group 2: Flaky | Passed (with variation: SD &gt; 0) AND Failed (with variation: SD &gt; 0) | Different Means",
        IF(AND(ROUND(N(AL109),8)=0, ROUND(N(AO109),8)&gt;0), "Group 3: Flaky | Passed (no variation: SD = 0) AND Failed (with variation: SD &gt; 0) | Different Means",
        "Group 4: Flaky | Passed (with variation: SD &gt; 0) AND Failed (no variation: SD = 0) | Different Means"))),
        IF(AND(ROUND(N(AL109),8)=0, ROUND(N(AO109),8)=0), "Group 5: Flaky | Passed (no var SD = 0) AND Failed (no var SD = 0) | Equal Means",
        IF(AND(ROUND(N(AL109),8)&gt;0, ROUND(N(AO109),8)&gt;0), "Group 6: Flaky | Passed (with var SD &gt; 0 ) AND Failed (with var SD &gt; 0) | Equal Means",
        IF(AND(ROUND(N(AL109),8)=0, ROUND(N(AO109),8)&gt;0), "Group 7: Flaky | Passed (no var SD = 0) AND Failed (with var SD &gt; 0) | Equal Means",
        "Group 8: Flaky | Passed (with var SD &gt; 0 ) AND Failed (no var SD = 0) | Equal Means")))
    ),
    IF(AH109&gt;0,
        IF(N(AL109)&gt;0, "Group 10: Only Passed | With variation (with var SD &gt; 0)", "Group 9: Only Passed | Without variation (no var SD = 0)"),
        IF(AI109&gt;0,
            IF(N(AO109)&gt;0,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09" s="37" t="str">
        <f aca="false">IF(OR(F109="Observed Flaky Test", I109="Observed Flaky Test", S109="Observed Flaky Test", AJ109="Observed Flaky Test"), "Observed Flaky Test", "Non-observed Flaky Test")</f>
        <v>Non-observed Flaky Test</v>
      </c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</row>
    <row r="110" customFormat="false" ht="15.75" hidden="false" customHeight="true" outlineLevel="0" collapsed="false">
      <c r="A110" s="13"/>
      <c r="B110" s="14" t="s">
        <v>250</v>
      </c>
      <c r="C110" s="14" t="s">
        <v>251</v>
      </c>
      <c r="D110" s="15" t="n">
        <v>0</v>
      </c>
      <c r="E110" s="15" t="n">
        <v>100</v>
      </c>
      <c r="F110" s="16" t="str">
        <f aca="false">IF(AND(D110&gt;0, E110&gt;0), "Observed Flaky Test", "Non-observed Flaky Test")</f>
        <v>Non-observed Flaky Test</v>
      </c>
      <c r="G110" s="17" t="n">
        <v>100</v>
      </c>
      <c r="H110" s="17" t="n">
        <v>0</v>
      </c>
      <c r="I110" s="16" t="str">
        <f aca="false">IF(AND(G110&gt;0, H110&gt;0), "Observed Flaky Test", "Non-observed Flaky Test")</f>
        <v>Non-observed Flaky Test</v>
      </c>
      <c r="J110" s="46" t="n">
        <v>30.5725</v>
      </c>
      <c r="K110" s="53" t="n">
        <v>0.023254</v>
      </c>
      <c r="L110" s="19" t="n">
        <f aca="false">IFERROR(K110/J110*100,"N/A")</f>
        <v>0.0760618202633085</v>
      </c>
      <c r="M110" s="18" t="n">
        <v>0</v>
      </c>
      <c r="N110" s="18" t="n">
        <v>0</v>
      </c>
      <c r="O110" s="20" t="str">
        <f aca="false">IFERROR(N110/M110*100,"N/A")</f>
        <v>N/A</v>
      </c>
      <c r="P110" s="48" t="str">
        <f aca="false">IF(AND(G110&gt;0, H110=0), IF(ROUND(K110,8)=0, "Group 9: Only Passed | Without variation (SD Passed = 0)", "Group 10: Only Passed | With variation (SD Passed &gt; 0)"), IF(AND(G110=0, H110&gt;0), IF(ROUND(N110,8)=0, "Group 11: Only Failed | Without variation (SD Failed = 0)", "Group 12: Only Failed | With variation (SD Failed &gt; 0)"), IF(AND(G110&gt;0, H110&gt;0), IF(ROUND(J110,5)&lt;&gt;ROUND(M110,5), IF(AND(ROUND(K110,8)=0, ROUND(N110,8)=0), "Group 1: Flaky | Passed (no variation) AND Failed (no variation) | Different Means", IF(AND(ROUND(K110,8)&gt;0, ROUND(N110,8)&gt;0), "Group 2: Flaky | Passed (with variation) AND Failed (with variation) | Different Means", IF(AND(ROUND(K110,8)=0, ROUND(N110,8)&gt;0), "Group 3: Flaky | Passed (no variation) AND Failed (with variation) | Different Means", "Group 4: Flaky | Passed (with variation) AND Failed (no variation) | Different Means"))), IF(AND(ROUND(K110,8)=0, ROUND(N110,8)=0), "Group 5: Flaky | Passed (no variation) AND Failed (no variation) | Equal Means", IF(AND(ROUND(K110,8)&gt;0, ROUND(N110,8)&gt;0), "Group 6: Flaky | Passed (with variation) AND Failed (with variation) | Equal Means", IF(AND(ROUND(K110,8)=0, ROUND(N110,8)&gt;0),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10" s="22" t="n">
        <v>100</v>
      </c>
      <c r="R110" s="22" t="n">
        <v>0</v>
      </c>
      <c r="S110" s="23" t="str">
        <f aca="false">IF(AND(Q110&gt;0, R110&gt;0), "Observed Flaky Test", "Non-observed Flaky Test")</f>
        <v>Non-observed Flaky Test</v>
      </c>
      <c r="T110" s="22" t="n">
        <v>1265474.14</v>
      </c>
      <c r="U110" s="24" t="n">
        <v>105.787573</v>
      </c>
      <c r="V110" s="25" t="n">
        <f aca="false">IFERROR(U110/T110*100,"N/A")</f>
        <v>0.00835952072477751</v>
      </c>
      <c r="W110" s="22" t="n">
        <v>0</v>
      </c>
      <c r="X110" s="22" t="n">
        <v>0</v>
      </c>
      <c r="Y110" s="27" t="str">
        <f aca="false">IFERROR(X110/W110*100,"N/A")</f>
        <v>N/A</v>
      </c>
      <c r="Z110" s="50" t="str">
        <f aca="false">IF(AND(Q110&gt;0, R110=0), IF(IFERROR(ROUND(V110,8),0)=0, "Group 9: Only Passed | Without variation (no var CV = 0)", "Group 10: Only Passed | With variation (with var CV &gt; 0)"), IF(AND(Q110=0, R110&gt;0), IF(IFERROR(ROUND(Y110,8),0)=0, "Group 11: Only Failed | Without variation (no var CV = 0)", "Group 12: Only Failed | With variation (with var CV &gt; 0)"), IF(AND(Q110&gt;0, R110&gt;0), IF(ROUND(T110,5)&lt;&gt;ROUND(W110,5), IF(AND(IFERROR(ROUND(V110,8),0)=0, IFERROR(ROUND(Y110,8),0)=0), "Group 1: Flaky | Passed (no variation: CV = 0) AND Failed (no variation: CV = 0) | Different Means", IF(AND(IFERROR(ROUND(V110,8),0)&gt;0, IFERROR(ROUND(Y110,8),0)&gt;0), "Group 2: Flaky | Passed (with variation: CV &gt; 0) AND Failed (with variation: CV &gt; 0) | Different Means", IF(AND(IFERROR(ROUND(V110,8),0)=0, IFERROR(ROUND(Y110,8),0)&gt;0), "Group 3: Flaky | Passed (no variation: CV = 0) AND Failed (with variation: CV &gt; 0) | Different Means", "Group 4: Flaky | Passed (with variation: CV &gt; 0) AND Failed (no variation: CV = 0) | Different Means"))), IF(AND(IFERROR(ROUND(V110,8),0)=0, IFERROR(ROUND(Y110,8),0)=0), "Group 5: Flaky | Passed (no var CV = 0) AND Failed (no var CV = 0) | Equal Means", IF(AND(IFERROR(ROUND(V110,8),0)&gt;0, IFERROR(ROUND(Y110,8),0)&gt;0), "Group 6: Flaky | Passed (with var CV &gt; 0) AND Failed (with var CV &gt; 0) | Equal Means", IF(AND(IFERROR(ROUND(V110,8),0)=0, IFERROR(ROUND(Y110,8),0)&gt;0),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0" s="29" t="n">
        <v>1.739063</v>
      </c>
      <c r="AB110" s="29" t="n">
        <v>0.023092</v>
      </c>
      <c r="AC110" s="29" t="n">
        <f aca="false">IFERROR(AB110/AA110*100,"N/A")</f>
        <v>1.32784148705366</v>
      </c>
      <c r="AD110" s="29" t="n">
        <v>0</v>
      </c>
      <c r="AE110" s="29" t="n">
        <v>0</v>
      </c>
      <c r="AF110" s="29" t="str">
        <f aca="false">IFERROR(AE110/AD110*100,"N/A")</f>
        <v>N/A</v>
      </c>
      <c r="AG110" s="51" t="str">
        <f aca="false">IF(AND(Q110&gt;0, R110=0), IF(IFERROR(ROUND(AC110,8),0)=0, "Group 9: Only Passed | Without variation (no var CV = 0)", "Group 10: Only Passed | With variation (with var CV &gt; 0)"), IF(AND(Q110=0, R110&gt;0), IF(IFERROR(ROUND(AF110,8),0)=0, "Group 11: Only Failed | Without variation (no var CV = 0)", "Group 12: Only Failed | With variation (with var CV &gt; 0)"), IF(AND(Q110&gt;0, R110&gt;0), IF(ROUND(AA110,5)&lt;&gt;ROUND(AD110,5), IF(AND(IFERROR(ROUND(AC110,8),0)=0, IFERROR(ROUND(AF110,8),0)=0), "Group 1: Flaky | Passed (no variation: CV = 0) AND Failed (no variation: CV = 0) | Different Means", IF(AND(IFERROR(ROUND(AC110,8),0)&gt;0, IFERROR(ROUND(AF110,8),0)&gt;0), "Group 2: Flaky | Passed (with variation: CV &gt; 0) AND Failed (with variation: CV &gt; 0) | Different Means", IF(AND(IFERROR(ROUND(AC110,8),0)=0, IFERROR(ROUND(AF110,8),0)&gt;0), "Group 3: Flaky | Passed (no variation: CV = 0) AND Failed (with variation: CV &gt; 0) | Different Means", "Group 4: Flaky | Passed (with variation: CV &gt; 0) AND Failed (no variation: CV = 0) | Different Means"))), IF(AND(IFERROR(ROUND(AC110,8),0)=0, IFERROR(ROUND(AF110,8),0)=0), "Group 5: Flaky | Passed (no var CV = 0) AND Failed (no var CV = 0) | Equal Means", IF(AND(IFERROR(ROUND(AC110,8),0)&gt;0, IFERROR(ROUND(AF110,8),0)&gt;0), "Group 6: Flaky | Passed (with var CV &gt; 0) AND Failed (with var CV &gt; 0) | Equal Means", IF(AND(IFERROR(ROUND(AC110,8),0)=0, IFERROR(ROUND(AF110,8),0)&gt;0),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0" s="22" t="n">
        <v>100</v>
      </c>
      <c r="AI110" s="17" t="n">
        <v>0</v>
      </c>
      <c r="AJ110" s="31" t="str">
        <f aca="false">IF(AND(AH110&gt;0, AI110&gt;0), "Observed Flaky Test", "Non-observed Flaky Test")</f>
        <v>Non-observed Flaky Test</v>
      </c>
      <c r="AK110" s="32" t="n">
        <v>89989.99</v>
      </c>
      <c r="AL110" s="57" t="n">
        <v>728.45370331874</v>
      </c>
      <c r="AM110" s="33" t="n">
        <f aca="false">IFERROR(AL110/AK110*100,"N/A")</f>
        <v>0.809483036189625</v>
      </c>
      <c r="AN110" s="32" t="n">
        <v>0</v>
      </c>
      <c r="AO110" s="32" t="n">
        <v>0</v>
      </c>
      <c r="AP110" s="35" t="str">
        <f aca="false">IFERROR(AO110/AN110*100,"N/A")</f>
        <v>N/A</v>
      </c>
      <c r="AQ110" s="52" t="str">
        <f aca="false">IF(AND(AH110&gt;0, AI110&gt;0),
    IF(ROUND(N(AK110),5)&lt;&gt;ROUND(N(AN110),5),
        IF(AND(ROUND(N(AL110),8)=0, ROUND(N(AO110),8)=0), "Group 1: Flaky | Passed (no variation: SD = 0) AND Failed (no variation: SD = 0) | Different Means",
        IF(AND(ROUND(N(AL110),8)&gt;0, ROUND(N(AO110),8)&gt;0), "Group 2: Flaky | Passed (with variation: SD &gt; 0) AND Failed (with variation: SD &gt; 0) | Different Means",
        IF(AND(ROUND(N(AL110),8)=0, ROUND(N(AO110),8)&gt;0), "Group 3: Flaky | Passed (no variation: SD = 0) AND Failed (with variation: SD &gt; 0) | Different Means",
        "Group 4: Flaky | Passed (with variation: SD &gt; 0) AND Failed (no variation: SD = 0) | Different Means"))),
        IF(AND(ROUND(N(AL110),8)=0, ROUND(N(AO110),8)=0), "Group 5: Flaky | Passed (no var SD = 0) AND Failed (no var SD = 0) | Equal Means",
        IF(AND(ROUND(N(AL110),8)&gt;0, ROUND(N(AO110),8)&gt;0), "Group 6: Flaky | Passed (with var SD &gt; 0 ) AND Failed (with var SD &gt; 0) | Equal Means",
        IF(AND(ROUND(N(AL110),8)=0, ROUND(N(AO110),8)&gt;0), "Group 7: Flaky | Passed (no var SD = 0) AND Failed (with var SD &gt; 0) | Equal Means",
        "Group 8: Flaky | Passed (with var SD &gt; 0 ) AND Failed (no var SD = 0) | Equal Means")))
    ),
    IF(AH110&gt;0,
        IF(N(AL110)&gt;0, "Group 10: Only Passed | With variation (with var SD &gt; 0)", "Group 9: Only Passed | Without variation (no var SD = 0)"),
        IF(AI110&gt;0,
            IF(N(AO110)&gt;0,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10" s="37" t="str">
        <f aca="false">IF(OR(F110="Observed Flaky Test", I110="Observed Flaky Test", S110="Observed Flaky Test", AJ110="Observed Flaky Test"), "Observed Flaky Test", "Non-observed Flaky Test")</f>
        <v>Non-observed Flaky Test</v>
      </c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</row>
    <row r="111" customFormat="false" ht="15.75" hidden="false" customHeight="true" outlineLevel="0" collapsed="false">
      <c r="A111" s="13"/>
      <c r="B111" s="14" t="s">
        <v>252</v>
      </c>
      <c r="C111" s="14" t="s">
        <v>253</v>
      </c>
      <c r="D111" s="15" t="n">
        <v>0</v>
      </c>
      <c r="E111" s="15" t="n">
        <v>100</v>
      </c>
      <c r="F111" s="16" t="str">
        <f aca="false">IF(AND(D111&gt;0, E111&gt;0), "Observed Flaky Test", "Non-observed Flaky Test")</f>
        <v>Non-observed Flaky Test</v>
      </c>
      <c r="G111" s="17" t="n">
        <v>100</v>
      </c>
      <c r="H111" s="17" t="n">
        <v>0</v>
      </c>
      <c r="I111" s="16" t="str">
        <f aca="false">IF(AND(G111&gt;0, H111&gt;0), "Observed Flaky Test", "Non-observed Flaky Test")</f>
        <v>Non-observed Flaky Test</v>
      </c>
      <c r="J111" s="18" t="n">
        <v>31.33</v>
      </c>
      <c r="K111" s="53" t="n">
        <v>0.008367</v>
      </c>
      <c r="L111" s="19" t="n">
        <f aca="false">IFERROR(K111/J111*100,"N/A")</f>
        <v>0.026706032556655</v>
      </c>
      <c r="M111" s="18" t="n">
        <v>0</v>
      </c>
      <c r="N111" s="18" t="n">
        <v>0</v>
      </c>
      <c r="O111" s="20" t="str">
        <f aca="false">IFERROR(N111/M111*100,"N/A")</f>
        <v>N/A</v>
      </c>
      <c r="P111" s="48" t="str">
        <f aca="false">IF(AND(G111&gt;0, H111=0), IF(ROUND(K111,8)=0, "Group 9: Only Passed | Without variation (SD Passed = 0)", "Group 10: Only Passed | With variation (SD Passed &gt; 0)"), IF(AND(G111=0, H111&gt;0), IF(ROUND(N111,8)=0, "Group 11: Only Failed | Without variation (SD Failed = 0)", "Group 12: Only Failed | With variation (SD Failed &gt; 0)"), IF(AND(G111&gt;0, H111&gt;0), IF(ROUND(J111,5)&lt;&gt;ROUND(M111,5), IF(AND(ROUND(K111,8)=0, ROUND(N111,8)=0), "Group 1: Flaky | Passed (no variation) AND Failed (no variation) | Different Means", IF(AND(ROUND(K111,8)&gt;0, ROUND(N111,8)&gt;0), "Group 2: Flaky | Passed (with variation) AND Failed (with variation) | Different Means", IF(AND(ROUND(K111,8)=0, ROUND(N111,8)&gt;0), "Group 3: Flaky | Passed (no variation) AND Failed (with variation) | Different Means", "Group 4: Flaky | Passed (with variation) AND Failed (no variation) | Different Means"))), IF(AND(ROUND(K111,8)=0, ROUND(N111,8)=0), "Group 5: Flaky | Passed (no variation) AND Failed (no variation) | Equal Means", IF(AND(ROUND(K111,8)&gt;0, ROUND(N111,8)&gt;0), "Group 6: Flaky | Passed (with variation) AND Failed (with variation) | Equal Means", IF(AND(ROUND(K111,8)=0, ROUND(N111,8)&gt;0),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11" s="22" t="n">
        <v>100</v>
      </c>
      <c r="R111" s="22" t="n">
        <v>0</v>
      </c>
      <c r="S111" s="23" t="str">
        <f aca="false">IF(AND(Q111&gt;0, R111&gt;0), "Observed Flaky Test", "Non-observed Flaky Test")</f>
        <v>Non-observed Flaky Test</v>
      </c>
      <c r="T111" s="22" t="n">
        <v>1257450.34</v>
      </c>
      <c r="U111" s="24" t="n">
        <v>71.368473</v>
      </c>
      <c r="V111" s="25" t="n">
        <f aca="false">IFERROR(U111/T111*100,"N/A")</f>
        <v>0.0056756494256465</v>
      </c>
      <c r="W111" s="22" t="n">
        <v>0</v>
      </c>
      <c r="X111" s="22" t="n">
        <v>0</v>
      </c>
      <c r="Y111" s="27" t="str">
        <f aca="false">IFERROR(X111/W111*100,"N/A")</f>
        <v>N/A</v>
      </c>
      <c r="Z111" s="50" t="str">
        <f aca="false">IF(AND(Q111&gt;0, R111=0), IF(IFERROR(ROUND(V111,8),0)=0, "Group 9: Only Passed | Without variation (no var CV = 0)", "Group 10: Only Passed | With variation (with var CV &gt; 0)"), IF(AND(Q111=0, R111&gt;0), IF(IFERROR(ROUND(Y111,8),0)=0, "Group 11: Only Failed | Without variation (no var CV = 0)", "Group 12: Only Failed | With variation (with var CV &gt; 0)"), IF(AND(Q111&gt;0, R111&gt;0), IF(ROUND(T111,5)&lt;&gt;ROUND(W111,5), IF(AND(IFERROR(ROUND(V111,8),0)=0, IFERROR(ROUND(Y111,8),0)=0), "Group 1: Flaky | Passed (no variation: CV = 0) AND Failed (no variation: CV = 0) | Different Means", IF(AND(IFERROR(ROUND(V111,8),0)&gt;0, IFERROR(ROUND(Y111,8),0)&gt;0), "Group 2: Flaky | Passed (with variation: CV &gt; 0) AND Failed (with variation: CV &gt; 0) | Different Means", IF(AND(IFERROR(ROUND(V111,8),0)=0, IFERROR(ROUND(Y111,8),0)&gt;0), "Group 3: Flaky | Passed (no variation: CV = 0) AND Failed (with variation: CV &gt; 0) | Different Means", "Group 4: Flaky | Passed (with variation: CV &gt; 0) AND Failed (no variation: CV = 0) | Different Means"))), IF(AND(IFERROR(ROUND(V111,8),0)=0, IFERROR(ROUND(Y111,8),0)=0), "Group 5: Flaky | Passed (no var CV = 0) AND Failed (no var CV = 0) | Equal Means", IF(AND(IFERROR(ROUND(V111,8),0)&gt;0, IFERROR(ROUND(Y111,8),0)&gt;0), "Group 6: Flaky | Passed (with var CV &gt; 0) AND Failed (with var CV &gt; 0) | Equal Means", IF(AND(IFERROR(ROUND(V111,8),0)=0, IFERROR(ROUND(Y111,8),0)&gt;0),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1" s="29" t="n">
        <v>7.880792</v>
      </c>
      <c r="AB111" s="29" t="n">
        <v>0.050494</v>
      </c>
      <c r="AC111" s="29" t="n">
        <f aca="false">IFERROR(AB111/AA111*100,"N/A")</f>
        <v>0.640722404550203</v>
      </c>
      <c r="AD111" s="29" t="n">
        <v>0</v>
      </c>
      <c r="AE111" s="29" t="n">
        <v>0</v>
      </c>
      <c r="AF111" s="29" t="str">
        <f aca="false">IFERROR(AE111/AD111*100,"N/A")</f>
        <v>N/A</v>
      </c>
      <c r="AG111" s="51" t="str">
        <f aca="false">IF(AND(Q111&gt;0, R111=0), IF(IFERROR(ROUND(AC111,8),0)=0, "Group 9: Only Passed | Without variation (no var CV = 0)", "Group 10: Only Passed | With variation (with var CV &gt; 0)"), IF(AND(Q111=0, R111&gt;0), IF(IFERROR(ROUND(AF111,8),0)=0, "Group 11: Only Failed | Without variation (no var CV = 0)", "Group 12: Only Failed | With variation (with var CV &gt; 0)"), IF(AND(Q111&gt;0, R111&gt;0), IF(ROUND(AA111,5)&lt;&gt;ROUND(AD111,5), IF(AND(IFERROR(ROUND(AC111,8),0)=0, IFERROR(ROUND(AF111,8),0)=0), "Group 1: Flaky | Passed (no variation: CV = 0) AND Failed (no variation: CV = 0) | Different Means", IF(AND(IFERROR(ROUND(AC111,8),0)&gt;0, IFERROR(ROUND(AF111,8),0)&gt;0), "Group 2: Flaky | Passed (with variation: CV &gt; 0) AND Failed (with variation: CV &gt; 0) | Different Means", IF(AND(IFERROR(ROUND(AC111,8),0)=0, IFERROR(ROUND(AF111,8),0)&gt;0), "Group 3: Flaky | Passed (no variation: CV = 0) AND Failed (with variation: CV &gt; 0) | Different Means", "Group 4: Flaky | Passed (with variation: CV &gt; 0) AND Failed (no variation: CV = 0) | Different Means"))), IF(AND(IFERROR(ROUND(AC111,8),0)=0, IFERROR(ROUND(AF111,8),0)=0), "Group 5: Flaky | Passed (no var CV = 0) AND Failed (no var CV = 0) | Equal Means", IF(AND(IFERROR(ROUND(AC111,8),0)&gt;0, IFERROR(ROUND(AF111,8),0)&gt;0), "Group 6: Flaky | Passed (with var CV &gt; 0) AND Failed (with var CV &gt; 0) | Equal Means", IF(AND(IFERROR(ROUND(AC111,8),0)=0, IFERROR(ROUND(AF111,8),0)&gt;0),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1" s="22" t="n">
        <v>100</v>
      </c>
      <c r="AI111" s="17" t="n">
        <v>0</v>
      </c>
      <c r="AJ111" s="31" t="str">
        <f aca="false">IF(AND(AH111&gt;0, AI111&gt;0), "Observed Flaky Test", "Non-observed Flaky Test")</f>
        <v>Non-observed Flaky Test</v>
      </c>
      <c r="AK111" s="32" t="n">
        <v>138004</v>
      </c>
      <c r="AL111" s="32" t="n">
        <v>0</v>
      </c>
      <c r="AM111" s="33" t="n">
        <f aca="false">IFERROR(AL111/AK111*100,"N/A")</f>
        <v>0</v>
      </c>
      <c r="AN111" s="32" t="n">
        <v>0</v>
      </c>
      <c r="AO111" s="32" t="n">
        <v>0</v>
      </c>
      <c r="AP111" s="35" t="str">
        <f aca="false">IFERROR(AO111/AN111*100,"N/A")</f>
        <v>N/A</v>
      </c>
      <c r="AQ111" s="45" t="str">
        <f aca="false">IF(AND(AH111&gt;0, AI111&gt;0),
    IF(ROUND(N(AK111),5)&lt;&gt;ROUND(N(AN111),5),
        IF(AND(ROUND(N(AL111),8)=0, ROUND(N(AO111),8)=0), "Group 1: Flaky | Passed (no variation: SD = 0) AND Failed (no variation: SD = 0) | Different Means",
        IF(AND(ROUND(N(AL111),8)&gt;0, ROUND(N(AO111),8)&gt;0), "Group 2: Flaky | Passed (with variation: SD &gt; 0) AND Failed (with variation: SD &gt; 0) | Different Means",
        IF(AND(ROUND(N(AL111),8)=0, ROUND(N(AO111),8)&gt;0), "Group 3: Flaky | Passed (no variation: SD = 0) AND Failed (with variation: SD &gt; 0) | Different Means",
        "Group 4: Flaky | Passed (with variation: SD &gt; 0) AND Failed (no variation: SD = 0) | Different Means"))),
        IF(AND(ROUND(N(AL111),8)=0, ROUND(N(AO111),8)=0), "Group 5: Flaky | Passed (no var SD = 0) AND Failed (no var SD = 0) | Equal Means",
        IF(AND(ROUND(N(AL111),8)&gt;0, ROUND(N(AO111),8)&gt;0), "Group 6: Flaky | Passed (with var SD &gt; 0 ) AND Failed (with var SD &gt; 0) | Equal Means",
        IF(AND(ROUND(N(AL111),8)=0, ROUND(N(AO111),8)&gt;0), "Group 7: Flaky | Passed (no var SD = 0) AND Failed (with var SD &gt; 0) | Equal Means",
        "Group 8: Flaky | Passed (with var SD &gt; 0 ) AND Failed (no var SD = 0) | Equal Means")))
    ),
    IF(AH111&gt;0,
        IF(N(AL111)&gt;0, "Group 10: Only Passed | With variation (with var SD &gt; 0)", "Group 9: Only Passed | Without variation (no var SD = 0)"),
        IF(AI111&gt;0,
            IF(N(AO111)&gt;0,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1" s="37" t="str">
        <f aca="false">IF(OR(F111="Observed Flaky Test", I111="Observed Flaky Test", S111="Observed Flaky Test", AJ111="Observed Flaky Test"), "Observed Flaky Test", "Non-observed Flaky Test")</f>
        <v>Non-observed Flaky Test</v>
      </c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customFormat="false" ht="15.75" hidden="false" customHeight="true" outlineLevel="0" collapsed="false">
      <c r="A112" s="13"/>
      <c r="B112" s="14" t="s">
        <v>254</v>
      </c>
      <c r="C112" s="14" t="s">
        <v>255</v>
      </c>
      <c r="D112" s="15" t="n">
        <v>0</v>
      </c>
      <c r="E112" s="15" t="n">
        <v>100</v>
      </c>
      <c r="F112" s="16" t="str">
        <f aca="false">IF(AND(D112&gt;0, E112&gt;0), "Observed Flaky Test", "Non-observed Flaky Test")</f>
        <v>Non-observed Flaky Test</v>
      </c>
      <c r="G112" s="17" t="n">
        <v>100</v>
      </c>
      <c r="H112" s="17" t="n">
        <v>0</v>
      </c>
      <c r="I112" s="16" t="str">
        <f aca="false">IF(AND(G112&gt;0, H112&gt;0), "Observed Flaky Test", "Non-observed Flaky Test")</f>
        <v>Non-observed Flaky Test</v>
      </c>
      <c r="J112" s="18" t="n">
        <v>25</v>
      </c>
      <c r="K112" s="18" t="n">
        <v>0</v>
      </c>
      <c r="L112" s="19" t="n">
        <f aca="false">IFERROR(K112/J112*100,"N/A")</f>
        <v>0</v>
      </c>
      <c r="M112" s="18" t="n">
        <v>0</v>
      </c>
      <c r="N112" s="18" t="n">
        <v>0</v>
      </c>
      <c r="O112" s="20" t="str">
        <f aca="false">IFERROR(N112/M112*100,"N/A")</f>
        <v>N/A</v>
      </c>
      <c r="P112" s="56" t="str">
        <f aca="false">IF(AND(G112&gt;0, H112=0), IF(ROUND(K112,8)=0, "Group 9: Only Passed | Without variation (SD Passed = 0)", "Group 10: Only Passed | With variation (SD Passed &gt; 0)"), IF(AND(G112=0, H112&gt;0), IF(ROUND(N112,8)=0, "Group 11: Only Failed | Without variation (SD Failed = 0)", "Group 12: Only Failed | With variation (SD Failed &gt; 0)"), IF(AND(G112&gt;0, H112&gt;0), IF(ROUND(J112,5)&lt;&gt;ROUND(M112,5), IF(AND(ROUND(K112,8)=0, ROUND(N112,8)=0), "Group 1: Flaky | Passed (no variation) AND Failed (no variation) | Different Means", IF(AND(ROUND(K112,8)&gt;0, ROUND(N112,8)&gt;0), "Group 2: Flaky | Passed (with variation) AND Failed (with variation) | Different Means", IF(AND(ROUND(K112,8)=0, ROUND(N112,8)&gt;0), "Group 3: Flaky | Passed (no variation) AND Failed (with variation) | Different Means", "Group 4: Flaky | Passed (with variation) AND Failed (no variation) | Different Means"))), IF(AND(ROUND(K112,8)=0, ROUND(N112,8)=0), "Group 5: Flaky | Passed (no variation) AND Failed (no variation) | Equal Means", IF(AND(ROUND(K112,8)&gt;0, ROUND(N112,8)&gt;0), "Group 6: Flaky | Passed (with variation) AND Failed (with variation) | Equal Means", IF(AND(ROUND(K112,8)=0, ROUND(N112,8)&gt;0),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2" s="22" t="n">
        <v>100</v>
      </c>
      <c r="R112" s="22" t="n">
        <v>0</v>
      </c>
      <c r="S112" s="23" t="str">
        <f aca="false">IF(AND(Q112&gt;0, R112&gt;0), "Observed Flaky Test", "Non-observed Flaky Test")</f>
        <v>Non-observed Flaky Test</v>
      </c>
      <c r="T112" s="22" t="n">
        <v>1045962.56</v>
      </c>
      <c r="U112" s="24" t="n">
        <v>12.235335</v>
      </c>
      <c r="V112" s="25" t="n">
        <f aca="false">IFERROR(U112/T112*100,"N/A")</f>
        <v>0.00116976796951508</v>
      </c>
      <c r="W112" s="22" t="n">
        <v>0</v>
      </c>
      <c r="X112" s="22" t="n">
        <v>0</v>
      </c>
      <c r="Y112" s="27" t="str">
        <f aca="false">IFERROR(X112/W112*100,"N/A")</f>
        <v>N/A</v>
      </c>
      <c r="Z112" s="50" t="str">
        <f aca="false">IF(AND(Q112&gt;0, R112=0), IF(IFERROR(ROUND(V112,8),0)=0, "Group 9: Only Passed | Without variation (no var CV = 0)", "Group 10: Only Passed | With variation (with var CV &gt; 0)"), IF(AND(Q112=0, R112&gt;0), IF(IFERROR(ROUND(Y112,8),0)=0, "Group 11: Only Failed | Without variation (no var CV = 0)", "Group 12: Only Failed | With variation (with var CV &gt; 0)"), IF(AND(Q112&gt;0, R112&gt;0), IF(ROUND(T112,5)&lt;&gt;ROUND(W112,5), IF(AND(IFERROR(ROUND(V112,8),0)=0, IFERROR(ROUND(Y112,8),0)=0), "Group 1: Flaky | Passed (no variation: CV = 0) AND Failed (no variation: CV = 0) | Different Means", IF(AND(IFERROR(ROUND(V112,8),0)&gt;0, IFERROR(ROUND(Y112,8),0)&gt;0), "Group 2: Flaky | Passed (with variation: CV &gt; 0) AND Failed (with variation: CV &gt; 0) | Different Means", IF(AND(IFERROR(ROUND(V112,8),0)=0, IFERROR(ROUND(Y112,8),0)&gt;0), "Group 3: Flaky | Passed (no variation: CV = 0) AND Failed (with variation: CV &gt; 0) | Different Means", "Group 4: Flaky | Passed (with variation: CV &gt; 0) AND Failed (no variation: CV = 0) | Different Means"))), IF(AND(IFERROR(ROUND(V112,8),0)=0, IFERROR(ROUND(Y112,8),0)=0), "Group 5: Flaky | Passed (no var CV = 0) AND Failed (no var CV = 0) | Equal Means", IF(AND(IFERROR(ROUND(V112,8),0)&gt;0, IFERROR(ROUND(Y112,8),0)&gt;0), "Group 6: Flaky | Passed (with var CV &gt; 0) AND Failed (with var CV &gt; 0) | Equal Means", IF(AND(IFERROR(ROUND(V112,8),0)=0, IFERROR(ROUND(Y112,8),0)&gt;0),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2" s="29" t="n">
        <v>1.62528</v>
      </c>
      <c r="AB112" s="29" t="n">
        <v>0.010992</v>
      </c>
      <c r="AC112" s="29" t="n">
        <f aca="false">IFERROR(AB112/AA112*100,"N/A")</f>
        <v>0.676314235085647</v>
      </c>
      <c r="AD112" s="29" t="n">
        <v>0</v>
      </c>
      <c r="AE112" s="29" t="n">
        <v>0</v>
      </c>
      <c r="AF112" s="29" t="str">
        <f aca="false">IFERROR(AE112/AD112*100,"N/A")</f>
        <v>N/A</v>
      </c>
      <c r="AG112" s="51" t="str">
        <f aca="false">IF(AND(Q112&gt;0, R112=0), IF(IFERROR(ROUND(AC112,8),0)=0, "Group 9: Only Passed | Without variation (no var CV = 0)", "Group 10: Only Passed | With variation (with var CV &gt; 0)"), IF(AND(Q112=0, R112&gt;0), IF(IFERROR(ROUND(AF112,8),0)=0, "Group 11: Only Failed | Without variation (no var CV = 0)", "Group 12: Only Failed | With variation (with var CV &gt; 0)"), IF(AND(Q112&gt;0, R112&gt;0), IF(ROUND(AA112,5)&lt;&gt;ROUND(AD112,5), IF(AND(IFERROR(ROUND(AC112,8),0)=0, IFERROR(ROUND(AF112,8),0)=0), "Group 1: Flaky | Passed (no variation: CV = 0) AND Failed (no variation: CV = 0) | Different Means", IF(AND(IFERROR(ROUND(AC112,8),0)&gt;0, IFERROR(ROUND(AF112,8),0)&gt;0), "Group 2: Flaky | Passed (with variation: CV &gt; 0) AND Failed (with variation: CV &gt; 0) | Different Means", IF(AND(IFERROR(ROUND(AC112,8),0)=0, IFERROR(ROUND(AF112,8),0)&gt;0), "Group 3: Flaky | Passed (no variation: CV = 0) AND Failed (with variation: CV &gt; 0) | Different Means", "Group 4: Flaky | Passed (with variation: CV &gt; 0) AND Failed (no variation: CV = 0) | Different Means"))), IF(AND(IFERROR(ROUND(AC112,8),0)=0, IFERROR(ROUND(AF112,8),0)=0), "Group 5: Flaky | Passed (no var CV = 0) AND Failed (no var CV = 0) | Equal Means", IF(AND(IFERROR(ROUND(AC112,8),0)&gt;0, IFERROR(ROUND(AF112,8),0)&gt;0), "Group 6: Flaky | Passed (with var CV &gt; 0) AND Failed (with var CV &gt; 0) | Equal Means", IF(AND(IFERROR(ROUND(AC112,8),0)=0, IFERROR(ROUND(AF112,8),0)&gt;0),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2" s="22" t="n">
        <v>100</v>
      </c>
      <c r="AI112" s="17" t="n">
        <v>0</v>
      </c>
      <c r="AJ112" s="31" t="str">
        <f aca="false">IF(AND(AH112&gt;0, AI112&gt;0), "Observed Flaky Test", "Non-observed Flaky Test")</f>
        <v>Non-observed Flaky Test</v>
      </c>
      <c r="AK112" s="32" t="n">
        <v>25018</v>
      </c>
      <c r="AL112" s="32" t="n">
        <v>0</v>
      </c>
      <c r="AM112" s="33" t="n">
        <f aca="false">IFERROR(AL112/AK112*100,"N/A")</f>
        <v>0</v>
      </c>
      <c r="AN112" s="32" t="n">
        <v>0</v>
      </c>
      <c r="AO112" s="32" t="n">
        <v>0</v>
      </c>
      <c r="AP112" s="35" t="str">
        <f aca="false">IFERROR(AO112/AN112*100,"N/A")</f>
        <v>N/A</v>
      </c>
      <c r="AQ112" s="45" t="str">
        <f aca="false">IF(AND(AH112&gt;0, AI112&gt;0),
    IF(ROUND(N(AK112),5)&lt;&gt;ROUND(N(AN112),5),
        IF(AND(ROUND(N(AL112),8)=0, ROUND(N(AO112),8)=0), "Group 1: Flaky | Passed (no variation: SD = 0) AND Failed (no variation: SD = 0) | Different Means",
        IF(AND(ROUND(N(AL112),8)&gt;0, ROUND(N(AO112),8)&gt;0), "Group 2: Flaky | Passed (with variation: SD &gt; 0) AND Failed (with variation: SD &gt; 0) | Different Means",
        IF(AND(ROUND(N(AL112),8)=0, ROUND(N(AO112),8)&gt;0), "Group 3: Flaky | Passed (no variation: SD = 0) AND Failed (with variation: SD &gt; 0) | Different Means",
        "Group 4: Flaky | Passed (with variation: SD &gt; 0) AND Failed (no variation: SD = 0) | Different Means"))),
        IF(AND(ROUND(N(AL112),8)=0, ROUND(N(AO112),8)=0), "Group 5: Flaky | Passed (no var SD = 0) AND Failed (no var SD = 0) | Equal Means",
        IF(AND(ROUND(N(AL112),8)&gt;0, ROUND(N(AO112),8)&gt;0), "Group 6: Flaky | Passed (with var SD &gt; 0 ) AND Failed (with var SD &gt; 0) | Equal Means",
        IF(AND(ROUND(N(AL112),8)=0, ROUND(N(AO112),8)&gt;0), "Group 7: Flaky | Passed (no var SD = 0) AND Failed (with var SD &gt; 0) | Equal Means",
        "Group 8: Flaky | Passed (with var SD &gt; 0 ) AND Failed (no var SD = 0) | Equal Means")))
    ),
    IF(AH112&gt;0,
        IF(N(AL112)&gt;0, "Group 10: Only Passed | With variation (with var SD &gt; 0)", "Group 9: Only Passed | Without variation (no var SD = 0)"),
        IF(AI112&gt;0,
            IF(N(AO112)&gt;0,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2" s="37" t="str">
        <f aca="false">IF(OR(F112="Observed Flaky Test", I112="Observed Flaky Test", S112="Observed Flaky Test", AJ112="Observed Flaky Test"), "Observed Flaky Test", "Non-observed Flaky Test")</f>
        <v>Non-observed Flaky Test</v>
      </c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customFormat="false" ht="15.75" hidden="false" customHeight="true" outlineLevel="0" collapsed="false">
      <c r="A113" s="13"/>
      <c r="B113" s="14" t="s">
        <v>256</v>
      </c>
      <c r="C113" s="14" t="s">
        <v>257</v>
      </c>
      <c r="D113" s="15" t="n">
        <v>0</v>
      </c>
      <c r="E113" s="15" t="n">
        <v>100</v>
      </c>
      <c r="F113" s="16" t="str">
        <f aca="false">IF(AND(D113&gt;0, E113&gt;0), "Observed Flaky Test", "Non-observed Flaky Test")</f>
        <v>Non-observed Flaky Test</v>
      </c>
      <c r="G113" s="17" t="n">
        <v>100</v>
      </c>
      <c r="H113" s="17" t="n">
        <v>0</v>
      </c>
      <c r="I113" s="16" t="str">
        <f aca="false">IF(AND(G113&gt;0, H113&gt;0), "Observed Flaky Test", "Non-observed Flaky Test")</f>
        <v>Non-observed Flaky Test</v>
      </c>
      <c r="J113" s="18" t="n">
        <v>28.95</v>
      </c>
      <c r="K113" s="18" t="n">
        <v>0</v>
      </c>
      <c r="L113" s="19" t="n">
        <f aca="false">IFERROR(K113/J113*100,"N/A")</f>
        <v>0</v>
      </c>
      <c r="M113" s="18" t="n">
        <v>0</v>
      </c>
      <c r="N113" s="18" t="n">
        <v>0</v>
      </c>
      <c r="O113" s="20" t="str">
        <f aca="false">IFERROR(N113/M113*100,"N/A")</f>
        <v>N/A</v>
      </c>
      <c r="P113" s="56" t="str">
        <f aca="false">IF(AND(G113&gt;0, H113=0), IF(ROUND(K113,8)=0, "Group 9: Only Passed | Without variation (SD Passed = 0)", "Group 10: Only Passed | With variation (SD Passed &gt; 0)"), IF(AND(G113=0, H113&gt;0), IF(ROUND(N113,8)=0, "Group 11: Only Failed | Without variation (SD Failed = 0)", "Group 12: Only Failed | With variation (SD Failed &gt; 0)"), IF(AND(G113&gt;0, H113&gt;0), IF(ROUND(J113,5)&lt;&gt;ROUND(M113,5), IF(AND(ROUND(K113,8)=0, ROUND(N113,8)=0), "Group 1: Flaky | Passed (no variation) AND Failed (no variation) | Different Means", IF(AND(ROUND(K113,8)&gt;0, ROUND(N113,8)&gt;0), "Group 2: Flaky | Passed (with variation) AND Failed (with variation) | Different Means", IF(AND(ROUND(K113,8)=0, ROUND(N113,8)&gt;0), "Group 3: Flaky | Passed (no variation) AND Failed (with variation) | Different Means", "Group 4: Flaky | Passed (with variation) AND Failed (no variation) | Different Means"))), IF(AND(ROUND(K113,8)=0, ROUND(N113,8)=0), "Group 5: Flaky | Passed (no variation) AND Failed (no variation) | Equal Means", IF(AND(ROUND(K113,8)&gt;0, ROUND(N113,8)&gt;0), "Group 6: Flaky | Passed (with variation) AND Failed (with variation) | Equal Means", IF(AND(ROUND(K113,8)=0, ROUND(N113,8)&gt;0),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3" s="22" t="n">
        <v>100</v>
      </c>
      <c r="R113" s="22" t="n">
        <v>0</v>
      </c>
      <c r="S113" s="23" t="str">
        <f aca="false">IF(AND(Q113&gt;0, R113&gt;0), "Observed Flaky Test", "Non-observed Flaky Test")</f>
        <v>Non-observed Flaky Test</v>
      </c>
      <c r="T113" s="22" t="n">
        <v>1058340.23</v>
      </c>
      <c r="U113" s="24" t="n">
        <v>19.752435</v>
      </c>
      <c r="V113" s="25" t="n">
        <f aca="false">IFERROR(U113/T113*100,"N/A")</f>
        <v>0.00186635964882484</v>
      </c>
      <c r="W113" s="22" t="n">
        <v>0</v>
      </c>
      <c r="X113" s="22" t="n">
        <v>0</v>
      </c>
      <c r="Y113" s="27" t="str">
        <f aca="false">IFERROR(X113/W113*100,"N/A")</f>
        <v>N/A</v>
      </c>
      <c r="Z113" s="50" t="str">
        <f aca="false">IF(AND(Q113&gt;0, R113=0), IF(IFERROR(ROUND(V113,8),0)=0, "Group 9: Only Passed | Without variation (no var CV = 0)", "Group 10: Only Passed | With variation (with var CV &gt; 0)"), IF(AND(Q113=0, R113&gt;0), IF(IFERROR(ROUND(Y113,8),0)=0, "Group 11: Only Failed | Without variation (no var CV = 0)", "Group 12: Only Failed | With variation (with var CV &gt; 0)"), IF(AND(Q113&gt;0, R113&gt;0), IF(ROUND(T113,5)&lt;&gt;ROUND(W113,5), IF(AND(IFERROR(ROUND(V113,8),0)=0, IFERROR(ROUND(Y113,8),0)=0), "Group 1: Flaky | Passed (no variation: CV = 0) AND Failed (no variation: CV = 0) | Different Means", IF(AND(IFERROR(ROUND(V113,8),0)&gt;0, IFERROR(ROUND(Y113,8),0)&gt;0), "Group 2: Flaky | Passed (with variation: CV &gt; 0) AND Failed (with variation: CV &gt; 0) | Different Means", IF(AND(IFERROR(ROUND(V113,8),0)=0, IFERROR(ROUND(Y113,8),0)&gt;0), "Group 3: Flaky | Passed (no variation: CV = 0) AND Failed (with variation: CV &gt; 0) | Different Means", "Group 4: Flaky | Passed (with variation: CV &gt; 0) AND Failed (no variation: CV = 0) | Different Means"))), IF(AND(IFERROR(ROUND(V113,8),0)=0, IFERROR(ROUND(Y113,8),0)=0), "Group 5: Flaky | Passed (no var CV = 0) AND Failed (no var CV = 0) | Equal Means", IF(AND(IFERROR(ROUND(V113,8),0)&gt;0, IFERROR(ROUND(Y113,8),0)&gt;0), "Group 6: Flaky | Passed (with var CV &gt; 0) AND Failed (with var CV &gt; 0) | Equal Means", IF(AND(IFERROR(ROUND(V113,8),0)=0, IFERROR(ROUND(Y113,8),0)&gt;0),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3" s="29" t="n">
        <v>10.614164</v>
      </c>
      <c r="AB113" s="29" t="n">
        <v>0.01843</v>
      </c>
      <c r="AC113" s="29" t="n">
        <f aca="false">IFERROR(AB113/AA113*100,"N/A")</f>
        <v>0.173635907641902</v>
      </c>
      <c r="AD113" s="29" t="n">
        <v>0</v>
      </c>
      <c r="AE113" s="29" t="n">
        <v>0</v>
      </c>
      <c r="AF113" s="29" t="str">
        <f aca="false">IFERROR(AE113/AD113*100,"N/A")</f>
        <v>N/A</v>
      </c>
      <c r="AG113" s="51" t="str">
        <f aca="false">IF(AND(Q113&gt;0, R113=0), IF(IFERROR(ROUND(AC113,8),0)=0, "Group 9: Only Passed | Without variation (no var CV = 0)", "Group 10: Only Passed | With variation (with var CV &gt; 0)"), IF(AND(Q113=0, R113&gt;0), IF(IFERROR(ROUND(AF113,8),0)=0, "Group 11: Only Failed | Without variation (no var CV = 0)", "Group 12: Only Failed | With variation (with var CV &gt; 0)"), IF(AND(Q113&gt;0, R113&gt;0), IF(ROUND(AA113,5)&lt;&gt;ROUND(AD113,5), IF(AND(IFERROR(ROUND(AC113,8),0)=0, IFERROR(ROUND(AF113,8),0)=0), "Group 1: Flaky | Passed (no variation: CV = 0) AND Failed (no variation: CV = 0) | Different Means", IF(AND(IFERROR(ROUND(AC113,8),0)&gt;0, IFERROR(ROUND(AF113,8),0)&gt;0), "Group 2: Flaky | Passed (with variation: CV &gt; 0) AND Failed (with variation: CV &gt; 0) | Different Means", IF(AND(IFERROR(ROUND(AC113,8),0)=0, IFERROR(ROUND(AF113,8),0)&gt;0), "Group 3: Flaky | Passed (no variation: CV = 0) AND Failed (with variation: CV &gt; 0) | Different Means", "Group 4: Flaky | Passed (with variation: CV &gt; 0) AND Failed (no variation: CV = 0) | Different Means"))), IF(AND(IFERROR(ROUND(AC113,8),0)=0, IFERROR(ROUND(AF113,8),0)=0), "Group 5: Flaky | Passed (no var CV = 0) AND Failed (no var CV = 0) | Equal Means", IF(AND(IFERROR(ROUND(AC113,8),0)&gt;0, IFERROR(ROUND(AF113,8),0)&gt;0), "Group 6: Flaky | Passed (with var CV &gt; 0) AND Failed (with var CV &gt; 0) | Equal Means", IF(AND(IFERROR(ROUND(AC113,8),0)=0, IFERROR(ROUND(AF113,8),0)&gt;0),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3" s="22" t="n">
        <v>100</v>
      </c>
      <c r="AI113" s="17" t="n">
        <v>0</v>
      </c>
      <c r="AJ113" s="31" t="str">
        <f aca="false">IF(AND(AH113&gt;0, AI113&gt;0), "Observed Flaky Test", "Non-observed Flaky Test")</f>
        <v>Non-observed Flaky Test</v>
      </c>
      <c r="AK113" s="32" t="n">
        <v>28112</v>
      </c>
      <c r="AL113" s="32" t="n">
        <v>0</v>
      </c>
      <c r="AM113" s="33" t="n">
        <f aca="false">IFERROR(AL113/AK113*100,"N/A")</f>
        <v>0</v>
      </c>
      <c r="AN113" s="32" t="n">
        <v>0</v>
      </c>
      <c r="AO113" s="32" t="n">
        <v>0</v>
      </c>
      <c r="AP113" s="35" t="str">
        <f aca="false">IFERROR(AO113/AN113*100,"N/A")</f>
        <v>N/A</v>
      </c>
      <c r="AQ113" s="45" t="str">
        <f aca="false">IF(AND(AH113&gt;0, AI113&gt;0),
    IF(ROUND(N(AK113),5)&lt;&gt;ROUND(N(AN113),5),
        IF(AND(ROUND(N(AL113),8)=0, ROUND(N(AO113),8)=0), "Group 1: Flaky | Passed (no variation: SD = 0) AND Failed (no variation: SD = 0) | Different Means",
        IF(AND(ROUND(N(AL113),8)&gt;0, ROUND(N(AO113),8)&gt;0), "Group 2: Flaky | Passed (with variation: SD &gt; 0) AND Failed (with variation: SD &gt; 0) | Different Means",
        IF(AND(ROUND(N(AL113),8)=0, ROUND(N(AO113),8)&gt;0), "Group 3: Flaky | Passed (no variation: SD = 0) AND Failed (with variation: SD &gt; 0) | Different Means",
        "Group 4: Flaky | Passed (with variation: SD &gt; 0) AND Failed (no variation: SD = 0) | Different Means"))),
        IF(AND(ROUND(N(AL113),8)=0, ROUND(N(AO113),8)=0), "Group 5: Flaky | Passed (no var SD = 0) AND Failed (no var SD = 0) | Equal Means",
        IF(AND(ROUND(N(AL113),8)&gt;0, ROUND(N(AO113),8)&gt;0), "Group 6: Flaky | Passed (with var SD &gt; 0 ) AND Failed (with var SD &gt; 0) | Equal Means",
        IF(AND(ROUND(N(AL113),8)=0, ROUND(N(AO113),8)&gt;0), "Group 7: Flaky | Passed (no var SD = 0) AND Failed (with var SD &gt; 0) | Equal Means",
        "Group 8: Flaky | Passed (with var SD &gt; 0 ) AND Failed (no var SD = 0) | Equal Means")))
    ),
    IF(AH113&gt;0,
        IF(N(AL113)&gt;0, "Group 10: Only Passed | With variation (with var SD &gt; 0)", "Group 9: Only Passed | Without variation (no var SD = 0)"),
        IF(AI113&gt;0,
            IF(N(AO113)&gt;0,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3" s="37" t="str">
        <f aca="false">IF(OR(F113="Observed Flaky Test", I113="Observed Flaky Test", S113="Observed Flaky Test", AJ113="Observed Flaky Test"), "Observed Flaky Test", "Non-observed Flaky Test")</f>
        <v>Non-observed Flaky Test</v>
      </c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customFormat="false" ht="15.75" hidden="false" customHeight="true" outlineLevel="0" collapsed="false">
      <c r="A114" s="13"/>
      <c r="B114" s="14" t="s">
        <v>258</v>
      </c>
      <c r="C114" s="14" t="s">
        <v>259</v>
      </c>
      <c r="D114" s="15" t="n">
        <v>0</v>
      </c>
      <c r="E114" s="15" t="n">
        <v>100</v>
      </c>
      <c r="F114" s="16" t="str">
        <f aca="false">IF(AND(D114&gt;0, E114&gt;0), "Observed Flaky Test", "Non-observed Flaky Test")</f>
        <v>Non-observed Flaky Test</v>
      </c>
      <c r="G114" s="17" t="n">
        <v>100</v>
      </c>
      <c r="H114" s="17" t="n">
        <v>0</v>
      </c>
      <c r="I114" s="16" t="str">
        <f aca="false">IF(AND(G114&gt;0, H114&gt;0), "Observed Flaky Test", "Non-observed Flaky Test")</f>
        <v>Non-observed Flaky Test</v>
      </c>
      <c r="J114" s="18" t="n">
        <v>28.8</v>
      </c>
      <c r="K114" s="18" t="n">
        <v>0</v>
      </c>
      <c r="L114" s="19" t="n">
        <f aca="false">IFERROR(K114/J114*100,"N/A")</f>
        <v>0</v>
      </c>
      <c r="M114" s="18" t="n">
        <v>0</v>
      </c>
      <c r="N114" s="18" t="n">
        <v>0</v>
      </c>
      <c r="O114" s="20" t="str">
        <f aca="false">IFERROR(N114/M114*100,"N/A")</f>
        <v>N/A</v>
      </c>
      <c r="P114" s="56" t="str">
        <f aca="false">IF(AND(G114&gt;0, H114=0), IF(ROUND(K114,8)=0, "Group 9: Only Passed | Without variation (SD Passed = 0)", "Group 10: Only Passed | With variation (SD Passed &gt; 0)"), IF(AND(G114=0, H114&gt;0), IF(ROUND(N114,8)=0, "Group 11: Only Failed | Without variation (SD Failed = 0)", "Group 12: Only Failed | With variation (SD Failed &gt; 0)"), IF(AND(G114&gt;0, H114&gt;0), IF(ROUND(J114,5)&lt;&gt;ROUND(M114,5), IF(AND(ROUND(K114,8)=0, ROUND(N114,8)=0), "Group 1: Flaky | Passed (no variation) AND Failed (no variation) | Different Means", IF(AND(ROUND(K114,8)&gt;0, ROUND(N114,8)&gt;0), "Group 2: Flaky | Passed (with variation) AND Failed (with variation) | Different Means", IF(AND(ROUND(K114,8)=0, ROUND(N114,8)&gt;0), "Group 3: Flaky | Passed (no variation) AND Failed (with variation) | Different Means", "Group 4: Flaky | Passed (with variation) AND Failed (no variation) | Different Means"))), IF(AND(ROUND(K114,8)=0, ROUND(N114,8)=0), "Group 5: Flaky | Passed (no variation) AND Failed (no variation) | Equal Means", IF(AND(ROUND(K114,8)&gt;0, ROUND(N114,8)&gt;0), "Group 6: Flaky | Passed (with variation) AND Failed (with variation) | Equal Means", IF(AND(ROUND(K114,8)=0, ROUND(N114,8)&gt;0),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4" s="22" t="n">
        <v>100</v>
      </c>
      <c r="R114" s="22" t="n">
        <v>0</v>
      </c>
      <c r="S114" s="23" t="str">
        <f aca="false">IF(AND(Q114&gt;0, R114&gt;0), "Observed Flaky Test", "Non-observed Flaky Test")</f>
        <v>Non-observed Flaky Test</v>
      </c>
      <c r="T114" s="22" t="n">
        <v>1055889.51</v>
      </c>
      <c r="U114" s="24" t="n">
        <v>14.708958</v>
      </c>
      <c r="V114" s="25" t="n">
        <f aca="false">IFERROR(U114/T114*100,"N/A")</f>
        <v>0.00139303950467317</v>
      </c>
      <c r="W114" s="22" t="n">
        <v>0</v>
      </c>
      <c r="X114" s="22" t="n">
        <v>0</v>
      </c>
      <c r="Y114" s="27" t="str">
        <f aca="false">IFERROR(X114/W114*100,"N/A")</f>
        <v>N/A</v>
      </c>
      <c r="Z114" s="50" t="str">
        <f aca="false">IF(AND(Q114&gt;0, R114=0), IF(IFERROR(ROUND(V114,8),0)=0, "Group 9: Only Passed | Without variation (no var CV = 0)", "Group 10: Only Passed | With variation (with var CV &gt; 0)"), IF(AND(Q114=0, R114&gt;0), IF(IFERROR(ROUND(Y114,8),0)=0, "Group 11: Only Failed | Without variation (no var CV = 0)", "Group 12: Only Failed | With variation (with var CV &gt; 0)"), IF(AND(Q114&gt;0, R114&gt;0), IF(ROUND(T114,5)&lt;&gt;ROUND(W114,5), IF(AND(IFERROR(ROUND(V114,8),0)=0, IFERROR(ROUND(Y114,8),0)=0), "Group 1: Flaky | Passed (no variation: CV = 0) AND Failed (no variation: CV = 0) | Different Means", IF(AND(IFERROR(ROUND(V114,8),0)&gt;0, IFERROR(ROUND(Y114,8),0)&gt;0), "Group 2: Flaky | Passed (with variation: CV &gt; 0) AND Failed (with variation: CV &gt; 0) | Different Means", IF(AND(IFERROR(ROUND(V114,8),0)=0, IFERROR(ROUND(Y114,8),0)&gt;0), "Group 3: Flaky | Passed (no variation: CV = 0) AND Failed (with variation: CV &gt; 0) | Different Means", "Group 4: Flaky | Passed (with variation: CV &gt; 0) AND Failed (no variation: CV = 0) | Different Means"))), IF(AND(IFERROR(ROUND(V114,8),0)=0, IFERROR(ROUND(Y114,8),0)=0), "Group 5: Flaky | Passed (no var CV = 0) AND Failed (no var CV = 0) | Equal Means", IF(AND(IFERROR(ROUND(V114,8),0)&gt;0, IFERROR(ROUND(Y114,8),0)&gt;0), "Group 6: Flaky | Passed (with var CV &gt; 0) AND Failed (with var CV &gt; 0) | Equal Means", IF(AND(IFERROR(ROUND(V114,8),0)=0, IFERROR(ROUND(Y114,8),0)&gt;0),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4" s="29" t="n">
        <v>1.035248</v>
      </c>
      <c r="AB114" s="29" t="n">
        <v>0.030093</v>
      </c>
      <c r="AC114" s="29" t="n">
        <f aca="false">IFERROR(AB114/AA114*100,"N/A")</f>
        <v>2.90683971376907</v>
      </c>
      <c r="AD114" s="29" t="n">
        <v>0</v>
      </c>
      <c r="AE114" s="29" t="n">
        <v>0</v>
      </c>
      <c r="AF114" s="29" t="str">
        <f aca="false">IFERROR(AE114/AD114*100,"N/A")</f>
        <v>N/A</v>
      </c>
      <c r="AG114" s="51" t="str">
        <f aca="false">IF(AND(Q114&gt;0, R114=0), IF(IFERROR(ROUND(AC114,8),0)=0, "Group 9: Only Passed | Without variation (no var CV = 0)", "Group 10: Only Passed | With variation (with var CV &gt; 0)"), IF(AND(Q114=0, R114&gt;0), IF(IFERROR(ROUND(AF114,8),0)=0, "Group 11: Only Failed | Without variation (no var CV = 0)", "Group 12: Only Failed | With variation (with var CV &gt; 0)"), IF(AND(Q114&gt;0, R114&gt;0), IF(ROUND(AA114,5)&lt;&gt;ROUND(AD114,5), IF(AND(IFERROR(ROUND(AC114,8),0)=0, IFERROR(ROUND(AF114,8),0)=0), "Group 1: Flaky | Passed (no variation: CV = 0) AND Failed (no variation: CV = 0) | Different Means", IF(AND(IFERROR(ROUND(AC114,8),0)&gt;0, IFERROR(ROUND(AF114,8),0)&gt;0), "Group 2: Flaky | Passed (with variation: CV &gt; 0) AND Failed (with variation: CV &gt; 0) | Different Means", IF(AND(IFERROR(ROUND(AC114,8),0)=0, IFERROR(ROUND(AF114,8),0)&gt;0), "Group 3: Flaky | Passed (no variation: CV = 0) AND Failed (with variation: CV &gt; 0) | Different Means", "Group 4: Flaky | Passed (with variation: CV &gt; 0) AND Failed (no variation: CV = 0) | Different Means"))), IF(AND(IFERROR(ROUND(AC114,8),0)=0, IFERROR(ROUND(AF114,8),0)=0), "Group 5: Flaky | Passed (no var CV = 0) AND Failed (no var CV = 0) | Equal Means", IF(AND(IFERROR(ROUND(AC114,8),0)&gt;0, IFERROR(ROUND(AF114,8),0)&gt;0), "Group 6: Flaky | Passed (with var CV &gt; 0) AND Failed (with var CV &gt; 0) | Equal Means", IF(AND(IFERROR(ROUND(AC114,8),0)=0, IFERROR(ROUND(AF114,8),0)&gt;0),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4" s="22" t="n">
        <v>100</v>
      </c>
      <c r="AI114" s="17" t="n">
        <v>0</v>
      </c>
      <c r="AJ114" s="31" t="str">
        <f aca="false">IF(AND(AH114&gt;0, AI114&gt;0), "Observed Flaky Test", "Non-observed Flaky Test")</f>
        <v>Non-observed Flaky Test</v>
      </c>
      <c r="AK114" s="32" t="n">
        <v>27893</v>
      </c>
      <c r="AL114" s="32" t="n">
        <v>0</v>
      </c>
      <c r="AM114" s="33" t="n">
        <f aca="false">IFERROR(AL114/AK114*100,"N/A")</f>
        <v>0</v>
      </c>
      <c r="AN114" s="32" t="n">
        <v>0</v>
      </c>
      <c r="AO114" s="32" t="n">
        <v>0</v>
      </c>
      <c r="AP114" s="35" t="str">
        <f aca="false">IFERROR(AO114/AN114*100,"N/A")</f>
        <v>N/A</v>
      </c>
      <c r="AQ114" s="45" t="str">
        <f aca="false">IF(AND(AH114&gt;0, AI114&gt;0),
    IF(ROUND(N(AK114),5)&lt;&gt;ROUND(N(AN114),5),
        IF(AND(ROUND(N(AL114),8)=0, ROUND(N(AO114),8)=0), "Group 1: Flaky | Passed (no variation: SD = 0) AND Failed (no variation: SD = 0) | Different Means",
        IF(AND(ROUND(N(AL114),8)&gt;0, ROUND(N(AO114),8)&gt;0), "Group 2: Flaky | Passed (with variation: SD &gt; 0) AND Failed (with variation: SD &gt; 0) | Different Means",
        IF(AND(ROUND(N(AL114),8)=0, ROUND(N(AO114),8)&gt;0), "Group 3: Flaky | Passed (no variation: SD = 0) AND Failed (with variation: SD &gt; 0) | Different Means",
        "Group 4: Flaky | Passed (with variation: SD &gt; 0) AND Failed (no variation: SD = 0) | Different Means"))),
        IF(AND(ROUND(N(AL114),8)=0, ROUND(N(AO114),8)=0), "Group 5: Flaky | Passed (no var SD = 0) AND Failed (no var SD = 0) | Equal Means",
        IF(AND(ROUND(N(AL114),8)&gt;0, ROUND(N(AO114),8)&gt;0), "Group 6: Flaky | Passed (with var SD &gt; 0 ) AND Failed (with var SD &gt; 0) | Equal Means",
        IF(AND(ROUND(N(AL114),8)=0, ROUND(N(AO114),8)&gt;0), "Group 7: Flaky | Passed (no var SD = 0) AND Failed (with var SD &gt; 0) | Equal Means",
        "Group 8: Flaky | Passed (with var SD &gt; 0 ) AND Failed (no var SD = 0) | Equal Means")))
    ),
    IF(AH114&gt;0,
        IF(N(AL114)&gt;0, "Group 10: Only Passed | With variation (with var SD &gt; 0)", "Group 9: Only Passed | Without variation (no var SD = 0)"),
        IF(AI114&gt;0,
            IF(N(AO114)&gt;0,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4" s="37" t="str">
        <f aca="false">IF(OR(F114="Observed Flaky Test", I114="Observed Flaky Test", S114="Observed Flaky Test", AJ114="Observed Flaky Test"), "Observed Flaky Test", "Non-observed Flaky Test")</f>
        <v>Non-observed Flaky Test</v>
      </c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</row>
    <row r="115" customFormat="false" ht="15.75" hidden="false" customHeight="true" outlineLevel="0" collapsed="false">
      <c r="A115" s="13"/>
      <c r="B115" s="14" t="s">
        <v>260</v>
      </c>
      <c r="C115" s="14" t="s">
        <v>261</v>
      </c>
      <c r="D115" s="15" t="n">
        <v>0</v>
      </c>
      <c r="E115" s="15" t="n">
        <v>100</v>
      </c>
      <c r="F115" s="16" t="str">
        <f aca="false">IF(AND(D115&gt;0, E115&gt;0), "Observed Flaky Test", "Non-observed Flaky Test")</f>
        <v>Non-observed Flaky Test</v>
      </c>
      <c r="G115" s="17" t="n">
        <v>100</v>
      </c>
      <c r="H115" s="17" t="n">
        <v>0</v>
      </c>
      <c r="I115" s="16" t="str">
        <f aca="false">IF(AND(G115&gt;0, H115&gt;0), "Observed Flaky Test", "Non-observed Flaky Test")</f>
        <v>Non-observed Flaky Test</v>
      </c>
      <c r="J115" s="18" t="n">
        <v>24.47</v>
      </c>
      <c r="K115" s="18" t="n">
        <v>0</v>
      </c>
      <c r="L115" s="19" t="n">
        <f aca="false">IFERROR(K115/J115*100,"N/A")</f>
        <v>0</v>
      </c>
      <c r="M115" s="18" t="n">
        <v>0</v>
      </c>
      <c r="N115" s="18" t="n">
        <v>0</v>
      </c>
      <c r="O115" s="20" t="str">
        <f aca="false">IFERROR(N115/M115*100,"N/A")</f>
        <v>N/A</v>
      </c>
      <c r="P115" s="56" t="str">
        <f aca="false">IF(AND(G115&gt;0, H115=0), IF(ROUND(K115,8)=0, "Group 9: Only Passed | Without variation (SD Passed = 0)", "Group 10: Only Passed | With variation (SD Passed &gt; 0)"), IF(AND(G115=0, H115&gt;0), IF(ROUND(N115,8)=0, "Group 11: Only Failed | Without variation (SD Failed = 0)", "Group 12: Only Failed | With variation (SD Failed &gt; 0)"), IF(AND(G115&gt;0, H115&gt;0), IF(ROUND(J115,5)&lt;&gt;ROUND(M115,5), IF(AND(ROUND(K115,8)=0, ROUND(N115,8)=0), "Group 1: Flaky | Passed (no variation) AND Failed (no variation) | Different Means", IF(AND(ROUND(K115,8)&gt;0, ROUND(N115,8)&gt;0), "Group 2: Flaky | Passed (with variation) AND Failed (with variation) | Different Means", IF(AND(ROUND(K115,8)=0, ROUND(N115,8)&gt;0), "Group 3: Flaky | Passed (no variation) AND Failed (with variation) | Different Means", "Group 4: Flaky | Passed (with variation) AND Failed (no variation) | Different Means"))), IF(AND(ROUND(K115,8)=0, ROUND(N115,8)=0), "Group 5: Flaky | Passed (no variation) AND Failed (no variation) | Equal Means", IF(AND(ROUND(K115,8)&gt;0, ROUND(N115,8)&gt;0), "Group 6: Flaky | Passed (with variation) AND Failed (with variation) | Equal Means", IF(AND(ROUND(K115,8)=0, ROUND(N115,8)&gt;0),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5" s="22" t="n">
        <v>100</v>
      </c>
      <c r="R115" s="22" t="n">
        <v>0</v>
      </c>
      <c r="S115" s="23" t="str">
        <f aca="false">IF(AND(Q115&gt;0, R115&gt;0), "Observed Flaky Test", "Non-observed Flaky Test")</f>
        <v>Non-observed Flaky Test</v>
      </c>
      <c r="T115" s="22" t="n">
        <v>1069553.44</v>
      </c>
      <c r="U115" s="24" t="n">
        <v>13.388764</v>
      </c>
      <c r="V115" s="25" t="n">
        <f aca="false">IFERROR(U115/T115*100,"N/A")</f>
        <v>0.00125180879227503</v>
      </c>
      <c r="W115" s="22" t="n">
        <v>0</v>
      </c>
      <c r="X115" s="22" t="n">
        <v>0</v>
      </c>
      <c r="Y115" s="27" t="str">
        <f aca="false">IFERROR(X115/W115*100,"N/A")</f>
        <v>N/A</v>
      </c>
      <c r="Z115" s="50" t="str">
        <f aca="false">IF(AND(Q115&gt;0, R115=0), IF(IFERROR(ROUND(V115,8),0)=0, "Group 9: Only Passed | Without variation (no var CV = 0)", "Group 10: Only Passed | With variation (with var CV &gt; 0)"), IF(AND(Q115=0, R115&gt;0), IF(IFERROR(ROUND(Y115,8),0)=0, "Group 11: Only Failed | Without variation (no var CV = 0)", "Group 12: Only Failed | With variation (with var CV &gt; 0)"), IF(AND(Q115&gt;0, R115&gt;0), IF(ROUND(T115,5)&lt;&gt;ROUND(W115,5), IF(AND(IFERROR(ROUND(V115,8),0)=0, IFERROR(ROUND(Y115,8),0)=0), "Group 1: Flaky | Passed (no variation: CV = 0) AND Failed (no variation: CV = 0) | Different Means", IF(AND(IFERROR(ROUND(V115,8),0)&gt;0, IFERROR(ROUND(Y115,8),0)&gt;0), "Group 2: Flaky | Passed (with variation: CV &gt; 0) AND Failed (with variation: CV &gt; 0) | Different Means", IF(AND(IFERROR(ROUND(V115,8),0)=0, IFERROR(ROUND(Y115,8),0)&gt;0), "Group 3: Flaky | Passed (no variation: CV = 0) AND Failed (with variation: CV &gt; 0) | Different Means", "Group 4: Flaky | Passed (with variation: CV &gt; 0) AND Failed (no variation: CV = 0) | Different Means"))), IF(AND(IFERROR(ROUND(V115,8),0)=0, IFERROR(ROUND(Y115,8),0)=0), "Group 5: Flaky | Passed (no var CV = 0) AND Failed (no var CV = 0) | Equal Means", IF(AND(IFERROR(ROUND(V115,8),0)&gt;0, IFERROR(ROUND(Y115,8),0)&gt;0), "Group 6: Flaky | Passed (with var CV &gt; 0) AND Failed (with var CV &gt; 0) | Equal Means", IF(AND(IFERROR(ROUND(V115,8),0)=0, IFERROR(ROUND(Y115,8),0)&gt;0),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5" s="29" t="n">
        <v>1.620722</v>
      </c>
      <c r="AB115" s="29" t="n">
        <v>0.020354</v>
      </c>
      <c r="AC115" s="29" t="n">
        <f aca="false">IFERROR(AB115/AA115*100,"N/A")</f>
        <v>1.25586004262298</v>
      </c>
      <c r="AD115" s="29" t="n">
        <v>0</v>
      </c>
      <c r="AE115" s="29" t="n">
        <v>0</v>
      </c>
      <c r="AF115" s="29" t="str">
        <f aca="false">IFERROR(AE115/AD115*100,"N/A")</f>
        <v>N/A</v>
      </c>
      <c r="AG115" s="51" t="str">
        <f aca="false">IF(AND(Q115&gt;0, R115=0), IF(IFERROR(ROUND(AC115,8),0)=0, "Group 9: Only Passed | Without variation (no var CV = 0)", "Group 10: Only Passed | With variation (with var CV &gt; 0)"), IF(AND(Q115=0, R115&gt;0), IF(IFERROR(ROUND(AF115,8),0)=0, "Group 11: Only Failed | Without variation (no var CV = 0)", "Group 12: Only Failed | With variation (with var CV &gt; 0)"), IF(AND(Q115&gt;0, R115&gt;0), IF(ROUND(AA115,5)&lt;&gt;ROUND(AD115,5), IF(AND(IFERROR(ROUND(AC115,8),0)=0, IFERROR(ROUND(AF115,8),0)=0), "Group 1: Flaky | Passed (no variation: CV = 0) AND Failed (no variation: CV = 0) | Different Means", IF(AND(IFERROR(ROUND(AC115,8),0)&gt;0, IFERROR(ROUND(AF115,8),0)&gt;0), "Group 2: Flaky | Passed (with variation: CV &gt; 0) AND Failed (with variation: CV &gt; 0) | Different Means", IF(AND(IFERROR(ROUND(AC115,8),0)=0, IFERROR(ROUND(AF115,8),0)&gt;0), "Group 3: Flaky | Passed (no variation: CV = 0) AND Failed (with variation: CV &gt; 0) | Different Means", "Group 4: Flaky | Passed (with variation: CV &gt; 0) AND Failed (no variation: CV = 0) | Different Means"))), IF(AND(IFERROR(ROUND(AC115,8),0)=0, IFERROR(ROUND(AF115,8),0)=0), "Group 5: Flaky | Passed (no var CV = 0) AND Failed (no var CV = 0) | Equal Means", IF(AND(IFERROR(ROUND(AC115,8),0)&gt;0, IFERROR(ROUND(AF115,8),0)&gt;0), "Group 6: Flaky | Passed (with var CV &gt; 0) AND Failed (with var CV &gt; 0) | Equal Means", IF(AND(IFERROR(ROUND(AC115,8),0)=0, IFERROR(ROUND(AF115,8),0)&gt;0),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5" s="22" t="n">
        <v>100</v>
      </c>
      <c r="AI115" s="17" t="n">
        <v>0</v>
      </c>
      <c r="AJ115" s="31" t="str">
        <f aca="false">IF(AND(AH115&gt;0, AI115&gt;0), "Observed Flaky Test", "Non-observed Flaky Test")</f>
        <v>Non-observed Flaky Test</v>
      </c>
      <c r="AK115" s="32" t="n">
        <v>72944.32</v>
      </c>
      <c r="AL115" s="34" t="n">
        <v>47.5816958270486</v>
      </c>
      <c r="AM115" s="33" t="n">
        <f aca="false">IFERROR(AL115/AK115*100,"N/A")</f>
        <v>0.0652301588760422</v>
      </c>
      <c r="AN115" s="32" t="n">
        <v>0</v>
      </c>
      <c r="AO115" s="32" t="n">
        <v>0</v>
      </c>
      <c r="AP115" s="35" t="str">
        <f aca="false">IFERROR(AO115/AN115*100,"N/A")</f>
        <v>N/A</v>
      </c>
      <c r="AQ115" s="52" t="str">
        <f aca="false">IF(AND(AH115&gt;0, AI115&gt;0),
    IF(ROUND(N(AK115),5)&lt;&gt;ROUND(N(AN115),5),
        IF(AND(ROUND(N(AL115),8)=0, ROUND(N(AO115),8)=0), "Group 1: Flaky | Passed (no variation: SD = 0) AND Failed (no variation: SD = 0) | Different Means",
        IF(AND(ROUND(N(AL115),8)&gt;0, ROUND(N(AO115),8)&gt;0), "Group 2: Flaky | Passed (with variation: SD &gt; 0) AND Failed (with variation: SD &gt; 0) | Different Means",
        IF(AND(ROUND(N(AL115),8)=0, ROUND(N(AO115),8)&gt;0), "Group 3: Flaky | Passed (no variation: SD = 0) AND Failed (with variation: SD &gt; 0) | Different Means",
        "Group 4: Flaky | Passed (with variation: SD &gt; 0) AND Failed (no variation: SD = 0) | Different Means"))),
        IF(AND(ROUND(N(AL115),8)=0, ROUND(N(AO115),8)=0), "Group 5: Flaky | Passed (no var SD = 0) AND Failed (no var SD = 0) | Equal Means",
        IF(AND(ROUND(N(AL115),8)&gt;0, ROUND(N(AO115),8)&gt;0), "Group 6: Flaky | Passed (with var SD &gt; 0 ) AND Failed (with var SD &gt; 0) | Equal Means",
        IF(AND(ROUND(N(AL115),8)=0, ROUND(N(AO115),8)&gt;0), "Group 7: Flaky | Passed (no var SD = 0) AND Failed (with var SD &gt; 0) | Equal Means",
        "Group 8: Flaky | Passed (with var SD &gt; 0 ) AND Failed (no var SD = 0) | Equal Means")))
    ),
    IF(AH115&gt;0,
        IF(N(AL115)&gt;0, "Group 10: Only Passed | With variation (with var SD &gt; 0)", "Group 9: Only Passed | Without variation (no var SD = 0)"),
        IF(AI115&gt;0,
            IF(N(AO115)&gt;0,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15" s="37" t="str">
        <f aca="false">IF(OR(F115="Observed Flaky Test", I115="Observed Flaky Test", S115="Observed Flaky Test", AJ115="Observed Flaky Test"), "Observed Flaky Test", "Non-observed Flaky Test")</f>
        <v>Non-observed Flaky Test</v>
      </c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</row>
    <row r="116" customFormat="false" ht="15.75" hidden="false" customHeight="true" outlineLevel="0" collapsed="false">
      <c r="A116" s="13"/>
      <c r="B116" s="14" t="s">
        <v>262</v>
      </c>
      <c r="C116" s="14" t="s">
        <v>263</v>
      </c>
      <c r="D116" s="15" t="n">
        <v>0</v>
      </c>
      <c r="E116" s="15" t="n">
        <v>100</v>
      </c>
      <c r="F116" s="16" t="str">
        <f aca="false">IF(AND(D116&gt;0, E116&gt;0), "Observed Flaky Test", "Non-observed Flaky Test")</f>
        <v>Non-observed Flaky Test</v>
      </c>
      <c r="G116" s="17" t="n">
        <v>100</v>
      </c>
      <c r="H116" s="17" t="n">
        <v>0</v>
      </c>
      <c r="I116" s="16" t="str">
        <f aca="false">IF(AND(G116&gt;0, H116&gt;0), "Observed Flaky Test", "Non-observed Flaky Test")</f>
        <v>Non-observed Flaky Test</v>
      </c>
      <c r="J116" s="18" t="n">
        <v>24.48</v>
      </c>
      <c r="K116" s="18" t="n">
        <v>0</v>
      </c>
      <c r="L116" s="19" t="n">
        <f aca="false">IFERROR(K116/J116*100,"N/A")</f>
        <v>0</v>
      </c>
      <c r="M116" s="18" t="n">
        <v>0</v>
      </c>
      <c r="N116" s="18" t="n">
        <v>0</v>
      </c>
      <c r="O116" s="20" t="str">
        <f aca="false">IFERROR(N116/M116*100,"N/A")</f>
        <v>N/A</v>
      </c>
      <c r="P116" s="56" t="str">
        <f aca="false">IF(AND(G116&gt;0, H116=0), IF(ROUND(K116,8)=0, "Group 9: Only Passed | Without variation (SD Passed = 0)", "Group 10: Only Passed | With variation (SD Passed &gt; 0)"), IF(AND(G116=0, H116&gt;0), IF(ROUND(N116,8)=0, "Group 11: Only Failed | Without variation (SD Failed = 0)", "Group 12: Only Failed | With variation (SD Failed &gt; 0)"), IF(AND(G116&gt;0, H116&gt;0), IF(ROUND(J116,5)&lt;&gt;ROUND(M116,5), IF(AND(ROUND(K116,8)=0, ROUND(N116,8)=0), "Group 1: Flaky | Passed (no variation) AND Failed (no variation) | Different Means", IF(AND(ROUND(K116,8)&gt;0, ROUND(N116,8)&gt;0), "Group 2: Flaky | Passed (with variation) AND Failed (with variation) | Different Means", IF(AND(ROUND(K116,8)=0, ROUND(N116,8)&gt;0), "Group 3: Flaky | Passed (no variation) AND Failed (with variation) | Different Means", "Group 4: Flaky | Passed (with variation) AND Failed (no variation) | Different Means"))), IF(AND(ROUND(K116,8)=0, ROUND(N116,8)=0), "Group 5: Flaky | Passed (no variation) AND Failed (no variation) | Equal Means", IF(AND(ROUND(K116,8)&gt;0, ROUND(N116,8)&gt;0), "Group 6: Flaky | Passed (with variation) AND Failed (with variation) | Equal Means", IF(AND(ROUND(K116,8)=0, ROUND(N116,8)&gt;0),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6" s="22" t="n">
        <v>100</v>
      </c>
      <c r="R116" s="22" t="n">
        <v>0</v>
      </c>
      <c r="S116" s="23" t="str">
        <f aca="false">IF(AND(Q116&gt;0, R116&gt;0), "Observed Flaky Test", "Non-observed Flaky Test")</f>
        <v>Non-observed Flaky Test</v>
      </c>
      <c r="T116" s="22" t="n">
        <v>1061210.48</v>
      </c>
      <c r="U116" s="24" t="n">
        <v>14.354445</v>
      </c>
      <c r="V116" s="25" t="n">
        <f aca="false">IFERROR(U116/T116*100,"N/A")</f>
        <v>0.00135264825126868</v>
      </c>
      <c r="W116" s="22" t="n">
        <v>0</v>
      </c>
      <c r="X116" s="22" t="n">
        <v>0</v>
      </c>
      <c r="Y116" s="27" t="str">
        <f aca="false">IFERROR(X116/W116*100,"N/A")</f>
        <v>N/A</v>
      </c>
      <c r="Z116" s="50" t="str">
        <f aca="false">IF(AND(Q116&gt;0, R116=0), IF(IFERROR(ROUND(V116,8),0)=0, "Group 9: Only Passed | Without variation (no var CV = 0)", "Group 10: Only Passed | With variation (with var CV &gt; 0)"), IF(AND(Q116=0, R116&gt;0), IF(IFERROR(ROUND(Y116,8),0)=0, "Group 11: Only Failed | Without variation (no var CV = 0)", "Group 12: Only Failed | With variation (with var CV &gt; 0)"), IF(AND(Q116&gt;0, R116&gt;0), IF(ROUND(T116,5)&lt;&gt;ROUND(W116,5), IF(AND(IFERROR(ROUND(V116,8),0)=0, IFERROR(ROUND(Y116,8),0)=0), "Group 1: Flaky | Passed (no variation: CV = 0) AND Failed (no variation: CV = 0) | Different Means", IF(AND(IFERROR(ROUND(V116,8),0)&gt;0, IFERROR(ROUND(Y116,8),0)&gt;0), "Group 2: Flaky | Passed (with variation: CV &gt; 0) AND Failed (with variation: CV &gt; 0) | Different Means", IF(AND(IFERROR(ROUND(V116,8),0)=0, IFERROR(ROUND(Y116,8),0)&gt;0), "Group 3: Flaky | Passed (no variation: CV = 0) AND Failed (with variation: CV &gt; 0) | Different Means", "Group 4: Flaky | Passed (with variation: CV &gt; 0) AND Failed (no variation: CV = 0) | Different Means"))), IF(AND(IFERROR(ROUND(V116,8),0)=0, IFERROR(ROUND(Y116,8),0)=0), "Group 5: Flaky | Passed (no var CV = 0) AND Failed (no var CV = 0) | Equal Means", IF(AND(IFERROR(ROUND(V116,8),0)&gt;0, IFERROR(ROUND(Y116,8),0)&gt;0), "Group 6: Flaky | Passed (with var CV &gt; 0) AND Failed (with var CV &gt; 0) | Equal Means", IF(AND(IFERROR(ROUND(V116,8),0)=0, IFERROR(ROUND(Y116,8),0)&gt;0),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6" s="29" t="n">
        <v>2.121582</v>
      </c>
      <c r="AB116" s="29" t="n">
        <v>0.019365</v>
      </c>
      <c r="AC116" s="29" t="n">
        <f aca="false">IFERROR(AB116/AA116*100,"N/A")</f>
        <v>0.912762268910653</v>
      </c>
      <c r="AD116" s="29" t="n">
        <v>0</v>
      </c>
      <c r="AE116" s="29" t="n">
        <v>0</v>
      </c>
      <c r="AF116" s="29" t="str">
        <f aca="false">IFERROR(AE116/AD116*100,"N/A")</f>
        <v>N/A</v>
      </c>
      <c r="AG116" s="51" t="str">
        <f aca="false">IF(AND(Q116&gt;0, R116=0), IF(IFERROR(ROUND(AC116,8),0)=0, "Group 9: Only Passed | Without variation (no var CV = 0)", "Group 10: Only Passed | With variation (with var CV &gt; 0)"), IF(AND(Q116=0, R116&gt;0), IF(IFERROR(ROUND(AF116,8),0)=0, "Group 11: Only Failed | Without variation (no var CV = 0)", "Group 12: Only Failed | With variation (with var CV &gt; 0)"), IF(AND(Q116&gt;0, R116&gt;0), IF(ROUND(AA116,5)&lt;&gt;ROUND(AD116,5), IF(AND(IFERROR(ROUND(AC116,8),0)=0, IFERROR(ROUND(AF116,8),0)=0), "Group 1: Flaky | Passed (no variation: CV = 0) AND Failed (no variation: CV = 0) | Different Means", IF(AND(IFERROR(ROUND(AC116,8),0)&gt;0, IFERROR(ROUND(AF116,8),0)&gt;0), "Group 2: Flaky | Passed (with variation: CV &gt; 0) AND Failed (with variation: CV &gt; 0) | Different Means", IF(AND(IFERROR(ROUND(AC116,8),0)=0, IFERROR(ROUND(AF116,8),0)&gt;0), "Group 3: Flaky | Passed (no variation: CV = 0) AND Failed (with variation: CV &gt; 0) | Different Means", "Group 4: Flaky | Passed (with variation: CV &gt; 0) AND Failed (no variation: CV = 0) | Different Means"))), IF(AND(IFERROR(ROUND(AC116,8),0)=0, IFERROR(ROUND(AF116,8),0)=0), "Group 5: Flaky | Passed (no var CV = 0) AND Failed (no var CV = 0) | Equal Means", IF(AND(IFERROR(ROUND(AC116,8),0)&gt;0, IFERROR(ROUND(AF116,8),0)&gt;0), "Group 6: Flaky | Passed (with var CV &gt; 0) AND Failed (with var CV &gt; 0) | Equal Means", IF(AND(IFERROR(ROUND(AC116,8),0)=0, IFERROR(ROUND(AF116,8),0)&gt;0),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6" s="22" t="n">
        <v>100</v>
      </c>
      <c r="AI116" s="17" t="n">
        <v>0</v>
      </c>
      <c r="AJ116" s="31" t="str">
        <f aca="false">IF(AND(AH116&gt;0, AI116&gt;0), "Observed Flaky Test", "Non-observed Flaky Test")</f>
        <v>Non-observed Flaky Test</v>
      </c>
      <c r="AK116" s="32" t="n">
        <v>48245.78</v>
      </c>
      <c r="AL116" s="86" t="n">
        <v>1.05963591994056</v>
      </c>
      <c r="AM116" s="33" t="n">
        <f aca="false">IFERROR(AL116/AK116*100,"N/A")</f>
        <v>0.00219632871505147</v>
      </c>
      <c r="AN116" s="32" t="n">
        <v>0</v>
      </c>
      <c r="AO116" s="32" t="n">
        <v>0</v>
      </c>
      <c r="AP116" s="35" t="str">
        <f aca="false">IFERROR(AO116/AN116*100,"N/A")</f>
        <v>N/A</v>
      </c>
      <c r="AQ116" s="52" t="str">
        <f aca="false">IF(AND(AH116&gt;0, AI116&gt;0),
    IF(ROUND(N(AK116),5)&lt;&gt;ROUND(N(AN116),5),
        IF(AND(ROUND(N(AL116),8)=0, ROUND(N(AO116),8)=0), "Group 1: Flaky | Passed (no variation: SD = 0) AND Failed (no variation: SD = 0) | Different Means",
        IF(AND(ROUND(N(AL116),8)&gt;0, ROUND(N(AO116),8)&gt;0), "Group 2: Flaky | Passed (with variation: SD &gt; 0) AND Failed (with variation: SD &gt; 0) | Different Means",
        IF(AND(ROUND(N(AL116),8)=0, ROUND(N(AO116),8)&gt;0), "Group 3: Flaky | Passed (no variation: SD = 0) AND Failed (with variation: SD &gt; 0) | Different Means",
        "Group 4: Flaky | Passed (with variation: SD &gt; 0) AND Failed (no variation: SD = 0) | Different Means"))),
        IF(AND(ROUND(N(AL116),8)=0, ROUND(N(AO116),8)=0), "Group 5: Flaky | Passed (no var SD = 0) AND Failed (no var SD = 0) | Equal Means",
        IF(AND(ROUND(N(AL116),8)&gt;0, ROUND(N(AO116),8)&gt;0), "Group 6: Flaky | Passed (with var SD &gt; 0 ) AND Failed (with var SD &gt; 0) | Equal Means",
        IF(AND(ROUND(N(AL116),8)=0, ROUND(N(AO116),8)&gt;0), "Group 7: Flaky | Passed (no var SD = 0) AND Failed (with var SD &gt; 0) | Equal Means",
        "Group 8: Flaky | Passed (with var SD &gt; 0 ) AND Failed (no var SD = 0) | Equal Means")))
    ),
    IF(AH116&gt;0,
        IF(N(AL116)&gt;0, "Group 10: Only Passed | With variation (with var SD &gt; 0)", "Group 9: Only Passed | Without variation (no var SD = 0)"),
        IF(AI116&gt;0,
            IF(N(AO116)&gt;0,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16" s="37" t="str">
        <f aca="false">IF(OR(F116="Observed Flaky Test", I116="Observed Flaky Test", S116="Observed Flaky Test", AJ116="Observed Flaky Test"), "Observed Flaky Test", "Non-observed Flaky Test")</f>
        <v>Non-observed Flaky Test</v>
      </c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</row>
    <row r="117" customFormat="false" ht="15.75" hidden="false" customHeight="true" outlineLevel="0" collapsed="false">
      <c r="A117" s="13" t="s">
        <v>264</v>
      </c>
      <c r="B117" s="14" t="s">
        <v>265</v>
      </c>
      <c r="C117" s="14" t="s">
        <v>266</v>
      </c>
      <c r="D117" s="15" t="n">
        <v>100</v>
      </c>
      <c r="E117" s="15" t="n">
        <v>0</v>
      </c>
      <c r="F117" s="16" t="str">
        <f aca="false">IF(AND(D117&gt;0, E117&gt;0), "Observed Flaky Test", "Non-observed Flaky Test")</f>
        <v>Non-observed Flaky Test</v>
      </c>
      <c r="G117" s="17" t="n">
        <v>100</v>
      </c>
      <c r="H117" s="17" t="n">
        <v>0</v>
      </c>
      <c r="I117" s="16" t="str">
        <f aca="false">IF(AND(G117&gt;0, H117&gt;0), "Observed Flaky Test", "Non-observed Flaky Test")</f>
        <v>Non-observed Flaky Test</v>
      </c>
      <c r="J117" s="18" t="n">
        <v>15.27</v>
      </c>
      <c r="K117" s="18" t="n">
        <v>0</v>
      </c>
      <c r="L117" s="19" t="n">
        <f aca="false">IFERROR(K117/J117*100,"N/A")</f>
        <v>0</v>
      </c>
      <c r="M117" s="18" t="n">
        <v>0</v>
      </c>
      <c r="N117" s="18" t="n">
        <v>0</v>
      </c>
      <c r="O117" s="20" t="str">
        <f aca="false">IFERROR(N117/M117*100,"N/A")</f>
        <v>N/A</v>
      </c>
      <c r="P117" s="56" t="str">
        <f aca="false">IF(AND(G117&gt;0, H117=0), IF(ROUND(K117,8)=0, "Group 9: Only Passed | Without variation (SD Passed = 0)", "Group 10: Only Passed | With variation (SD Passed &gt; 0)"), IF(AND(G117=0, H117&gt;0), IF(ROUND(N117,8)=0, "Group 11: Only Failed | Without variation (SD Failed = 0)", "Group 12: Only Failed | With variation (SD Failed &gt; 0)"), IF(AND(G117&gt;0, H117&gt;0), IF(ROUND(J117,5)&lt;&gt;ROUND(M117,5), IF(AND(ROUND(K117,8)=0, ROUND(N117,8)=0), "Group 1: Flaky | Passed (no variation) AND Failed (no variation) | Different Means", IF(AND(ROUND(K117,8)&gt;0, ROUND(N117,8)&gt;0), "Group 2: Flaky | Passed (with variation) AND Failed (with variation) | Different Means", IF(AND(ROUND(K117,8)=0, ROUND(N117,8)&gt;0), "Group 3: Flaky | Passed (no variation) AND Failed (with variation) | Different Means", "Group 4: Flaky | Passed (with variation) AND Failed (no variation) | Different Means"))), IF(AND(ROUND(K117,8)=0, ROUND(N117,8)=0), "Group 5: Flaky | Passed (no variation) AND Failed (no variation) | Equal Means", IF(AND(ROUND(K117,8)&gt;0, ROUND(N117,8)&gt;0), "Group 6: Flaky | Passed (with variation) AND Failed (with variation) | Equal Means", IF(AND(ROUND(K117,8)=0, ROUND(N117,8)&gt;0),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7" s="22" t="n">
        <v>100</v>
      </c>
      <c r="R117" s="22" t="n">
        <v>0</v>
      </c>
      <c r="S117" s="23" t="str">
        <f aca="false">IF(AND(Q117&gt;0, R117&gt;0), "Observed Flaky Test", "Non-observed Flaky Test")</f>
        <v>Non-observed Flaky Test</v>
      </c>
      <c r="T117" s="55" t="n">
        <v>852978.1</v>
      </c>
      <c r="U117" s="26" t="n">
        <v>15.24646</v>
      </c>
      <c r="V117" s="25" t="n">
        <f aca="false">IFERROR(U117/T117*100,"N/A")</f>
        <v>0.00178743862239839</v>
      </c>
      <c r="W117" s="22" t="n">
        <v>0</v>
      </c>
      <c r="X117" s="22" t="n">
        <v>0</v>
      </c>
      <c r="Y117" s="27" t="str">
        <f aca="false">IFERROR(X117/W117*100,"N/A")</f>
        <v>N/A</v>
      </c>
      <c r="Z117" s="50" t="str">
        <f aca="false">IF(AND(Q117&gt;0, R117=0), IF(IFERROR(ROUND(V117,8),0)=0, "Group 9: Only Passed | Without variation (no var CV = 0)", "Group 10: Only Passed | With variation (with var CV &gt; 0)"), IF(AND(Q117=0, R117&gt;0), IF(IFERROR(ROUND(Y117,8),0)=0, "Group 11: Only Failed | Without variation (no var CV = 0)", "Group 12: Only Failed | With variation (with var CV &gt; 0)"), IF(AND(Q117&gt;0, R117&gt;0), IF(ROUND(T117,5)&lt;&gt;ROUND(W117,5), IF(AND(IFERROR(ROUND(V117,8),0)=0, IFERROR(ROUND(Y117,8),0)=0), "Group 1: Flaky | Passed (no variation: CV = 0) AND Failed (no variation: CV = 0) | Different Means", IF(AND(IFERROR(ROUND(V117,8),0)&gt;0, IFERROR(ROUND(Y117,8),0)&gt;0), "Group 2: Flaky | Passed (with variation: CV &gt; 0) AND Failed (with variation: CV &gt; 0) | Different Means", IF(AND(IFERROR(ROUND(V117,8),0)=0, IFERROR(ROUND(Y117,8),0)&gt;0), "Group 3: Flaky | Passed (no variation: CV = 0) AND Failed (with variation: CV &gt; 0) | Different Means", "Group 4: Flaky | Passed (with variation: CV &gt; 0) AND Failed (no variation: CV = 0) | Different Means"))), IF(AND(IFERROR(ROUND(V117,8),0)=0, IFERROR(ROUND(Y117,8),0)=0), "Group 5: Flaky | Passed (no var CV = 0) AND Failed (no var CV = 0) | Equal Means", IF(AND(IFERROR(ROUND(V117,8),0)&gt;0, IFERROR(ROUND(Y117,8),0)&gt;0), "Group 6: Flaky | Passed (with var CV &gt; 0) AND Failed (with var CV &gt; 0) | Equal Means", IF(AND(IFERROR(ROUND(V117,8),0)=0, IFERROR(ROUND(Y117,8),0)&gt;0),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7" s="29" t="n">
        <v>0.667889</v>
      </c>
      <c r="AB117" s="29" t="n">
        <v>0.025476</v>
      </c>
      <c r="AC117" s="29" t="n">
        <f aca="false">IFERROR(AB117/AA117*100,"N/A")</f>
        <v>3.81440628607448</v>
      </c>
      <c r="AD117" s="29" t="n">
        <v>0</v>
      </c>
      <c r="AE117" s="29" t="n">
        <v>0</v>
      </c>
      <c r="AF117" s="29" t="str">
        <f aca="false">IFERROR(AE117/AD117*100,"N/A")</f>
        <v>N/A</v>
      </c>
      <c r="AG117" s="51" t="str">
        <f aca="false">IF(AND(Q117&gt;0, R117=0), IF(IFERROR(ROUND(AC117,8),0)=0, "Group 9: Only Passed | Without variation (no var CV = 0)", "Group 10: Only Passed | With variation (with var CV &gt; 0)"), IF(AND(Q117=0, R117&gt;0), IF(IFERROR(ROUND(AF117,8),0)=0, "Group 11: Only Failed | Without variation (no var CV = 0)", "Group 12: Only Failed | With variation (with var CV &gt; 0)"), IF(AND(Q117&gt;0, R117&gt;0), IF(ROUND(AA117,5)&lt;&gt;ROUND(AD117,5), IF(AND(IFERROR(ROUND(AC117,8),0)=0, IFERROR(ROUND(AF117,8),0)=0), "Group 1: Flaky | Passed (no variation: CV = 0) AND Failed (no variation: CV = 0) | Different Means", IF(AND(IFERROR(ROUND(AC117,8),0)&gt;0, IFERROR(ROUND(AF117,8),0)&gt;0), "Group 2: Flaky | Passed (with variation: CV &gt; 0) AND Failed (with variation: CV &gt; 0) | Different Means", IF(AND(IFERROR(ROUND(AC117,8),0)=0, IFERROR(ROUND(AF117,8),0)&gt;0), "Group 3: Flaky | Passed (no variation: CV = 0) AND Failed (with variation: CV &gt; 0) | Different Means", "Group 4: Flaky | Passed (with variation: CV &gt; 0) AND Failed (no variation: CV = 0) | Different Means"))), IF(AND(IFERROR(ROUND(AC117,8),0)=0, IFERROR(ROUND(AF117,8),0)=0), "Group 5: Flaky | Passed (no var CV = 0) AND Failed (no var CV = 0) | Equal Means", IF(AND(IFERROR(ROUND(AC117,8),0)&gt;0, IFERROR(ROUND(AF117,8),0)&gt;0), "Group 6: Flaky | Passed (with var CV &gt; 0) AND Failed (with var CV &gt; 0) | Equal Means", IF(AND(IFERROR(ROUND(AC117,8),0)=0, IFERROR(ROUND(AF117,8),0)&gt;0),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7" s="22" t="n">
        <v>100</v>
      </c>
      <c r="AI117" s="17" t="n">
        <v>0</v>
      </c>
      <c r="AJ117" s="31" t="str">
        <f aca="false">IF(AND(AH117&gt;0, AI117&gt;0), "Observed Flaky Test", "Non-observed Flaky Test")</f>
        <v>Non-observed Flaky Test</v>
      </c>
      <c r="AK117" s="32" t="n">
        <v>27441</v>
      </c>
      <c r="AL117" s="32" t="n">
        <v>0</v>
      </c>
      <c r="AM117" s="33" t="n">
        <f aca="false">IFERROR(AL117/AK117*100,"N/A")</f>
        <v>0</v>
      </c>
      <c r="AN117" s="32" t="n">
        <v>0</v>
      </c>
      <c r="AO117" s="32" t="n">
        <v>0</v>
      </c>
      <c r="AP117" s="35" t="str">
        <f aca="false">IFERROR(AO117/AN117*100,"N/A")</f>
        <v>N/A</v>
      </c>
      <c r="AQ117" s="45" t="str">
        <f aca="false">IF(AND(AH117&gt;0, AI117&gt;0),
    IF(ROUND(N(AK117),5)&lt;&gt;ROUND(N(AN117),5),
        IF(AND(ROUND(N(AL117),8)=0, ROUND(N(AO117),8)=0), "Group 1: Flaky | Passed (no variation: SD = 0) AND Failed (no variation: SD = 0) | Different Means",
        IF(AND(ROUND(N(AL117),8)&gt;0, ROUND(N(AO117),8)&gt;0), "Group 2: Flaky | Passed (with variation: SD &gt; 0) AND Failed (with variation: SD &gt; 0) | Different Means",
        IF(AND(ROUND(N(AL117),8)=0, ROUND(N(AO117),8)&gt;0), "Group 3: Flaky | Passed (no variation: SD = 0) AND Failed (with variation: SD &gt; 0) | Different Means",
        "Group 4: Flaky | Passed (with variation: SD &gt; 0) AND Failed (no variation: SD = 0) | Different Means"))),
        IF(AND(ROUND(N(AL117),8)=0, ROUND(N(AO117),8)=0), "Group 5: Flaky | Passed (no var SD = 0) AND Failed (no var SD = 0) | Equal Means",
        IF(AND(ROUND(N(AL117),8)&gt;0, ROUND(N(AO117),8)&gt;0), "Group 6: Flaky | Passed (with var SD &gt; 0 ) AND Failed (with var SD &gt; 0) | Equal Means",
        IF(AND(ROUND(N(AL117),8)=0, ROUND(N(AO117),8)&gt;0), "Group 7: Flaky | Passed (no var SD = 0) AND Failed (with var SD &gt; 0) | Equal Means",
        "Group 8: Flaky | Passed (with var SD &gt; 0 ) AND Failed (no var SD = 0) | Equal Means")))
    ),
    IF(AH117&gt;0,
        IF(N(AL117)&gt;0, "Group 10: Only Passed | With variation (with var SD &gt; 0)", "Group 9: Only Passed | Without variation (no var SD = 0)"),
        IF(AI117&gt;0,
            IF(N(AO117)&gt;0,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7" s="37" t="str">
        <f aca="false">IF(OR(F117="Observed Flaky Test", I117="Observed Flaky Test", S117="Observed Flaky Test", AJ117="Observed Flaky Test"), "Observed Flaky Test", "Non-observed Flaky Test")</f>
        <v>Non-observed Flaky Test</v>
      </c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</row>
    <row r="118" customFormat="false" ht="15.75" hidden="false" customHeight="true" outlineLevel="0" collapsed="false">
      <c r="A118" s="13"/>
      <c r="B118" s="14" t="s">
        <v>267</v>
      </c>
      <c r="C118" s="14" t="s">
        <v>268</v>
      </c>
      <c r="D118" s="15" t="n">
        <v>100</v>
      </c>
      <c r="E118" s="15" t="n">
        <v>0</v>
      </c>
      <c r="F118" s="16" t="str">
        <f aca="false">IF(AND(D118&gt;0, E118&gt;0), "Observed Flaky Test", "Non-observed Flaky Test")</f>
        <v>Non-observed Flaky Test</v>
      </c>
      <c r="G118" s="17" t="n">
        <v>100</v>
      </c>
      <c r="H118" s="17" t="n">
        <v>0</v>
      </c>
      <c r="I118" s="16" t="str">
        <f aca="false">IF(AND(G118&gt;0, H118&gt;0), "Observed Flaky Test", "Non-observed Flaky Test")</f>
        <v>Non-observed Flaky Test</v>
      </c>
      <c r="J118" s="18" t="n">
        <v>15.25</v>
      </c>
      <c r="K118" s="18" t="n">
        <v>0</v>
      </c>
      <c r="L118" s="19" t="n">
        <f aca="false">IFERROR(K118/J118*100,"N/A")</f>
        <v>0</v>
      </c>
      <c r="M118" s="18" t="n">
        <v>0</v>
      </c>
      <c r="N118" s="18" t="n">
        <v>0</v>
      </c>
      <c r="O118" s="20" t="str">
        <f aca="false">IFERROR(N118/M118*100,"N/A")</f>
        <v>N/A</v>
      </c>
      <c r="P118" s="56" t="str">
        <f aca="false">IF(AND(G118&gt;0, H118=0), IF(ROUND(K118,8)=0, "Group 9: Only Passed | Without variation (SD Passed = 0)", "Group 10: Only Passed | With variation (SD Passed &gt; 0)"), IF(AND(G118=0, H118&gt;0), IF(ROUND(N118,8)=0, "Group 11: Only Failed | Without variation (SD Failed = 0)", "Group 12: Only Failed | With variation (SD Failed &gt; 0)"), IF(AND(G118&gt;0, H118&gt;0), IF(ROUND(J118,5)&lt;&gt;ROUND(M118,5), IF(AND(ROUND(K118,8)=0, ROUND(N118,8)=0), "Group 1: Flaky | Passed (no variation) AND Failed (no variation) | Different Means", IF(AND(ROUND(K118,8)&gt;0, ROUND(N118,8)&gt;0), "Group 2: Flaky | Passed (with variation) AND Failed (with variation) | Different Means", IF(AND(ROUND(K118,8)=0, ROUND(N118,8)&gt;0), "Group 3: Flaky | Passed (no variation) AND Failed (with variation) | Different Means", "Group 4: Flaky | Passed (with variation) AND Failed (no variation) | Different Means"))), IF(AND(ROUND(K118,8)=0, ROUND(N118,8)=0), "Group 5: Flaky | Passed (no variation) AND Failed (no variation) | Equal Means", IF(AND(ROUND(K118,8)&gt;0, ROUND(N118,8)&gt;0), "Group 6: Flaky | Passed (with variation) AND Failed (with variation) | Equal Means", IF(AND(ROUND(K118,8)=0, ROUND(N118,8)&gt;0),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8" s="22" t="n">
        <v>100</v>
      </c>
      <c r="R118" s="22" t="n">
        <v>0</v>
      </c>
      <c r="S118" s="23" t="str">
        <f aca="false">IF(AND(Q118&gt;0, R118&gt;0), "Observed Flaky Test", "Non-observed Flaky Test")</f>
        <v>Non-observed Flaky Test</v>
      </c>
      <c r="T118" s="22" t="n">
        <v>852973.96</v>
      </c>
      <c r="U118" s="24" t="n">
        <v>14.670055</v>
      </c>
      <c r="V118" s="25" t="n">
        <f aca="false">IFERROR(U118/T118*100,"N/A")</f>
        <v>0.00171987137801956</v>
      </c>
      <c r="W118" s="22" t="n">
        <v>0</v>
      </c>
      <c r="X118" s="22" t="n">
        <v>0</v>
      </c>
      <c r="Y118" s="27" t="str">
        <f aca="false">IFERROR(X118/W118*100,"N/A")</f>
        <v>N/A</v>
      </c>
      <c r="Z118" s="50" t="str">
        <f aca="false">IF(AND(Q118&gt;0, R118=0), IF(IFERROR(ROUND(V118,8),0)=0, "Group 9: Only Passed | Without variation (no var CV = 0)", "Group 10: Only Passed | With variation (with var CV &gt; 0)"), IF(AND(Q118=0, R118&gt;0), IF(IFERROR(ROUND(Y118,8),0)=0, "Group 11: Only Failed | Without variation (no var CV = 0)", "Group 12: Only Failed | With variation (with var CV &gt; 0)"), IF(AND(Q118&gt;0, R118&gt;0), IF(ROUND(T118,5)&lt;&gt;ROUND(W118,5), IF(AND(IFERROR(ROUND(V118,8),0)=0, IFERROR(ROUND(Y118,8),0)=0), "Group 1: Flaky | Passed (no variation: CV = 0) AND Failed (no variation: CV = 0) | Different Means", IF(AND(IFERROR(ROUND(V118,8),0)&gt;0, IFERROR(ROUND(Y118,8),0)&gt;0), "Group 2: Flaky | Passed (with variation: CV &gt; 0) AND Failed (with variation: CV &gt; 0) | Different Means", IF(AND(IFERROR(ROUND(V118,8),0)=0, IFERROR(ROUND(Y118,8),0)&gt;0), "Group 3: Flaky | Passed (no variation: CV = 0) AND Failed (with variation: CV &gt; 0) | Different Means", "Group 4: Flaky | Passed (with variation: CV &gt; 0) AND Failed (no variation: CV = 0) | Different Means"))), IF(AND(IFERROR(ROUND(V118,8),0)=0, IFERROR(ROUND(Y118,8),0)=0), "Group 5: Flaky | Passed (no var CV = 0) AND Failed (no var CV = 0) | Equal Means", IF(AND(IFERROR(ROUND(V118,8),0)&gt;0, IFERROR(ROUND(Y118,8),0)&gt;0), "Group 6: Flaky | Passed (with var CV &gt; 0) AND Failed (with var CV &gt; 0) | Equal Means", IF(AND(IFERROR(ROUND(V118,8),0)=0, IFERROR(ROUND(Y118,8),0)&gt;0),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8" s="29" t="n">
        <v>0.669426</v>
      </c>
      <c r="AB118" s="29" t="n">
        <v>0.010332</v>
      </c>
      <c r="AC118" s="29" t="n">
        <f aca="false">IFERROR(AB118/AA118*100,"N/A")</f>
        <v>1.5434118184833</v>
      </c>
      <c r="AD118" s="29" t="n">
        <v>0</v>
      </c>
      <c r="AE118" s="29" t="n">
        <v>0</v>
      </c>
      <c r="AF118" s="29" t="str">
        <f aca="false">IFERROR(AE118/AD118*100,"N/A")</f>
        <v>N/A</v>
      </c>
      <c r="AG118" s="51" t="str">
        <f aca="false">IF(AND(Q118&gt;0, R118=0), IF(IFERROR(ROUND(AC118,8),0)=0, "Group 9: Only Passed | Without variation (no var CV = 0)", "Group 10: Only Passed | With variation (with var CV &gt; 0)"), IF(AND(Q118=0, R118&gt;0), IF(IFERROR(ROUND(AF118,8),0)=0, "Group 11: Only Failed | Without variation (no var CV = 0)", "Group 12: Only Failed | With variation (with var CV &gt; 0)"), IF(AND(Q118&gt;0, R118&gt;0), IF(ROUND(AA118,5)&lt;&gt;ROUND(AD118,5), IF(AND(IFERROR(ROUND(AC118,8),0)=0, IFERROR(ROUND(AF118,8),0)=0), "Group 1: Flaky | Passed (no variation: CV = 0) AND Failed (no variation: CV = 0) | Different Means", IF(AND(IFERROR(ROUND(AC118,8),0)&gt;0, IFERROR(ROUND(AF118,8),0)&gt;0), "Group 2: Flaky | Passed (with variation: CV &gt; 0) AND Failed (with variation: CV &gt; 0) | Different Means", IF(AND(IFERROR(ROUND(AC118,8),0)=0, IFERROR(ROUND(AF118,8),0)&gt;0), "Group 3: Flaky | Passed (no variation: CV = 0) AND Failed (with variation: CV &gt; 0) | Different Means", "Group 4: Flaky | Passed (with variation: CV &gt; 0) AND Failed (no variation: CV = 0) | Different Means"))), IF(AND(IFERROR(ROUND(AC118,8),0)=0, IFERROR(ROUND(AF118,8),0)=0), "Group 5: Flaky | Passed (no var CV = 0) AND Failed (no var CV = 0) | Equal Means", IF(AND(IFERROR(ROUND(AC118,8),0)&gt;0, IFERROR(ROUND(AF118,8),0)&gt;0), "Group 6: Flaky | Passed (with var CV &gt; 0) AND Failed (with var CV &gt; 0) | Equal Means", IF(AND(IFERROR(ROUND(AC118,8),0)=0, IFERROR(ROUND(AF118,8),0)&gt;0),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8" s="22" t="n">
        <v>100</v>
      </c>
      <c r="AI118" s="17" t="n">
        <v>0</v>
      </c>
      <c r="AJ118" s="31" t="str">
        <f aca="false">IF(AND(AH118&gt;0, AI118&gt;0), "Observed Flaky Test", "Non-observed Flaky Test")</f>
        <v>Non-observed Flaky Test</v>
      </c>
      <c r="AK118" s="32" t="n">
        <v>27441</v>
      </c>
      <c r="AL118" s="32" t="n">
        <v>0</v>
      </c>
      <c r="AM118" s="33" t="n">
        <f aca="false">IFERROR(AL118/AK118*100,"N/A")</f>
        <v>0</v>
      </c>
      <c r="AN118" s="32" t="n">
        <v>0</v>
      </c>
      <c r="AO118" s="32" t="n">
        <v>0</v>
      </c>
      <c r="AP118" s="35" t="str">
        <f aca="false">IFERROR(AO118/AN118*100,"N/A")</f>
        <v>N/A</v>
      </c>
      <c r="AQ118" s="45" t="str">
        <f aca="false">IF(AND(AH118&gt;0, AI118&gt;0),
    IF(ROUND(N(AK118),5)&lt;&gt;ROUND(N(AN118),5),
        IF(AND(ROUND(N(AL118),8)=0, ROUND(N(AO118),8)=0), "Group 1: Flaky | Passed (no variation: SD = 0) AND Failed (no variation: SD = 0) | Different Means",
        IF(AND(ROUND(N(AL118),8)&gt;0, ROUND(N(AO118),8)&gt;0), "Group 2: Flaky | Passed (with variation: SD &gt; 0) AND Failed (with variation: SD &gt; 0) | Different Means",
        IF(AND(ROUND(N(AL118),8)=0, ROUND(N(AO118),8)&gt;0), "Group 3: Flaky | Passed (no variation: SD = 0) AND Failed (with variation: SD &gt; 0) | Different Means",
        "Group 4: Flaky | Passed (with variation: SD &gt; 0) AND Failed (no variation: SD = 0) | Different Means"))),
        IF(AND(ROUND(N(AL118),8)=0, ROUND(N(AO118),8)=0), "Group 5: Flaky | Passed (no var SD = 0) AND Failed (no var SD = 0) | Equal Means",
        IF(AND(ROUND(N(AL118),8)&gt;0, ROUND(N(AO118),8)&gt;0), "Group 6: Flaky | Passed (with var SD &gt; 0 ) AND Failed (with var SD &gt; 0) | Equal Means",
        IF(AND(ROUND(N(AL118),8)=0, ROUND(N(AO118),8)&gt;0), "Group 7: Flaky | Passed (no var SD = 0) AND Failed (with var SD &gt; 0) | Equal Means",
        "Group 8: Flaky | Passed (with var SD &gt; 0 ) AND Failed (no var SD = 0) | Equal Means")))
    ),
    IF(AH118&gt;0,
        IF(N(AL118)&gt;0, "Group 10: Only Passed | With variation (with var SD &gt; 0)", "Group 9: Only Passed | Without variation (no var SD = 0)"),
        IF(AI118&gt;0,
            IF(N(AO118)&gt;0,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8" s="37" t="str">
        <f aca="false">IF(OR(F118="Observed Flaky Test", I118="Observed Flaky Test", S118="Observed Flaky Test", AJ118="Observed Flaky Test"), "Observed Flaky Test", "Non-observed Flaky Test")</f>
        <v>Non-observed Flaky Test</v>
      </c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</row>
    <row r="119" customFormat="false" ht="15.75" hidden="false" customHeight="true" outlineLevel="0" collapsed="false">
      <c r="A119" s="13"/>
      <c r="B119" s="14" t="s">
        <v>269</v>
      </c>
      <c r="C119" s="14" t="s">
        <v>270</v>
      </c>
      <c r="D119" s="15" t="n">
        <v>100</v>
      </c>
      <c r="E119" s="15" t="n">
        <v>0</v>
      </c>
      <c r="F119" s="16" t="str">
        <f aca="false">IF(AND(D119&gt;0, E119&gt;0), "Observed Flaky Test", "Non-observed Flaky Test")</f>
        <v>Non-observed Flaky Test</v>
      </c>
      <c r="G119" s="17" t="n">
        <v>100</v>
      </c>
      <c r="H119" s="17" t="n">
        <v>0</v>
      </c>
      <c r="I119" s="16" t="str">
        <f aca="false">IF(AND(G119&gt;0, H119&gt;0), "Observed Flaky Test", "Non-observed Flaky Test")</f>
        <v>Non-observed Flaky Test</v>
      </c>
      <c r="J119" s="18" t="n">
        <v>15.25</v>
      </c>
      <c r="K119" s="18" t="n">
        <v>0</v>
      </c>
      <c r="L119" s="19" t="n">
        <f aca="false">IFERROR(K119/J119*100,"N/A")</f>
        <v>0</v>
      </c>
      <c r="M119" s="18" t="n">
        <v>0</v>
      </c>
      <c r="N119" s="18" t="n">
        <v>0</v>
      </c>
      <c r="O119" s="20" t="str">
        <f aca="false">IFERROR(N119/M119*100,"N/A")</f>
        <v>N/A</v>
      </c>
      <c r="P119" s="56" t="str">
        <f aca="false">IF(AND(G119&gt;0, H119=0), IF(ROUND(K119,8)=0, "Group 9: Only Passed | Without variation (SD Passed = 0)", "Group 10: Only Passed | With variation (SD Passed &gt; 0)"), IF(AND(G119=0, H119&gt;0), IF(ROUND(N119,8)=0, "Group 11: Only Failed | Without variation (SD Failed = 0)", "Group 12: Only Failed | With variation (SD Failed &gt; 0)"), IF(AND(G119&gt;0, H119&gt;0), IF(ROUND(J119,5)&lt;&gt;ROUND(M119,5), IF(AND(ROUND(K119,8)=0, ROUND(N119,8)=0), "Group 1: Flaky | Passed (no variation) AND Failed (no variation) | Different Means", IF(AND(ROUND(K119,8)&gt;0, ROUND(N119,8)&gt;0), "Group 2: Flaky | Passed (with variation) AND Failed (with variation) | Different Means", IF(AND(ROUND(K119,8)=0, ROUND(N119,8)&gt;0), "Group 3: Flaky | Passed (no variation) AND Failed (with variation) | Different Means", "Group 4: Flaky | Passed (with variation) AND Failed (no variation) | Different Means"))), IF(AND(ROUND(K119,8)=0, ROUND(N119,8)=0), "Group 5: Flaky | Passed (no variation) AND Failed (no variation) | Equal Means", IF(AND(ROUND(K119,8)&gt;0, ROUND(N119,8)&gt;0), "Group 6: Flaky | Passed (with variation) AND Failed (with variation) | Equal Means", IF(AND(ROUND(K119,8)=0, ROUND(N119,8)&gt;0),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19" s="22" t="n">
        <v>100</v>
      </c>
      <c r="R119" s="22" t="n">
        <v>0</v>
      </c>
      <c r="S119" s="23" t="str">
        <f aca="false">IF(AND(Q119&gt;0, R119&gt;0), "Observed Flaky Test", "Non-observed Flaky Test")</f>
        <v>Non-observed Flaky Test</v>
      </c>
      <c r="T119" s="22" t="n">
        <v>852978.35</v>
      </c>
      <c r="U119" s="24" t="n">
        <v>14.693072</v>
      </c>
      <c r="V119" s="25" t="n">
        <f aca="false">IFERROR(U119/T119*100,"N/A")</f>
        <v>0.00172256095362796</v>
      </c>
      <c r="W119" s="22" t="n">
        <v>0</v>
      </c>
      <c r="X119" s="22" t="n">
        <v>0</v>
      </c>
      <c r="Y119" s="27" t="str">
        <f aca="false">IFERROR(X119/W119*100,"N/A")</f>
        <v>N/A</v>
      </c>
      <c r="Z119" s="50" t="str">
        <f aca="false">IF(AND(Q119&gt;0, R119=0), IF(IFERROR(ROUND(V119,8),0)=0, "Group 9: Only Passed | Without variation (no var CV = 0)", "Group 10: Only Passed | With variation (with var CV &gt; 0)"), IF(AND(Q119=0, R119&gt;0), IF(IFERROR(ROUND(Y119,8),0)=0, "Group 11: Only Failed | Without variation (no var CV = 0)", "Group 12: Only Failed | With variation (with var CV &gt; 0)"), IF(AND(Q119&gt;0, R119&gt;0), IF(ROUND(T119,5)&lt;&gt;ROUND(W119,5), IF(AND(IFERROR(ROUND(V119,8),0)=0, IFERROR(ROUND(Y119,8),0)=0), "Group 1: Flaky | Passed (no variation: CV = 0) AND Failed (no variation: CV = 0) | Different Means", IF(AND(IFERROR(ROUND(V119,8),0)&gt;0, IFERROR(ROUND(Y119,8),0)&gt;0), "Group 2: Flaky | Passed (with variation: CV &gt; 0) AND Failed (with variation: CV &gt; 0) | Different Means", IF(AND(IFERROR(ROUND(V119,8),0)=0, IFERROR(ROUND(Y119,8),0)&gt;0), "Group 3: Flaky | Passed (no variation: CV = 0) AND Failed (with variation: CV &gt; 0) | Different Means", "Group 4: Flaky | Passed (with variation: CV &gt; 0) AND Failed (no variation: CV = 0) | Different Means"))), IF(AND(IFERROR(ROUND(V119,8),0)=0, IFERROR(ROUND(Y119,8),0)=0), "Group 5: Flaky | Passed (no var CV = 0) AND Failed (no var CV = 0) | Equal Means", IF(AND(IFERROR(ROUND(V119,8),0)&gt;0, IFERROR(ROUND(Y119,8),0)&gt;0), "Group 6: Flaky | Passed (with var CV &gt; 0) AND Failed (with var CV &gt; 0) | Equal Means", IF(AND(IFERROR(ROUND(V119,8),0)=0, IFERROR(ROUND(Y119,8),0)&gt;0),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19" s="29" t="n">
        <v>0.673478</v>
      </c>
      <c r="AB119" s="29" t="n">
        <v>0.014988</v>
      </c>
      <c r="AC119" s="29" t="n">
        <f aca="false">IFERROR(AB119/AA119*100,"N/A")</f>
        <v>2.22546245014685</v>
      </c>
      <c r="AD119" s="29" t="n">
        <v>0</v>
      </c>
      <c r="AE119" s="29" t="n">
        <v>0</v>
      </c>
      <c r="AF119" s="29" t="str">
        <f aca="false">IFERROR(AE119/AD119*100,"N/A")</f>
        <v>N/A</v>
      </c>
      <c r="AG119" s="51" t="str">
        <f aca="false">IF(AND(Q119&gt;0, R119=0), IF(IFERROR(ROUND(AC119,8),0)=0, "Group 9: Only Passed | Without variation (no var CV = 0)", "Group 10: Only Passed | With variation (with var CV &gt; 0)"), IF(AND(Q119=0, R119&gt;0), IF(IFERROR(ROUND(AF119,8),0)=0, "Group 11: Only Failed | Without variation (no var CV = 0)", "Group 12: Only Failed | With variation (with var CV &gt; 0)"), IF(AND(Q119&gt;0, R119&gt;0), IF(ROUND(AA119,5)&lt;&gt;ROUND(AD119,5), IF(AND(IFERROR(ROUND(AC119,8),0)=0, IFERROR(ROUND(AF119,8),0)=0), "Group 1: Flaky | Passed (no variation: CV = 0) AND Failed (no variation: CV = 0) | Different Means", IF(AND(IFERROR(ROUND(AC119,8),0)&gt;0, IFERROR(ROUND(AF119,8),0)&gt;0), "Group 2: Flaky | Passed (with variation: CV &gt; 0) AND Failed (with variation: CV &gt; 0) | Different Means", IF(AND(IFERROR(ROUND(AC119,8),0)=0, IFERROR(ROUND(AF119,8),0)&gt;0), "Group 3: Flaky | Passed (no variation: CV = 0) AND Failed (with variation: CV &gt; 0) | Different Means", "Group 4: Flaky | Passed (with variation: CV &gt; 0) AND Failed (no variation: CV = 0) | Different Means"))), IF(AND(IFERROR(ROUND(AC119,8),0)=0, IFERROR(ROUND(AF119,8),0)=0), "Group 5: Flaky | Passed (no var CV = 0) AND Failed (no var CV = 0) | Equal Means", IF(AND(IFERROR(ROUND(AC119,8),0)&gt;0, IFERROR(ROUND(AF119,8),0)&gt;0), "Group 6: Flaky | Passed (with var CV &gt; 0) AND Failed (with var CV &gt; 0) | Equal Means", IF(AND(IFERROR(ROUND(AC119,8),0)=0, IFERROR(ROUND(AF119,8),0)&gt;0),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19" s="22" t="n">
        <v>100</v>
      </c>
      <c r="AI119" s="17" t="n">
        <v>0</v>
      </c>
      <c r="AJ119" s="31" t="str">
        <f aca="false">IF(AND(AH119&gt;0, AI119&gt;0), "Observed Flaky Test", "Non-observed Flaky Test")</f>
        <v>Non-observed Flaky Test</v>
      </c>
      <c r="AK119" s="32" t="n">
        <v>27453</v>
      </c>
      <c r="AL119" s="32" t="n">
        <v>0</v>
      </c>
      <c r="AM119" s="33" t="n">
        <f aca="false">IFERROR(AL119/AK119*100,"N/A")</f>
        <v>0</v>
      </c>
      <c r="AN119" s="32" t="n">
        <v>0</v>
      </c>
      <c r="AO119" s="32" t="n">
        <v>0</v>
      </c>
      <c r="AP119" s="35" t="str">
        <f aca="false">IFERROR(AO119/AN119*100,"N/A")</f>
        <v>N/A</v>
      </c>
      <c r="AQ119" s="45" t="str">
        <f aca="false">IF(AND(AH119&gt;0, AI119&gt;0),
    IF(ROUND(N(AK119),5)&lt;&gt;ROUND(N(AN119),5),
        IF(AND(ROUND(N(AL119),8)=0, ROUND(N(AO119),8)=0), "Group 1: Flaky | Passed (no variation: SD = 0) AND Failed (no variation: SD = 0) | Different Means",
        IF(AND(ROUND(N(AL119),8)&gt;0, ROUND(N(AO119),8)&gt;0), "Group 2: Flaky | Passed (with variation: SD &gt; 0) AND Failed (with variation: SD &gt; 0) | Different Means",
        IF(AND(ROUND(N(AL119),8)=0, ROUND(N(AO119),8)&gt;0), "Group 3: Flaky | Passed (no variation: SD = 0) AND Failed (with variation: SD &gt; 0) | Different Means",
        "Group 4: Flaky | Passed (with variation: SD &gt; 0) AND Failed (no variation: SD = 0) | Different Means"))),
        IF(AND(ROUND(N(AL119),8)=0, ROUND(N(AO119),8)=0), "Group 5: Flaky | Passed (no var SD = 0) AND Failed (no var SD = 0) | Equal Means",
        IF(AND(ROUND(N(AL119),8)&gt;0, ROUND(N(AO119),8)&gt;0), "Group 6: Flaky | Passed (with var SD &gt; 0 ) AND Failed (with var SD &gt; 0) | Equal Means",
        IF(AND(ROUND(N(AL119),8)=0, ROUND(N(AO119),8)&gt;0), "Group 7: Flaky | Passed (no var SD = 0) AND Failed (with var SD &gt; 0) | Equal Means",
        "Group 8: Flaky | Passed (with var SD &gt; 0 ) AND Failed (no var SD = 0) | Equal Means")))
    ),
    IF(AH119&gt;0,
        IF(N(AL119)&gt;0, "Group 10: Only Passed | With variation (with var SD &gt; 0)", "Group 9: Only Passed | Without variation (no var SD = 0)"),
        IF(AI119&gt;0,
            IF(N(AO119)&gt;0,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19" s="37" t="str">
        <f aca="false">IF(OR(F119="Observed Flaky Test", I119="Observed Flaky Test", S119="Observed Flaky Test", AJ119="Observed Flaky Test"), "Observed Flaky Test", "Non-observed Flaky Test")</f>
        <v>Non-observed Flaky Test</v>
      </c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</row>
    <row r="120" customFormat="false" ht="15.75" hidden="false" customHeight="true" outlineLevel="0" collapsed="false">
      <c r="A120" s="13"/>
      <c r="B120" s="14" t="s">
        <v>271</v>
      </c>
      <c r="C120" s="14" t="s">
        <v>272</v>
      </c>
      <c r="D120" s="15" t="n">
        <v>100</v>
      </c>
      <c r="E120" s="15" t="n">
        <v>0</v>
      </c>
      <c r="F120" s="16" t="str">
        <f aca="false">IF(AND(D120&gt;0, E120&gt;0), "Observed Flaky Test", "Non-observed Flaky Test")</f>
        <v>Non-observed Flaky Test</v>
      </c>
      <c r="G120" s="17" t="n">
        <v>100</v>
      </c>
      <c r="H120" s="17" t="n">
        <v>0</v>
      </c>
      <c r="I120" s="16" t="str">
        <f aca="false">IF(AND(G120&gt;0, H120&gt;0), "Observed Flaky Test", "Non-observed Flaky Test")</f>
        <v>Non-observed Flaky Test</v>
      </c>
      <c r="J120" s="18" t="n">
        <v>15.23</v>
      </c>
      <c r="K120" s="18" t="n">
        <v>0</v>
      </c>
      <c r="L120" s="19" t="n">
        <f aca="false">IFERROR(K120/J120*100,"N/A")</f>
        <v>0</v>
      </c>
      <c r="M120" s="18" t="n">
        <v>0</v>
      </c>
      <c r="N120" s="18" t="n">
        <v>0</v>
      </c>
      <c r="O120" s="20" t="str">
        <f aca="false">IFERROR(N120/M120*100,"N/A")</f>
        <v>N/A</v>
      </c>
      <c r="P120" s="56" t="str">
        <f aca="false">IF(AND(G120&gt;0, H120=0), IF(ROUND(K120,8)=0, "Group 9: Only Passed | Without variation (SD Passed = 0)", "Group 10: Only Passed | With variation (SD Passed &gt; 0)"), IF(AND(G120=0, H120&gt;0), IF(ROUND(N120,8)=0, "Group 11: Only Failed | Without variation (SD Failed = 0)", "Group 12: Only Failed | With variation (SD Failed &gt; 0)"), IF(AND(G120&gt;0, H120&gt;0), IF(ROUND(J120,5)&lt;&gt;ROUND(M120,5), IF(AND(ROUND(K120,8)=0, ROUND(N120,8)=0), "Group 1: Flaky | Passed (no variation) AND Failed (no variation) | Different Means", IF(AND(ROUND(K120,8)&gt;0, ROUND(N120,8)&gt;0), "Group 2: Flaky | Passed (with variation) AND Failed (with variation) | Different Means", IF(AND(ROUND(K120,8)=0, ROUND(N120,8)&gt;0), "Group 3: Flaky | Passed (no variation) AND Failed (with variation) | Different Means", "Group 4: Flaky | Passed (with variation) AND Failed (no variation) | Different Means"))), IF(AND(ROUND(K120,8)=0, ROUND(N120,8)=0), "Group 5: Flaky | Passed (no variation) AND Failed (no variation) | Equal Means", IF(AND(ROUND(K120,8)&gt;0, ROUND(N120,8)&gt;0), "Group 6: Flaky | Passed (with variation) AND Failed (with variation) | Equal Means", IF(AND(ROUND(K120,8)=0, ROUND(N120,8)&gt;0),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0" s="22" t="n">
        <v>99</v>
      </c>
      <c r="R120" s="22" t="n">
        <v>1</v>
      </c>
      <c r="S120" s="43" t="str">
        <f aca="false">IF(AND(Q120&gt;0, R120&gt;0), "Observed Flaky Test", "Non-observed Flaky Test")</f>
        <v>Observed Flaky Test</v>
      </c>
      <c r="T120" s="24" t="n">
        <v>852974.808081</v>
      </c>
      <c r="U120" s="24" t="n">
        <v>20.673693</v>
      </c>
      <c r="V120" s="25" t="n">
        <f aca="false">IFERROR(U120/T120*100,"N/A")</f>
        <v>0.00242371671521122</v>
      </c>
      <c r="W120" s="55" t="n">
        <v>2042787</v>
      </c>
      <c r="X120" s="22" t="n">
        <v>0</v>
      </c>
      <c r="Y120" s="27" t="n">
        <f aca="false">IFERROR(X120/W120*100,"N/A")</f>
        <v>0</v>
      </c>
      <c r="Z120" s="69" t="str">
        <f aca="false">IF(AND(Q120&gt;0, R120=0), IF(IFERROR(ROUND(V120,8),0)=0, "Group 9: Only Passed | Without variation (no var CV = 0)", "Group 10: Only Passed | With variation (with var CV &gt; 0)"), IF(AND(Q120=0, R120&gt;0), IF(IFERROR(ROUND(Y120,8),0)=0, "Group 11: Only Failed | Without variation (no var CV = 0)", "Group 12: Only Failed | With variation (with var CV &gt; 0)"), IF(AND(Q120&gt;0, R120&gt;0), IF(ROUND(T120,5)&lt;&gt;ROUND(W120,5), IF(AND(IFERROR(ROUND(V120,8),0)=0, IFERROR(ROUND(Y120,8),0)=0), "Group 1: Flaky | Passed (no variation: CV = 0) AND Failed (no variation: CV = 0) | Different Means", IF(AND(IFERROR(ROUND(V120,8),0)&gt;0, IFERROR(ROUND(Y120,8),0)&gt;0), "Group 2: Flaky | Passed (with variation: CV &gt; 0) AND Failed (with variation: CV &gt; 0) | Different Means", IF(AND(IFERROR(ROUND(V120,8),0)=0, IFERROR(ROUND(Y120,8),0)&gt;0), "Group 3: Flaky | Passed (no variation: CV = 0) AND Failed (with variation: CV &gt; 0) | Different Means", "Group 4: Flaky | Passed (with variation: CV &gt; 0) AND Failed (no variation: CV = 0) | Different Means"))), IF(AND(IFERROR(ROUND(V120,8),0)=0, IFERROR(ROUND(Y120,8),0)=0), "Group 5: Flaky | Passed (no var CV = 0) AND Failed (no var CV = 0) | Equal Means", IF(AND(IFERROR(ROUND(V120,8),0)&gt;0, IFERROR(ROUND(Y120,8),0)&gt;0), "Group 6: Flaky | Passed (with var CV &gt; 0) AND Failed (with var CV &gt; 0) | Equal Means", IF(AND(IFERROR(ROUND(V120,8),0)=0, IFERROR(ROUND(Y120,8),0)&gt;0),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20" s="29" t="n">
        <v>0.666622</v>
      </c>
      <c r="AB120" s="29" t="n">
        <v>0.016207</v>
      </c>
      <c r="AC120" s="29" t="n">
        <f aca="false">IFERROR(AB120/AA120*100,"N/A")</f>
        <v>2.43121289126371</v>
      </c>
      <c r="AD120" s="29" t="n">
        <v>1.253297</v>
      </c>
      <c r="AE120" s="29" t="n">
        <v>0</v>
      </c>
      <c r="AF120" s="29" t="n">
        <f aca="false">IFERROR(AE120/AD120*100,"N/A")</f>
        <v>0</v>
      </c>
      <c r="AG120" s="70" t="str">
        <f aca="false">IF(AND(Q120&gt;0, R120=0), IF(IFERROR(ROUND(AC120,8),0)=0, "Group 9: Only Passed | Without variation (no var CV = 0)", "Group 10: Only Passed | With variation (with var CV &gt; 0)"), IF(AND(Q120=0, R120&gt;0), IF(IFERROR(ROUND(AF120,8),0)=0, "Group 11: Only Failed | Without variation (no var CV = 0)", "Group 12: Only Failed | With variation (with var CV &gt; 0)"), IF(AND(Q120&gt;0, R120&gt;0), IF(ROUND(AA120,5)&lt;&gt;ROUND(AD120,5), IF(AND(IFERROR(ROUND(AC120,8),0)=0, IFERROR(ROUND(AF120,8),0)=0), "Group 1: Flaky | Passed (no variation: CV = 0) AND Failed (no variation: CV = 0) | Different Means", IF(AND(IFERROR(ROUND(AC120,8),0)&gt;0, IFERROR(ROUND(AF120,8),0)&gt;0), "Group 2: Flaky | Passed (with variation: CV &gt; 0) AND Failed (with variation: CV &gt; 0) | Different Means", IF(AND(IFERROR(ROUND(AC120,8),0)=0, IFERROR(ROUND(AF120,8),0)&gt;0), "Group 3: Flaky | Passed (no variation: CV = 0) AND Failed (with variation: CV &gt; 0) | Different Means", "Group 4: Flaky | Passed (with variation: CV &gt; 0) AND Failed (no variation: CV = 0) | Different Means"))), IF(AND(IFERROR(ROUND(AC120,8),0)=0, IFERROR(ROUND(AF120,8),0)=0), "Group 5: Flaky | Passed (no var CV = 0) AND Failed (no var CV = 0) | Equal Means", IF(AND(IFERROR(ROUND(AC120,8),0)&gt;0, IFERROR(ROUND(AF120,8),0)&gt;0), "Group 6: Flaky | Passed (with var CV &gt; 0) AND Failed (with var CV &gt; 0) | Equal Means", IF(AND(IFERROR(ROUND(AC120,8),0)=0, IFERROR(ROUND(AF120,8),0)&gt;0),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20" s="22" t="n">
        <v>100</v>
      </c>
      <c r="AI120" s="17" t="n">
        <v>0</v>
      </c>
      <c r="AJ120" s="31" t="str">
        <f aca="false">IF(AND(AH120&gt;0, AI120&gt;0), "Observed Flaky Test", "Non-observed Flaky Test")</f>
        <v>Non-observed Flaky Test</v>
      </c>
      <c r="AK120" s="32" t="n">
        <v>27453</v>
      </c>
      <c r="AL120" s="32" t="n">
        <v>0</v>
      </c>
      <c r="AM120" s="33" t="n">
        <f aca="false">IFERROR(AL120/AK120*100,"N/A")</f>
        <v>0</v>
      </c>
      <c r="AN120" s="32" t="n">
        <v>0</v>
      </c>
      <c r="AO120" s="32" t="n">
        <v>0</v>
      </c>
      <c r="AP120" s="35" t="str">
        <f aca="false">IFERROR(AO120/AN120*100,"N/A")</f>
        <v>N/A</v>
      </c>
      <c r="AQ120" s="45" t="str">
        <f aca="false">IF(AND(AH120&gt;0, AI120&gt;0),
    IF(ROUND(N(AK120),5)&lt;&gt;ROUND(N(AN120),5),
        IF(AND(ROUND(N(AL120),8)=0, ROUND(N(AO120),8)=0), "Group 1: Flaky | Passed (no variation: SD = 0) AND Failed (no variation: SD = 0) | Different Means",
        IF(AND(ROUND(N(AL120),8)&gt;0, ROUND(N(AO120),8)&gt;0), "Group 2: Flaky | Passed (with variation: SD &gt; 0) AND Failed (with variation: SD &gt; 0) | Different Means",
        IF(AND(ROUND(N(AL120),8)=0, ROUND(N(AO120),8)&gt;0), "Group 3: Flaky | Passed (no variation: SD = 0) AND Failed (with variation: SD &gt; 0) | Different Means",
        "Group 4: Flaky | Passed (with variation: SD &gt; 0) AND Failed (no variation: SD = 0) | Different Means"))),
        IF(AND(ROUND(N(AL120),8)=0, ROUND(N(AO120),8)=0), "Group 5: Flaky | Passed (no var SD = 0) AND Failed (no var SD = 0) | Equal Means",
        IF(AND(ROUND(N(AL120),8)&gt;0, ROUND(N(AO120),8)&gt;0), "Group 6: Flaky | Passed (with var SD &gt; 0 ) AND Failed (with var SD &gt; 0) | Equal Means",
        IF(AND(ROUND(N(AL120),8)=0, ROUND(N(AO120),8)&gt;0), "Group 7: Flaky | Passed (no var SD = 0) AND Failed (with var SD &gt; 0) | Equal Means",
        "Group 8: Flaky | Passed (with var SD &gt; 0 ) AND Failed (no var SD = 0) | Equal Means")))
    ),
    IF(AH120&gt;0,
        IF(N(AL120)&gt;0, "Group 10: Only Passed | With variation (with var SD &gt; 0)", "Group 9: Only Passed | Without variation (no var SD = 0)"),
        IF(AI120&gt;0,
            IF(N(AO120)&gt;0,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20" s="42" t="str">
        <f aca="false">IF(OR(F120="Observed Flaky Test", I120="Observed Flaky Test", S120="Observed Flaky Test", AJ120="Observed Flaky Test"), "Observed Flaky Test", "Non-observed Flaky Test")</f>
        <v>Observed Flaky Test</v>
      </c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customFormat="false" ht="15.75" hidden="false" customHeight="true" outlineLevel="0" collapsed="false">
      <c r="A121" s="13"/>
      <c r="B121" s="14" t="s">
        <v>273</v>
      </c>
      <c r="C121" s="14" t="s">
        <v>274</v>
      </c>
      <c r="D121" s="15" t="n">
        <v>100</v>
      </c>
      <c r="E121" s="15" t="n">
        <v>0</v>
      </c>
      <c r="F121" s="16" t="str">
        <f aca="false">IF(AND(D121&gt;0, E121&gt;0), "Observed Flaky Test", "Non-observed Flaky Test")</f>
        <v>Non-observed Flaky Test</v>
      </c>
      <c r="G121" s="17" t="n">
        <v>100</v>
      </c>
      <c r="H121" s="17" t="n">
        <v>0</v>
      </c>
      <c r="I121" s="16" t="str">
        <f aca="false">IF(AND(G121&gt;0, H121&gt;0), "Observed Flaky Test", "Non-observed Flaky Test")</f>
        <v>Non-observed Flaky Test</v>
      </c>
      <c r="J121" s="74" t="n">
        <v>12.42</v>
      </c>
      <c r="K121" s="74" t="n">
        <v>0</v>
      </c>
      <c r="L121" s="19" t="n">
        <f aca="false">IFERROR(K121/J121*100,"N/A")</f>
        <v>0</v>
      </c>
      <c r="M121" s="74" t="n">
        <v>0</v>
      </c>
      <c r="N121" s="74" t="n">
        <v>0</v>
      </c>
      <c r="O121" s="20" t="str">
        <f aca="false">IFERROR(N121/M121*100,"N/A")</f>
        <v>N/A</v>
      </c>
      <c r="P121" s="56" t="str">
        <f aca="false">IF(AND(G121&gt;0, H121=0), IF(ROUND(K121,8)=0, "Group 9: Only Passed | Without variation (SD Passed = 0)", "Group 10: Only Passed | With variation (SD Passed &gt; 0)"), IF(AND(G121=0, H121&gt;0), IF(ROUND(N121,8)=0, "Group 11: Only Failed | Without variation (SD Failed = 0)", "Group 12: Only Failed | With variation (SD Failed &gt; 0)"), IF(AND(G121&gt;0, H121&gt;0), IF(ROUND(J121,5)&lt;&gt;ROUND(M121,5), IF(AND(ROUND(K121,8)=0, ROUND(N121,8)=0), "Group 1: Flaky | Passed (no variation) AND Failed (no variation) | Different Means", IF(AND(ROUND(K121,8)&gt;0, ROUND(N121,8)&gt;0), "Group 2: Flaky | Passed (with variation) AND Failed (with variation) | Different Means", IF(AND(ROUND(K121,8)=0, ROUND(N121,8)&gt;0), "Group 3: Flaky | Passed (no variation) AND Failed (with variation) | Different Means", "Group 4: Flaky | Passed (with variation) AND Failed (no variation) | Different Means"))), IF(AND(ROUND(K121,8)=0, ROUND(N121,8)=0), "Group 5: Flaky | Passed (no variation) AND Failed (no variation) | Equal Means", IF(AND(ROUND(K121,8)&gt;0, ROUND(N121,8)&gt;0), "Group 6: Flaky | Passed (with variation) AND Failed (with variation) | Equal Means", IF(AND(ROUND(K121,8)=0, ROUND(N121,8)&gt;0),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1" s="22" t="n">
        <v>100</v>
      </c>
      <c r="R121" s="22" t="n">
        <v>0</v>
      </c>
      <c r="S121" s="23" t="str">
        <f aca="false">IF(AND(Q121&gt;0, R121&gt;0), "Observed Flaky Test", "Non-observed Flaky Test")</f>
        <v>Non-observed Flaky Test</v>
      </c>
      <c r="T121" s="22" t="n">
        <v>833090.87</v>
      </c>
      <c r="U121" s="24" t="n">
        <v>17.334298</v>
      </c>
      <c r="V121" s="25" t="n">
        <f aca="false">IFERROR(U121/T121*100,"N/A")</f>
        <v>0.00208072115830534</v>
      </c>
      <c r="W121" s="22" t="n">
        <v>0</v>
      </c>
      <c r="X121" s="22" t="n">
        <v>0</v>
      </c>
      <c r="Y121" s="27" t="str">
        <f aca="false">IFERROR(X121/W121*100,"N/A")</f>
        <v>N/A</v>
      </c>
      <c r="Z121" s="50" t="str">
        <f aca="false">IF(AND(Q121&gt;0, R121=0), IF(IFERROR(ROUND(V121,8),0)=0, "Group 9: Only Passed | Without variation (no var CV = 0)", "Group 10: Only Passed | With variation (with var CV &gt; 0)"), IF(AND(Q121=0, R121&gt;0), IF(IFERROR(ROUND(Y121,8),0)=0, "Group 11: Only Failed | Without variation (no var CV = 0)", "Group 12: Only Failed | With variation (with var CV &gt; 0)"), IF(AND(Q121&gt;0, R121&gt;0), IF(ROUND(T121,5)&lt;&gt;ROUND(W121,5), IF(AND(IFERROR(ROUND(V121,8),0)=0, IFERROR(ROUND(Y121,8),0)=0), "Group 1: Flaky | Passed (no variation: CV = 0) AND Failed (no variation: CV = 0) | Different Means", IF(AND(IFERROR(ROUND(V121,8),0)&gt;0, IFERROR(ROUND(Y121,8),0)&gt;0), "Group 2: Flaky | Passed (with variation: CV &gt; 0) AND Failed (with variation: CV &gt; 0) | Different Means", IF(AND(IFERROR(ROUND(V121,8),0)=0, IFERROR(ROUND(Y121,8),0)&gt;0), "Group 3: Flaky | Passed (no variation: CV = 0) AND Failed (with variation: CV &gt; 0) | Different Means", "Group 4: Flaky | Passed (with variation: CV &gt; 0) AND Failed (no variation: CV = 0) | Different Means"))), IF(AND(IFERROR(ROUND(V121,8),0)=0, IFERROR(ROUND(Y121,8),0)=0), "Group 5: Flaky | Passed (no var CV = 0) AND Failed (no var CV = 0) | Equal Means", IF(AND(IFERROR(ROUND(V121,8),0)&gt;0, IFERROR(ROUND(Y121,8),0)&gt;0), "Group 6: Flaky | Passed (with var CV &gt; 0) AND Failed (with var CV &gt; 0) | Equal Means", IF(AND(IFERROR(ROUND(V121,8),0)=0, IFERROR(ROUND(Y121,8),0)&gt;0),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1" s="29" t="n">
        <v>5.471909</v>
      </c>
      <c r="AB121" s="29" t="n">
        <v>0.019404</v>
      </c>
      <c r="AC121" s="29" t="n">
        <f aca="false">IFERROR(AB121/AA121*100,"N/A")</f>
        <v>0.354611160382967</v>
      </c>
      <c r="AD121" s="29" t="n">
        <v>0</v>
      </c>
      <c r="AE121" s="29" t="n">
        <v>0</v>
      </c>
      <c r="AF121" s="29" t="str">
        <f aca="false">IFERROR(AE121/AD121*100,"N/A")</f>
        <v>N/A</v>
      </c>
      <c r="AG121" s="51" t="str">
        <f aca="false">IF(AND(Q121&gt;0, R121=0), IF(IFERROR(ROUND(AC121,8),0)=0, "Group 9: Only Passed | Without variation (no var CV = 0)", "Group 10: Only Passed | With variation (with var CV &gt; 0)"), IF(AND(Q121=0, R121&gt;0), IF(IFERROR(ROUND(AF121,8),0)=0, "Group 11: Only Failed | Without variation (no var CV = 0)", "Group 12: Only Failed | With variation (with var CV &gt; 0)"), IF(AND(Q121&gt;0, R121&gt;0), IF(ROUND(AA121,5)&lt;&gt;ROUND(AD121,5), IF(AND(IFERROR(ROUND(AC121,8),0)=0, IFERROR(ROUND(AF121,8),0)=0), "Group 1: Flaky | Passed (no variation: CV = 0) AND Failed (no variation: CV = 0) | Different Means", IF(AND(IFERROR(ROUND(AC121,8),0)&gt;0, IFERROR(ROUND(AF121,8),0)&gt;0), "Group 2: Flaky | Passed (with variation: CV &gt; 0) AND Failed (with variation: CV &gt; 0) | Different Means", IF(AND(IFERROR(ROUND(AC121,8),0)=0, IFERROR(ROUND(AF121,8),0)&gt;0), "Group 3: Flaky | Passed (no variation: CV = 0) AND Failed (with variation: CV &gt; 0) | Different Means", "Group 4: Flaky | Passed (with variation: CV &gt; 0) AND Failed (no variation: CV = 0) | Different Means"))), IF(AND(IFERROR(ROUND(AC121,8),0)=0, IFERROR(ROUND(AF121,8),0)=0), "Group 5: Flaky | Passed (no var CV = 0) AND Failed (no var CV = 0) | Equal Means", IF(AND(IFERROR(ROUND(AC121,8),0)&gt;0, IFERROR(ROUND(AF121,8),0)&gt;0), "Group 6: Flaky | Passed (with var CV &gt; 0) AND Failed (with var CV &gt; 0) | Equal Means", IF(AND(IFERROR(ROUND(AC121,8),0)=0, IFERROR(ROUND(AF121,8),0)&gt;0),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1" s="22" t="n">
        <v>100</v>
      </c>
      <c r="AI121" s="17" t="n">
        <v>0</v>
      </c>
      <c r="AJ121" s="31" t="str">
        <f aca="false">IF(AND(AH121&gt;0, AI121&gt;0), "Observed Flaky Test", "Non-observed Flaky Test")</f>
        <v>Non-observed Flaky Test</v>
      </c>
      <c r="AK121" s="32" t="n">
        <v>195684.99</v>
      </c>
      <c r="AL121" s="34" t="n">
        <v>241.950261814115</v>
      </c>
      <c r="AM121" s="33" t="n">
        <f aca="false">IFERROR(AL121/AK121*100,"N/A")</f>
        <v>0.123642728966649</v>
      </c>
      <c r="AN121" s="32" t="n">
        <v>0</v>
      </c>
      <c r="AO121" s="32" t="n">
        <v>0</v>
      </c>
      <c r="AP121" s="35" t="str">
        <f aca="false">IFERROR(AO121/AN121*100,"N/A")</f>
        <v>N/A</v>
      </c>
      <c r="AQ121" s="52" t="str">
        <f aca="false">IF(AND(AH121&gt;0, AI121&gt;0),
    IF(ROUND(N(AK121),5)&lt;&gt;ROUND(N(AN121),5),
        IF(AND(ROUND(N(AL121),8)=0, ROUND(N(AO121),8)=0), "Group 1: Flaky | Passed (no variation: SD = 0) AND Failed (no variation: SD = 0) | Different Means",
        IF(AND(ROUND(N(AL121),8)&gt;0, ROUND(N(AO121),8)&gt;0), "Group 2: Flaky | Passed (with variation: SD &gt; 0) AND Failed (with variation: SD &gt; 0) | Different Means",
        IF(AND(ROUND(N(AL121),8)=0, ROUND(N(AO121),8)&gt;0), "Group 3: Flaky | Passed (no variation: SD = 0) AND Failed (with variation: SD &gt; 0) | Different Means",
        "Group 4: Flaky | Passed (with variation: SD &gt; 0) AND Failed (no variation: SD = 0) | Different Means"))),
        IF(AND(ROUND(N(AL121),8)=0, ROUND(N(AO121),8)=0), "Group 5: Flaky | Passed (no var SD = 0) AND Failed (no var SD = 0) | Equal Means",
        IF(AND(ROUND(N(AL121),8)&gt;0, ROUND(N(AO121),8)&gt;0), "Group 6: Flaky | Passed (with var SD &gt; 0 ) AND Failed (with var SD &gt; 0) | Equal Means",
        IF(AND(ROUND(N(AL121),8)=0, ROUND(N(AO121),8)&gt;0), "Group 7: Flaky | Passed (no var SD = 0) AND Failed (with var SD &gt; 0) | Equal Means",
        "Group 8: Flaky | Passed (with var SD &gt; 0 ) AND Failed (no var SD = 0) | Equal Means")))
    ),
    IF(AH121&gt;0,
        IF(N(AL121)&gt;0, "Group 10: Only Passed | With variation (with var SD &gt; 0)", "Group 9: Only Passed | Without variation (no var SD = 0)"),
        IF(AI121&gt;0,
            IF(N(AO121)&gt;0,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1" s="37" t="str">
        <f aca="false">IF(OR(F121="Observed Flaky Test", I121="Observed Flaky Test", S121="Observed Flaky Test", AJ121="Observed Flaky Test"), "Observed Flaky Test", "Non-observed Flaky Test")</f>
        <v>Non-observed Flaky Test</v>
      </c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</row>
    <row r="122" customFormat="false" ht="15.75" hidden="false" customHeight="true" outlineLevel="0" collapsed="false">
      <c r="A122" s="81" t="s">
        <v>275</v>
      </c>
      <c r="B122" s="14" t="s">
        <v>276</v>
      </c>
      <c r="C122" s="14" t="s">
        <v>277</v>
      </c>
      <c r="D122" s="89" t="n">
        <v>100</v>
      </c>
      <c r="E122" s="89" t="n">
        <v>0</v>
      </c>
      <c r="F122" s="16" t="str">
        <f aca="false">IF(AND(D122&gt;0, E122&gt;0), "Observed Flaky Test", "Non-observed Flaky Test")</f>
        <v>Non-observed Flaky Test</v>
      </c>
      <c r="G122" s="17" t="n">
        <v>100</v>
      </c>
      <c r="H122" s="17" t="n">
        <v>0</v>
      </c>
      <c r="I122" s="16" t="str">
        <f aca="false">IF(AND(G122&gt;0, H122&gt;0), "Observed Flaky Test", "Non-observed Flaky Test")</f>
        <v>Non-observed Flaky Test</v>
      </c>
      <c r="J122" s="18" t="n">
        <v>12.4</v>
      </c>
      <c r="K122" s="18" t="n">
        <v>0</v>
      </c>
      <c r="L122" s="19" t="n">
        <f aca="false">IFERROR(K122/J122*100,"N/A")</f>
        <v>0</v>
      </c>
      <c r="M122" s="18" t="n">
        <v>0</v>
      </c>
      <c r="N122" s="18" t="n">
        <v>0</v>
      </c>
      <c r="O122" s="20" t="str">
        <f aca="false">IFERROR(N122/M122*100,"N/A")</f>
        <v>N/A</v>
      </c>
      <c r="P122" s="56" t="str">
        <f aca="false">IF(AND(G122&gt;0, H122=0), IF(ROUND(K122,8)=0, "Group 9: Only Passed | Without variation (SD Passed = 0)", "Group 10: Only Passed | With variation (SD Passed &gt; 0)"), IF(AND(G122=0, H122&gt;0), IF(ROUND(N122,8)=0, "Group 11: Only Failed | Without variation (SD Failed = 0)", "Group 12: Only Failed | With variation (SD Failed &gt; 0)"), IF(AND(G122&gt;0, H122&gt;0), IF(ROUND(J122,5)&lt;&gt;ROUND(M122,5), IF(AND(ROUND(K122,8)=0, ROUND(N122,8)=0), "Group 1: Flaky | Passed (no variation) AND Failed (no variation) | Different Means", IF(AND(ROUND(K122,8)&gt;0, ROUND(N122,8)&gt;0), "Group 2: Flaky | Passed (with variation) AND Failed (with variation) | Different Means", IF(AND(ROUND(K122,8)=0, ROUND(N122,8)&gt;0), "Group 3: Flaky | Passed (no variation) AND Failed (with variation) | Different Means", "Group 4: Flaky | Passed (with variation) AND Failed (no variation) | Different Means"))), IF(AND(ROUND(K122,8)=0, ROUND(N122,8)=0), "Group 5: Flaky | Passed (no variation) AND Failed (no variation) | Equal Means", IF(AND(ROUND(K122,8)&gt;0, ROUND(N122,8)&gt;0), "Group 6: Flaky | Passed (with variation) AND Failed (with variation) | Equal Means", IF(AND(ROUND(K122,8)=0, ROUND(N122,8)&gt;0),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2" s="22" t="n">
        <v>100</v>
      </c>
      <c r="R122" s="22" t="n">
        <v>0</v>
      </c>
      <c r="S122" s="23" t="str">
        <f aca="false">IF(AND(Q122&gt;0, R122&gt;0), "Observed Flaky Test", "Non-observed Flaky Test")</f>
        <v>Non-observed Flaky Test</v>
      </c>
      <c r="T122" s="22" t="n">
        <v>24539900.65</v>
      </c>
      <c r="U122" s="24" t="n">
        <v>1297.592459</v>
      </c>
      <c r="V122" s="25" t="n">
        <f aca="false">IFERROR(U122/T122*100,"N/A")</f>
        <v>0.00528768423925954</v>
      </c>
      <c r="W122" s="22" t="n">
        <v>0</v>
      </c>
      <c r="X122" s="22" t="n">
        <v>0</v>
      </c>
      <c r="Y122" s="27" t="str">
        <f aca="false">IFERROR(X122/W122*100,"N/A")</f>
        <v>N/A</v>
      </c>
      <c r="Z122" s="50" t="str">
        <f aca="false">IF(AND(Q122&gt;0, R122=0), IF(IFERROR(ROUND(V122,8),0)=0, "Group 9: Only Passed | Without variation (no var CV = 0)", "Group 10: Only Passed | With variation (with var CV &gt; 0)"), IF(AND(Q122=0, R122&gt;0), IF(IFERROR(ROUND(Y122,8),0)=0, "Group 11: Only Failed | Without variation (no var CV = 0)", "Group 12: Only Failed | With variation (with var CV &gt; 0)"), IF(AND(Q122&gt;0, R122&gt;0), IF(ROUND(T122,5)&lt;&gt;ROUND(W122,5), IF(AND(IFERROR(ROUND(V122,8),0)=0, IFERROR(ROUND(Y122,8),0)=0), "Group 1: Flaky | Passed (no variation: CV = 0) AND Failed (no variation: CV = 0) | Different Means", IF(AND(IFERROR(ROUND(V122,8),0)&gt;0, IFERROR(ROUND(Y122,8),0)&gt;0), "Group 2: Flaky | Passed (with variation: CV &gt; 0) AND Failed (with variation: CV &gt; 0) | Different Means", IF(AND(IFERROR(ROUND(V122,8),0)=0, IFERROR(ROUND(Y122,8),0)&gt;0), "Group 3: Flaky | Passed (no variation: CV = 0) AND Failed (with variation: CV &gt; 0) | Different Means", "Group 4: Flaky | Passed (with variation: CV &gt; 0) AND Failed (no variation: CV = 0) | Different Means"))), IF(AND(IFERROR(ROUND(V122,8),0)=0, IFERROR(ROUND(Y122,8),0)=0), "Group 5: Flaky | Passed (no var CV = 0) AND Failed (no var CV = 0) | Equal Means", IF(AND(IFERROR(ROUND(V122,8),0)&gt;0, IFERROR(ROUND(Y122,8),0)&gt;0), "Group 6: Flaky | Passed (with var CV &gt; 0) AND Failed (with var CV &gt; 0) | Equal Means", IF(AND(IFERROR(ROUND(V122,8),0)=0, IFERROR(ROUND(Y122,8),0)&gt;0),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2" s="29" t="n">
        <v>126.474722</v>
      </c>
      <c r="AB122" s="29" t="n">
        <v>7.979391</v>
      </c>
      <c r="AC122" s="29" t="n">
        <f aca="false">IFERROR(AB122/AA122*100,"N/A")</f>
        <v>6.30907969103897</v>
      </c>
      <c r="AD122" s="29" t="n">
        <v>0</v>
      </c>
      <c r="AE122" s="29" t="n">
        <v>0</v>
      </c>
      <c r="AF122" s="29" t="str">
        <f aca="false">IFERROR(AE122/AD122*100,"N/A")</f>
        <v>N/A</v>
      </c>
      <c r="AG122" s="51" t="str">
        <f aca="false">IF(AND(Q122&gt;0, R122=0), IF(IFERROR(ROUND(AC122,8),0)=0, "Group 9: Only Passed | Without variation (no var CV = 0)", "Group 10: Only Passed | With variation (with var CV &gt; 0)"), IF(AND(Q122=0, R122&gt;0), IF(IFERROR(ROUND(AF122,8),0)=0, "Group 11: Only Failed | Without variation (no var CV = 0)", "Group 12: Only Failed | With variation (with var CV &gt; 0)"), IF(AND(Q122&gt;0, R122&gt;0), IF(ROUND(AA122,5)&lt;&gt;ROUND(AD122,5), IF(AND(IFERROR(ROUND(AC122,8),0)=0, IFERROR(ROUND(AF122,8),0)=0), "Group 1: Flaky | Passed (no variation: CV = 0) AND Failed (no variation: CV = 0) | Different Means", IF(AND(IFERROR(ROUND(AC122,8),0)&gt;0, IFERROR(ROUND(AF122,8),0)&gt;0), "Group 2: Flaky | Passed (with variation: CV &gt; 0) AND Failed (with variation: CV &gt; 0) | Different Means", IF(AND(IFERROR(ROUND(AC122,8),0)=0, IFERROR(ROUND(AF122,8),0)&gt;0), "Group 3: Flaky | Passed (no variation: CV = 0) AND Failed (with variation: CV &gt; 0) | Different Means", "Group 4: Flaky | Passed (with variation: CV &gt; 0) AND Failed (no variation: CV = 0) | Different Means"))), IF(AND(IFERROR(ROUND(AC122,8),0)=0, IFERROR(ROUND(AF122,8),0)=0), "Group 5: Flaky | Passed (no var CV = 0) AND Failed (no var CV = 0) | Equal Means", IF(AND(IFERROR(ROUND(AC122,8),0)&gt;0, IFERROR(ROUND(AF122,8),0)&gt;0), "Group 6: Flaky | Passed (with var CV &gt; 0) AND Failed (with var CV &gt; 0) | Equal Means", IF(AND(IFERROR(ROUND(AC122,8),0)=0, IFERROR(ROUND(AF122,8),0)&gt;0),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2" s="22" t="n">
        <v>100</v>
      </c>
      <c r="AI122" s="17" t="n">
        <v>0</v>
      </c>
      <c r="AJ122" s="31" t="str">
        <f aca="false">IF(AND(AH122&gt;0, AI122&gt;0), "Observed Flaky Test", "Non-observed Flaky Test")</f>
        <v>Non-observed Flaky Test</v>
      </c>
      <c r="AK122" s="32" t="n">
        <v>86677</v>
      </c>
      <c r="AL122" s="32" t="n">
        <v>0</v>
      </c>
      <c r="AM122" s="33" t="n">
        <f aca="false">IFERROR(AL122/AK122*100,"N/A")</f>
        <v>0</v>
      </c>
      <c r="AN122" s="32" t="n">
        <v>0</v>
      </c>
      <c r="AO122" s="32" t="n">
        <v>0</v>
      </c>
      <c r="AP122" s="35" t="str">
        <f aca="false">IFERROR(AO122/AN122*100,"N/A")</f>
        <v>N/A</v>
      </c>
      <c r="AQ122" s="45" t="str">
        <f aca="false">IF(AND(AH122&gt;0, AI122&gt;0),
    IF(ROUND(N(AK122),5)&lt;&gt;ROUND(N(AN122),5),
        IF(AND(ROUND(N(AL122),8)=0, ROUND(N(AO122),8)=0), "Group 1: Flaky | Passed (no variation: SD = 0) AND Failed (no variation: SD = 0) | Different Means",
        IF(AND(ROUND(N(AL122),8)&gt;0, ROUND(N(AO122),8)&gt;0), "Group 2: Flaky | Passed (with variation: SD &gt; 0) AND Failed (with variation: SD &gt; 0) | Different Means",
        IF(AND(ROUND(N(AL122),8)=0, ROUND(N(AO122),8)&gt;0), "Group 3: Flaky | Passed (no variation: SD = 0) AND Failed (with variation: SD &gt; 0) | Different Means",
        "Group 4: Flaky | Passed (with variation: SD &gt; 0) AND Failed (no variation: SD = 0) | Different Means"))),
        IF(AND(ROUND(N(AL122),8)=0, ROUND(N(AO122),8)=0), "Group 5: Flaky | Passed (no var SD = 0) AND Failed (no var SD = 0) | Equal Means",
        IF(AND(ROUND(N(AL122),8)&gt;0, ROUND(N(AO122),8)&gt;0), "Group 6: Flaky | Passed (with var SD &gt; 0 ) AND Failed (with var SD &gt; 0) | Equal Means",
        IF(AND(ROUND(N(AL122),8)=0, ROUND(N(AO122),8)&gt;0), "Group 7: Flaky | Passed (no var SD = 0) AND Failed (with var SD &gt; 0) | Equal Means",
        "Group 8: Flaky | Passed (with var SD &gt; 0 ) AND Failed (no var SD = 0) | Equal Means")))
    ),
    IF(AH122&gt;0,
        IF(N(AL122)&gt;0, "Group 10: Only Passed | With variation (with var SD &gt; 0)", "Group 9: Only Passed | Without variation (no var SD = 0)"),
        IF(AI122&gt;0,
            IF(N(AO122)&gt;0,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22" s="37" t="str">
        <f aca="false">IF(OR(F122="Observed Flaky Test", I122="Observed Flaky Test", S122="Observed Flaky Test", AJ122="Observed Flaky Test"), "Observed Flaky Test", "Non-observed Flaky Test")</f>
        <v>Non-observed Flaky Test</v>
      </c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</row>
    <row r="123" customFormat="false" ht="15.75" hidden="false" customHeight="true" outlineLevel="0" collapsed="false">
      <c r="A123" s="81" t="s">
        <v>278</v>
      </c>
      <c r="B123" s="14" t="s">
        <v>279</v>
      </c>
      <c r="C123" s="14" t="s">
        <v>280</v>
      </c>
      <c r="D123" s="15" t="n">
        <v>0</v>
      </c>
      <c r="E123" s="15" t="n">
        <v>100</v>
      </c>
      <c r="F123" s="16" t="str">
        <f aca="false">IF(AND(D123&gt;0, E123&gt;0), "Observed Flaky Test", "Non-observed Flaky Test")</f>
        <v>Non-observed Flaky Test</v>
      </c>
      <c r="G123" s="17" t="n">
        <v>0</v>
      </c>
      <c r="H123" s="17" t="n">
        <v>100</v>
      </c>
      <c r="I123" s="16" t="str">
        <f aca="false">IF(AND(G123&gt;0, H123&gt;0), "Observed Flaky Test", "Non-observed Flaky Test")</f>
        <v>Non-observed Flaky Test</v>
      </c>
      <c r="J123" s="18" t="n">
        <v>0</v>
      </c>
      <c r="K123" s="18" t="n">
        <v>0</v>
      </c>
      <c r="L123" s="19" t="str">
        <f aca="false">IFERROR(K123/J123*100,"N/A")</f>
        <v>N/A</v>
      </c>
      <c r="M123" s="18" t="n">
        <v>6.95</v>
      </c>
      <c r="N123" s="18" t="n">
        <v>0</v>
      </c>
      <c r="O123" s="20" t="n">
        <f aca="false">IFERROR(N123/M123*100,"N/A")</f>
        <v>0</v>
      </c>
      <c r="P123" s="21" t="str">
        <f aca="false">IF(AND(G123&gt;0, H123=0), IF(ROUND(K123,8)=0, "Group 9: Only Passed | Without variation (SD Passed = 0)", "Group 10: Only Passed | With variation (SD Passed &gt; 0)"), IF(AND(G123=0, H123&gt;0), IF(ROUND(N123,8)=0, "Group 11: Only Failed | Without variation (SD Failed = 0)", "Group 12: Only Failed | With variation (SD Failed &gt; 0)"), IF(AND(G123&gt;0, H123&gt;0), IF(ROUND(J123,5)&lt;&gt;ROUND(M123,5), IF(AND(ROUND(K123,8)=0, ROUND(N123,8)=0), "Group 1: Flaky | Passed (no variation) AND Failed (no variation) | Different Means", IF(AND(ROUND(K123,8)&gt;0, ROUND(N123,8)&gt;0), "Group 2: Flaky | Passed (with variation) AND Failed (with variation) | Different Means", IF(AND(ROUND(K123,8)=0, ROUND(N123,8)&gt;0), "Group 3: Flaky | Passed (no variation) AND Failed (with variation) | Different Means", "Group 4: Flaky | Passed (with variation) AND Failed (no variation) | Different Means"))), IF(AND(ROUND(K123,8)=0, ROUND(N123,8)=0), "Group 5: Flaky | Passed (no variation) AND Failed (no variation) | Equal Means", IF(AND(ROUND(K123,8)&gt;0, ROUND(N123,8)&gt;0), "Group 6: Flaky | Passed (with variation) AND Failed (with variation) | Equal Means", IF(AND(ROUND(K123,8)=0, ROUND(N123,8)&gt;0),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123" s="22" t="n">
        <v>0</v>
      </c>
      <c r="R123" s="22" t="n">
        <v>100</v>
      </c>
      <c r="S123" s="23" t="str">
        <f aca="false">IF(AND(Q123&gt;0, R123&gt;0), "Observed Flaky Test", "Non-observed Flaky Test")</f>
        <v>Non-observed Flaky Test</v>
      </c>
      <c r="T123" s="22" t="n">
        <v>0</v>
      </c>
      <c r="U123" s="22" t="n">
        <v>0</v>
      </c>
      <c r="V123" s="25" t="str">
        <f aca="false">IFERROR(U123/T123*100,"N/A")</f>
        <v>N/A</v>
      </c>
      <c r="W123" s="22" t="n">
        <v>1280206.27</v>
      </c>
      <c r="X123" s="24" t="n">
        <v>23.600571</v>
      </c>
      <c r="Y123" s="27" t="n">
        <f aca="false">IFERROR(X123/W123*100,"N/A")</f>
        <v>0.00184349753262808</v>
      </c>
      <c r="Z123" s="28" t="str">
        <f aca="false">IF(AND(Q123&gt;0, R123=0), IF(IFERROR(ROUND(V123,8),0)=0, "Group 9: Only Passed | Without variation (no var CV = 0)", "Group 10: Only Passed | With variation (with var CV &gt; 0)"), IF(AND(Q123=0, R123&gt;0), IF(IFERROR(ROUND(Y123,8),0)=0, "Group 11: Only Failed | Without variation (no var CV = 0)", "Group 12: Only Failed | With variation (with var CV &gt; 0)"), IF(AND(Q123&gt;0, R123&gt;0), IF(ROUND(T123,5)&lt;&gt;ROUND(W123,5), IF(AND(IFERROR(ROUND(V123,8),0)=0, IFERROR(ROUND(Y123,8),0)=0), "Group 1: Flaky | Passed (no variation: CV = 0) AND Failed (no variation: CV = 0) | Different Means", IF(AND(IFERROR(ROUND(V123,8),0)&gt;0, IFERROR(ROUND(Y123,8),0)&gt;0), "Group 2: Flaky | Passed (with variation: CV &gt; 0) AND Failed (with variation: CV &gt; 0) | Different Means", IF(AND(IFERROR(ROUND(V123,8),0)=0, IFERROR(ROUND(Y123,8),0)&gt;0), "Group 3: Flaky | Passed (no variation: CV = 0) AND Failed (with variation: CV &gt; 0) | Different Means", "Group 4: Flaky | Passed (with variation: CV &gt; 0) AND Failed (no variation: CV = 0) | Different Means"))), IF(AND(IFERROR(ROUND(V123,8),0)=0, IFERROR(ROUND(Y123,8),0)=0), "Group 5: Flaky | Passed (no var CV = 0) AND Failed (no var CV = 0) | Equal Means", IF(AND(IFERROR(ROUND(V123,8),0)&gt;0, IFERROR(ROUND(Y123,8),0)&gt;0), "Group 6: Flaky | Passed (with var CV &gt; 0) AND Failed (with var CV &gt; 0) | Equal Means", IF(AND(IFERROR(ROUND(V123,8),0)=0, IFERROR(ROUND(Y123,8),0)&gt;0),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123" s="29" t="n">
        <v>0</v>
      </c>
      <c r="AB123" s="29" t="n">
        <v>0</v>
      </c>
      <c r="AC123" s="29" t="str">
        <f aca="false">IFERROR(AB123/AA123*100,"N/A")</f>
        <v>N/A</v>
      </c>
      <c r="AD123" s="29" t="n">
        <v>6.710128</v>
      </c>
      <c r="AE123" s="29" t="n">
        <v>0.159507</v>
      </c>
      <c r="AF123" s="29" t="n">
        <f aca="false">IFERROR(AE123/AD123*100,"N/A")</f>
        <v>2.37710815650611</v>
      </c>
      <c r="AG123" s="30" t="str">
        <f aca="false">IF(AND(Q123&gt;0, R123=0), IF(IFERROR(ROUND(AC123,8),0)=0, "Group 9: Only Passed | Without variation (no var CV = 0)", "Group 10: Only Passed | With variation (with var CV &gt; 0)"), IF(AND(Q123=0, R123&gt;0), IF(IFERROR(ROUND(AF123,8),0)=0, "Group 11: Only Failed | Without variation (no var CV = 0)", "Group 12: Only Failed | With variation (with var CV &gt; 0)"), IF(AND(Q123&gt;0, R123&gt;0), IF(ROUND(AA123,5)&lt;&gt;ROUND(AD123,5), IF(AND(IFERROR(ROUND(AC123,8),0)=0, IFERROR(ROUND(AF123,8),0)=0), "Group 1: Flaky | Passed (no variation: CV = 0) AND Failed (no variation: CV = 0) | Different Means", IF(AND(IFERROR(ROUND(AC123,8),0)&gt;0, IFERROR(ROUND(AF123,8),0)&gt;0), "Group 2: Flaky | Passed (with variation: CV &gt; 0) AND Failed (with variation: CV &gt; 0) | Different Means", IF(AND(IFERROR(ROUND(AC123,8),0)=0, IFERROR(ROUND(AF123,8),0)&gt;0), "Group 3: Flaky | Passed (no variation: CV = 0) AND Failed (with variation: CV &gt; 0) | Different Means", "Group 4: Flaky | Passed (with variation: CV &gt; 0) AND Failed (no variation: CV = 0) | Different Means"))), IF(AND(IFERROR(ROUND(AC123,8),0)=0, IFERROR(ROUND(AF123,8),0)=0), "Group 5: Flaky | Passed (no var CV = 0) AND Failed (no var CV = 0) | Equal Means", IF(AND(IFERROR(ROUND(AC123,8),0)&gt;0, IFERROR(ROUND(AF123,8),0)&gt;0), "Group 6: Flaky | Passed (with var CV &gt; 0) AND Failed (with var CV &gt; 0) | Equal Means", IF(AND(IFERROR(ROUND(AC123,8),0)=0, IFERROR(ROUND(AF123,8),0)&gt;0),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123" s="22" t="n">
        <v>0</v>
      </c>
      <c r="AI123" s="17" t="n">
        <v>100</v>
      </c>
      <c r="AJ123" s="31" t="str">
        <f aca="false">IF(AND(AH123&gt;0, AI123&gt;0), "Observed Flaky Test", "Non-observed Flaky Test")</f>
        <v>Non-observed Flaky Test</v>
      </c>
      <c r="AK123" s="32" t="n">
        <v>0</v>
      </c>
      <c r="AL123" s="32" t="n">
        <v>0</v>
      </c>
      <c r="AM123" s="33" t="str">
        <f aca="false">IFERROR(AL123/AK123*100,"N/A")</f>
        <v>N/A</v>
      </c>
      <c r="AN123" s="32" t="n">
        <v>655</v>
      </c>
      <c r="AO123" s="32" t="n">
        <v>0</v>
      </c>
      <c r="AP123" s="35" t="n">
        <f aca="false">IFERROR(AO123/AN123*100,"N/A")</f>
        <v>0</v>
      </c>
      <c r="AQ123" s="73" t="str">
        <f aca="false">IF(AND(AH123&gt;0, AI123&gt;0),
    IF(ROUND(N(AK123),5)&lt;&gt;ROUND(N(AN123),5),
        IF(AND(ROUND(N(AL123),8)=0, ROUND(N(AO123),8)=0), "Group 1: Flaky | Passed (no variation: SD = 0) AND Failed (no variation: SD = 0) | Different Means",
        IF(AND(ROUND(N(AL123),8)&gt;0, ROUND(N(AO123),8)&gt;0), "Group 2: Flaky | Passed (with variation: SD &gt; 0) AND Failed (with variation: SD &gt; 0) | Different Means",
        IF(AND(ROUND(N(AL123),8)=0, ROUND(N(AO123),8)&gt;0), "Group 3: Flaky | Passed (no variation: SD = 0) AND Failed (with variation: SD &gt; 0) | Different Means",
        "Group 4: Flaky | Passed (with variation: SD &gt; 0) AND Failed (no variation: SD = 0) | Different Means"))),
        IF(AND(ROUND(N(AL123),8)=0, ROUND(N(AO123),8)=0), "Group 5: Flaky | Passed (no var SD = 0) AND Failed (no var SD = 0) | Equal Means",
        IF(AND(ROUND(N(AL123),8)&gt;0, ROUND(N(AO123),8)&gt;0), "Group 6: Flaky | Passed (with var SD &gt; 0 ) AND Failed (with var SD &gt; 0) | Equal Means",
        IF(AND(ROUND(N(AL123),8)=0, ROUND(N(AO123),8)&gt;0), "Group 7: Flaky | Passed (no var SD = 0) AND Failed (with var SD &gt; 0) | Equal Means",
        "Group 8: Flaky | Passed (with var SD &gt; 0 ) AND Failed (no var SD = 0) | Equal Means")))
    ),
    IF(AH123&gt;0,
        IF(N(AL123)&gt;0, "Group 10: Only Passed | With variation (with var SD &gt; 0)", "Group 9: Only Passed | Without variation (no var SD = 0)"),
        IF(AI123&gt;0,
            IF(N(AO123)&gt;0,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123" s="37" t="str">
        <f aca="false">IF(OR(F123="Observed Flaky Test", I123="Observed Flaky Test", S123="Observed Flaky Test", AJ123="Observed Flaky Test"), "Observed Flaky Test", "Non-observed Flaky Test")</f>
        <v>Non-observed Flaky Test</v>
      </c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</row>
    <row r="124" customFormat="false" ht="15.75" hidden="false" customHeight="true" outlineLevel="0" collapsed="false">
      <c r="A124" s="13" t="s">
        <v>281</v>
      </c>
      <c r="B124" s="14" t="s">
        <v>282</v>
      </c>
      <c r="C124" s="14" t="s">
        <v>283</v>
      </c>
      <c r="D124" s="15" t="n">
        <v>0</v>
      </c>
      <c r="E124" s="15" t="n">
        <v>100</v>
      </c>
      <c r="F124" s="16" t="str">
        <f aca="false">IF(AND(D124&gt;0, E124&gt;0), "Observed Flaky Test", "Non-observed Flaky Test")</f>
        <v>Non-observed Flaky Test</v>
      </c>
      <c r="G124" s="17" t="n">
        <v>100</v>
      </c>
      <c r="H124" s="17" t="n">
        <v>0</v>
      </c>
      <c r="I124" s="16" t="str">
        <f aca="false">IF(AND(G124&gt;0, H124&gt;0), "Observed Flaky Test", "Non-observed Flaky Test")</f>
        <v>Non-observed Flaky Test</v>
      </c>
      <c r="J124" s="18" t="n">
        <v>16.5</v>
      </c>
      <c r="K124" s="18" t="n">
        <v>0</v>
      </c>
      <c r="L124" s="19" t="n">
        <f aca="false">IFERROR(K124/J124*100,"N/A")</f>
        <v>0</v>
      </c>
      <c r="M124" s="18" t="n">
        <v>0</v>
      </c>
      <c r="N124" s="18" t="n">
        <v>0</v>
      </c>
      <c r="O124" s="20" t="str">
        <f aca="false">IFERROR(N124/M124*100,"N/A")</f>
        <v>N/A</v>
      </c>
      <c r="P124" s="56" t="str">
        <f aca="false">IF(AND(G124&gt;0, H124=0), IF(ROUND(K124,8)=0, "Group 9: Only Passed | Without variation (SD Passed = 0)", "Group 10: Only Passed | With variation (SD Passed &gt; 0)"), IF(AND(G124=0, H124&gt;0), IF(ROUND(N124,8)=0, "Group 11: Only Failed | Without variation (SD Failed = 0)", "Group 12: Only Failed | With variation (SD Failed &gt; 0)"), IF(AND(G124&gt;0, H124&gt;0), IF(ROUND(J124,5)&lt;&gt;ROUND(M124,5), IF(AND(ROUND(K124,8)=0, ROUND(N124,8)=0), "Group 1: Flaky | Passed (no variation) AND Failed (no variation) | Different Means", IF(AND(ROUND(K124,8)&gt;0, ROUND(N124,8)&gt;0), "Group 2: Flaky | Passed (with variation) AND Failed (with variation) | Different Means", IF(AND(ROUND(K124,8)=0, ROUND(N124,8)&gt;0), "Group 3: Flaky | Passed (no variation) AND Failed (with variation) | Different Means", "Group 4: Flaky | Passed (with variation) AND Failed (no variation) | Different Means"))), IF(AND(ROUND(K124,8)=0, ROUND(N124,8)=0), "Group 5: Flaky | Passed (no variation) AND Failed (no variation) | Equal Means", IF(AND(ROUND(K124,8)&gt;0, ROUND(N124,8)&gt;0), "Group 6: Flaky | Passed (with variation) AND Failed (with variation) | Equal Means", IF(AND(ROUND(K124,8)=0, ROUND(N124,8)&gt;0),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4" s="22" t="n">
        <v>100</v>
      </c>
      <c r="R124" s="22" t="n">
        <v>0</v>
      </c>
      <c r="S124" s="23" t="str">
        <f aca="false">IF(AND(Q124&gt;0, R124&gt;0), "Observed Flaky Test", "Non-observed Flaky Test")</f>
        <v>Non-observed Flaky Test</v>
      </c>
      <c r="T124" s="22" t="n">
        <v>524517.46</v>
      </c>
      <c r="U124" s="24" t="n">
        <v>9.010006</v>
      </c>
      <c r="V124" s="25" t="n">
        <f aca="false">IFERROR(U124/T124*100,"N/A")</f>
        <v>0.00171777046277926</v>
      </c>
      <c r="W124" s="22" t="n">
        <v>0</v>
      </c>
      <c r="X124" s="22" t="n">
        <v>0</v>
      </c>
      <c r="Y124" s="27" t="str">
        <f aca="false">IFERROR(X124/W124*100,"N/A")</f>
        <v>N/A</v>
      </c>
      <c r="Z124" s="50" t="str">
        <f aca="false">IF(AND(Q124&gt;0, R124=0), IF(IFERROR(ROUND(V124,8),0)=0, "Group 9: Only Passed | Without variation (no var CV = 0)", "Group 10: Only Passed | With variation (with var CV &gt; 0)"), IF(AND(Q124=0, R124&gt;0), IF(IFERROR(ROUND(Y124,8),0)=0, "Group 11: Only Failed | Without variation (no var CV = 0)", "Group 12: Only Failed | With variation (with var CV &gt; 0)"), IF(AND(Q124&gt;0, R124&gt;0), IF(ROUND(T124,5)&lt;&gt;ROUND(W124,5), IF(AND(IFERROR(ROUND(V124,8),0)=0, IFERROR(ROUND(Y124,8),0)=0), "Group 1: Flaky | Passed (no variation: CV = 0) AND Failed (no variation: CV = 0) | Different Means", IF(AND(IFERROR(ROUND(V124,8),0)&gt;0, IFERROR(ROUND(Y124,8),0)&gt;0), "Group 2: Flaky | Passed (with variation: CV &gt; 0) AND Failed (with variation: CV &gt; 0) | Different Means", IF(AND(IFERROR(ROUND(V124,8),0)=0, IFERROR(ROUND(Y124,8),0)&gt;0), "Group 3: Flaky | Passed (no variation: CV = 0) AND Failed (with variation: CV &gt; 0) | Different Means", "Group 4: Flaky | Passed (with variation: CV &gt; 0) AND Failed (no variation: CV = 0) | Different Means"))), IF(AND(IFERROR(ROUND(V124,8),0)=0, IFERROR(ROUND(Y124,8),0)=0), "Group 5: Flaky | Passed (no var CV = 0) AND Failed (no var CV = 0) | Equal Means", IF(AND(IFERROR(ROUND(V124,8),0)&gt;0, IFERROR(ROUND(Y124,8),0)&gt;0), "Group 6: Flaky | Passed (with var CV &gt; 0) AND Failed (with var CV &gt; 0) | Equal Means", IF(AND(IFERROR(ROUND(V124,8),0)=0, IFERROR(ROUND(Y124,8),0)&gt;0),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4" s="29" t="n">
        <v>0.320084</v>
      </c>
      <c r="AB124" s="29" t="n">
        <v>0.011611</v>
      </c>
      <c r="AC124" s="29" t="n">
        <f aca="false">IFERROR(AB124/AA124*100,"N/A")</f>
        <v>3.62748528511266</v>
      </c>
      <c r="AD124" s="29" t="n">
        <v>0</v>
      </c>
      <c r="AE124" s="29" t="n">
        <v>0</v>
      </c>
      <c r="AF124" s="29" t="str">
        <f aca="false">IFERROR(AE124/AD124*100,"N/A")</f>
        <v>N/A</v>
      </c>
      <c r="AG124" s="51" t="str">
        <f aca="false">IF(AND(Q124&gt;0, R124=0), IF(IFERROR(ROUND(AC124,8),0)=0, "Group 9: Only Passed | Without variation (no var CV = 0)", "Group 10: Only Passed | With variation (with var CV &gt; 0)"), IF(AND(Q124=0, R124&gt;0), IF(IFERROR(ROUND(AF124,8),0)=0, "Group 11: Only Failed | Without variation (no var CV = 0)", "Group 12: Only Failed | With variation (with var CV &gt; 0)"), IF(AND(Q124&gt;0, R124&gt;0), IF(ROUND(AA124,5)&lt;&gt;ROUND(AD124,5), IF(AND(IFERROR(ROUND(AC124,8),0)=0, IFERROR(ROUND(AF124,8),0)=0), "Group 1: Flaky | Passed (no variation: CV = 0) AND Failed (no variation: CV = 0) | Different Means", IF(AND(IFERROR(ROUND(AC124,8),0)&gt;0, IFERROR(ROUND(AF124,8),0)&gt;0), "Group 2: Flaky | Passed (with variation: CV &gt; 0) AND Failed (with variation: CV &gt; 0) | Different Means", IF(AND(IFERROR(ROUND(AC124,8),0)=0, IFERROR(ROUND(AF124,8),0)&gt;0), "Group 3: Flaky | Passed (no variation: CV = 0) AND Failed (with variation: CV &gt; 0) | Different Means", "Group 4: Flaky | Passed (with variation: CV &gt; 0) AND Failed (no variation: CV = 0) | Different Means"))), IF(AND(IFERROR(ROUND(AC124,8),0)=0, IFERROR(ROUND(AF124,8),0)=0), "Group 5: Flaky | Passed (no var CV = 0) AND Failed (no var CV = 0) | Equal Means", IF(AND(IFERROR(ROUND(AC124,8),0)&gt;0, IFERROR(ROUND(AF124,8),0)&gt;0), "Group 6: Flaky | Passed (with var CV &gt; 0) AND Failed (with var CV &gt; 0) | Equal Means", IF(AND(IFERROR(ROUND(AC124,8),0)=0, IFERROR(ROUND(AF124,8),0)&gt;0),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4" s="22" t="n">
        <v>100</v>
      </c>
      <c r="AI124" s="17" t="n">
        <v>0</v>
      </c>
      <c r="AJ124" s="31" t="str">
        <f aca="false">IF(AND(AH124&gt;0, AI124&gt;0), "Observed Flaky Test", "Non-observed Flaky Test")</f>
        <v>Non-observed Flaky Test</v>
      </c>
      <c r="AK124" s="81" t="n">
        <v>33523.99</v>
      </c>
      <c r="AL124" s="40" t="n">
        <v>87.7108996601443</v>
      </c>
      <c r="AM124" s="33" t="n">
        <f aca="false">IFERROR(AL124/AK124*100,"N/A")</f>
        <v>0.261636218302608</v>
      </c>
      <c r="AN124" s="32" t="n">
        <v>0</v>
      </c>
      <c r="AO124" s="32" t="n">
        <v>0</v>
      </c>
      <c r="AP124" s="35" t="str">
        <f aca="false">IFERROR(AO124/AN124*100,"N/A")</f>
        <v>N/A</v>
      </c>
      <c r="AQ124" s="52" t="str">
        <f aca="false">IF(AND(AH124&gt;0, AI124&gt;0),
    IF(ROUND(N(AK124),5)&lt;&gt;ROUND(N(AN124),5),
        IF(AND(ROUND(N(AL124),8)=0, ROUND(N(AO124),8)=0), "Group 1: Flaky | Passed (no variation: SD = 0) AND Failed (no variation: SD = 0) | Different Means",
        IF(AND(ROUND(N(AL124),8)&gt;0, ROUND(N(AO124),8)&gt;0), "Group 2: Flaky | Passed (with variation: SD &gt; 0) AND Failed (with variation: SD &gt; 0) | Different Means",
        IF(AND(ROUND(N(AL124),8)=0, ROUND(N(AO124),8)&gt;0), "Group 3: Flaky | Passed (no variation: SD = 0) AND Failed (with variation: SD &gt; 0) | Different Means",
        "Group 4: Flaky | Passed (with variation: SD &gt; 0) AND Failed (no variation: SD = 0) | Different Means"))),
        IF(AND(ROUND(N(AL124),8)=0, ROUND(N(AO124),8)=0), "Group 5: Flaky | Passed (no var SD = 0) AND Failed (no var SD = 0) | Equal Means",
        IF(AND(ROUND(N(AL124),8)&gt;0, ROUND(N(AO124),8)&gt;0), "Group 6: Flaky | Passed (with var SD &gt; 0 ) AND Failed (with var SD &gt; 0) | Equal Means",
        IF(AND(ROUND(N(AL124),8)=0, ROUND(N(AO124),8)&gt;0), "Group 7: Flaky | Passed (no var SD = 0) AND Failed (with var SD &gt; 0) | Equal Means",
        "Group 8: Flaky | Passed (with var SD &gt; 0 ) AND Failed (no var SD = 0) | Equal Means")))
    ),
    IF(AH124&gt;0,
        IF(N(AL124)&gt;0, "Group 10: Only Passed | With variation (with var SD &gt; 0)", "Group 9: Only Passed | Without variation (no var SD = 0)"),
        IF(AI124&gt;0,
            IF(N(AO124)&gt;0,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4" s="37" t="str">
        <f aca="false">IF(OR(F124="Observed Flaky Test", I124="Observed Flaky Test", S124="Observed Flaky Test", AJ124="Observed Flaky Test"), "Observed Flaky Test", "Non-observed Flaky Test")</f>
        <v>Non-observed Flaky Test</v>
      </c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</row>
    <row r="125" customFormat="false" ht="15.75" hidden="false" customHeight="true" outlineLevel="0" collapsed="false">
      <c r="A125" s="13"/>
      <c r="B125" s="14" t="s">
        <v>284</v>
      </c>
      <c r="C125" s="14" t="s">
        <v>285</v>
      </c>
      <c r="D125" s="15" t="n">
        <v>0</v>
      </c>
      <c r="E125" s="15" t="n">
        <v>100</v>
      </c>
      <c r="F125" s="16" t="str">
        <f aca="false">IF(AND(D125&gt;0, E125&gt;0), "Observed Flaky Test", "Non-observed Flaky Test")</f>
        <v>Non-observed Flaky Test</v>
      </c>
      <c r="G125" s="17" t="n">
        <v>100</v>
      </c>
      <c r="H125" s="17" t="n">
        <v>0</v>
      </c>
      <c r="I125" s="16" t="str">
        <f aca="false">IF(AND(G125&gt;0, H125&gt;0), "Observed Flaky Test", "Non-observed Flaky Test")</f>
        <v>Non-observed Flaky Test</v>
      </c>
      <c r="J125" s="18" t="n">
        <v>17.64</v>
      </c>
      <c r="K125" s="18" t="n">
        <v>0</v>
      </c>
      <c r="L125" s="19" t="n">
        <f aca="false">IFERROR(K125/J125*100,"N/A")</f>
        <v>0</v>
      </c>
      <c r="M125" s="18" t="n">
        <v>0</v>
      </c>
      <c r="N125" s="18" t="n">
        <v>0</v>
      </c>
      <c r="O125" s="20" t="str">
        <f aca="false">IFERROR(N125/M125*100,"N/A")</f>
        <v>N/A</v>
      </c>
      <c r="P125" s="56" t="str">
        <f aca="false">IF(AND(G125&gt;0, H125=0), IF(ROUND(K125,8)=0, "Group 9: Only Passed | Without variation (SD Passed = 0)", "Group 10: Only Passed | With variation (SD Passed &gt; 0)"), IF(AND(G125=0, H125&gt;0), IF(ROUND(N125,8)=0, "Group 11: Only Failed | Without variation (SD Failed = 0)", "Group 12: Only Failed | With variation (SD Failed &gt; 0)"), IF(AND(G125&gt;0, H125&gt;0), IF(ROUND(J125,5)&lt;&gt;ROUND(M125,5), IF(AND(ROUND(K125,8)=0, ROUND(N125,8)=0), "Group 1: Flaky | Passed (no variation) AND Failed (no variation) | Different Means", IF(AND(ROUND(K125,8)&gt;0, ROUND(N125,8)&gt;0), "Group 2: Flaky | Passed (with variation) AND Failed (with variation) | Different Means", IF(AND(ROUND(K125,8)=0, ROUND(N125,8)&gt;0), "Group 3: Flaky | Passed (no variation) AND Failed (with variation) | Different Means", "Group 4: Flaky | Passed (with variation) AND Failed (no variation) | Different Means"))), IF(AND(ROUND(K125,8)=0, ROUND(N125,8)=0), "Group 5: Flaky | Passed (no variation) AND Failed (no variation) | Equal Means", IF(AND(ROUND(K125,8)&gt;0, ROUND(N125,8)&gt;0), "Group 6: Flaky | Passed (with variation) AND Failed (with variation) | Equal Means", IF(AND(ROUND(K125,8)=0, ROUND(N125,8)&gt;0),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5" s="22" t="n">
        <v>100</v>
      </c>
      <c r="R125" s="22" t="n">
        <v>0</v>
      </c>
      <c r="S125" s="23" t="str">
        <f aca="false">IF(AND(Q125&gt;0, R125&gt;0), "Observed Flaky Test", "Non-observed Flaky Test")</f>
        <v>Non-observed Flaky Test</v>
      </c>
      <c r="T125" s="22" t="n">
        <v>515014.78</v>
      </c>
      <c r="U125" s="24" t="n">
        <v>8.229756</v>
      </c>
      <c r="V125" s="25" t="n">
        <f aca="false">IFERROR(U125/T125*100,"N/A")</f>
        <v>0.00159796501374194</v>
      </c>
      <c r="W125" s="22" t="n">
        <v>0</v>
      </c>
      <c r="X125" s="22" t="n">
        <v>0</v>
      </c>
      <c r="Y125" s="27" t="str">
        <f aca="false">IFERROR(X125/W125*100,"N/A")</f>
        <v>N/A</v>
      </c>
      <c r="Z125" s="50" t="str">
        <f aca="false">IF(AND(Q125&gt;0, R125=0), IF(IFERROR(ROUND(V125,8),0)=0, "Group 9: Only Passed | Without variation (no var CV = 0)", "Group 10: Only Passed | With variation (with var CV &gt; 0)"), IF(AND(Q125=0, R125&gt;0), IF(IFERROR(ROUND(Y125,8),0)=0, "Group 11: Only Failed | Without variation (no var CV = 0)", "Group 12: Only Failed | With variation (with var CV &gt; 0)"), IF(AND(Q125&gt;0, R125&gt;0), IF(ROUND(T125,5)&lt;&gt;ROUND(W125,5), IF(AND(IFERROR(ROUND(V125,8),0)=0, IFERROR(ROUND(Y125,8),0)=0), "Group 1: Flaky | Passed (no variation: CV = 0) AND Failed (no variation: CV = 0) | Different Means", IF(AND(IFERROR(ROUND(V125,8),0)&gt;0, IFERROR(ROUND(Y125,8),0)&gt;0), "Group 2: Flaky | Passed (with variation: CV &gt; 0) AND Failed (with variation: CV &gt; 0) | Different Means", IF(AND(IFERROR(ROUND(V125,8),0)=0, IFERROR(ROUND(Y125,8),0)&gt;0), "Group 3: Flaky | Passed (no variation: CV = 0) AND Failed (with variation: CV &gt; 0) | Different Means", "Group 4: Flaky | Passed (with variation: CV &gt; 0) AND Failed (no variation: CV = 0) | Different Means"))), IF(AND(IFERROR(ROUND(V125,8),0)=0, IFERROR(ROUND(Y125,8),0)=0), "Group 5: Flaky | Passed (no var CV = 0) AND Failed (no var CV = 0) | Equal Means", IF(AND(IFERROR(ROUND(V125,8),0)&gt;0, IFERROR(ROUND(Y125,8),0)&gt;0), "Group 6: Flaky | Passed (with var CV &gt; 0) AND Failed (with var CV &gt; 0) | Equal Means", IF(AND(IFERROR(ROUND(V125,8),0)=0, IFERROR(ROUND(Y125,8),0)&gt;0),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5" s="29" t="n">
        <v>0.319062</v>
      </c>
      <c r="AB125" s="29" t="n">
        <v>0.004323</v>
      </c>
      <c r="AC125" s="29" t="n">
        <f aca="false">IFERROR(AB125/AA125*100,"N/A")</f>
        <v>1.35490907723264</v>
      </c>
      <c r="AD125" s="29" t="n">
        <v>0</v>
      </c>
      <c r="AE125" s="29" t="n">
        <v>0</v>
      </c>
      <c r="AF125" s="29" t="str">
        <f aca="false">IFERROR(AE125/AD125*100,"N/A")</f>
        <v>N/A</v>
      </c>
      <c r="AG125" s="51" t="str">
        <f aca="false">IF(AND(Q125&gt;0, R125=0), IF(IFERROR(ROUND(AC125,8),0)=0, "Group 9: Only Passed | Without variation (no var CV = 0)", "Group 10: Only Passed | With variation (with var CV &gt; 0)"), IF(AND(Q125=0, R125&gt;0), IF(IFERROR(ROUND(AF125,8),0)=0, "Group 11: Only Failed | Without variation (no var CV = 0)", "Group 12: Only Failed | With variation (with var CV &gt; 0)"), IF(AND(Q125&gt;0, R125&gt;0), IF(ROUND(AA125,5)&lt;&gt;ROUND(AD125,5), IF(AND(IFERROR(ROUND(AC125,8),0)=0, IFERROR(ROUND(AF125,8),0)=0), "Group 1: Flaky | Passed (no variation: CV = 0) AND Failed (no variation: CV = 0) | Different Means", IF(AND(IFERROR(ROUND(AC125,8),0)&gt;0, IFERROR(ROUND(AF125,8),0)&gt;0), "Group 2: Flaky | Passed (with variation: CV &gt; 0) AND Failed (with variation: CV &gt; 0) | Different Means", IF(AND(IFERROR(ROUND(AC125,8),0)=0, IFERROR(ROUND(AF125,8),0)&gt;0), "Group 3: Flaky | Passed (no variation: CV = 0) AND Failed (with variation: CV &gt; 0) | Different Means", "Group 4: Flaky | Passed (with variation: CV &gt; 0) AND Failed (no variation: CV = 0) | Different Means"))), IF(AND(IFERROR(ROUND(AC125,8),0)=0, IFERROR(ROUND(AF125,8),0)=0), "Group 5: Flaky | Passed (no var CV = 0) AND Failed (no var CV = 0) | Equal Means", IF(AND(IFERROR(ROUND(AC125,8),0)&gt;0, IFERROR(ROUND(AF125,8),0)&gt;0), "Group 6: Flaky | Passed (with var CV &gt; 0) AND Failed (with var CV &gt; 0) | Equal Means", IF(AND(IFERROR(ROUND(AC125,8),0)=0, IFERROR(ROUND(AF125,8),0)&gt;0),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5" s="22" t="n">
        <v>100</v>
      </c>
      <c r="AI125" s="17" t="n">
        <v>0</v>
      </c>
      <c r="AJ125" s="31" t="str">
        <f aca="false">IF(AND(AH125&gt;0, AI125&gt;0), "Observed Flaky Test", "Non-observed Flaky Test")</f>
        <v>Non-observed Flaky Test</v>
      </c>
      <c r="AK125" s="81" t="n">
        <v>93443.89</v>
      </c>
      <c r="AL125" s="86" t="n">
        <v>3.44332174599828</v>
      </c>
      <c r="AM125" s="33" t="n">
        <f aca="false">IFERROR(AL125/AK125*100,"N/A")</f>
        <v>0.00368490839368768</v>
      </c>
      <c r="AN125" s="32" t="n">
        <v>0</v>
      </c>
      <c r="AO125" s="32" t="n">
        <v>0</v>
      </c>
      <c r="AP125" s="35" t="str">
        <f aca="false">IFERROR(AO125/AN125*100,"N/A")</f>
        <v>N/A</v>
      </c>
      <c r="AQ125" s="52" t="str">
        <f aca="false">IF(AND(AH125&gt;0, AI125&gt;0),
    IF(ROUND(N(AK125),5)&lt;&gt;ROUND(N(AN125),5),
        IF(AND(ROUND(N(AL125),8)=0, ROUND(N(AO125),8)=0), "Group 1: Flaky | Passed (no variation: SD = 0) AND Failed (no variation: SD = 0) | Different Means",
        IF(AND(ROUND(N(AL125),8)&gt;0, ROUND(N(AO125),8)&gt;0), "Group 2: Flaky | Passed (with variation: SD &gt; 0) AND Failed (with variation: SD &gt; 0) | Different Means",
        IF(AND(ROUND(N(AL125),8)=0, ROUND(N(AO125),8)&gt;0), "Group 3: Flaky | Passed (no variation: SD = 0) AND Failed (with variation: SD &gt; 0) | Different Means",
        "Group 4: Flaky | Passed (with variation: SD &gt; 0) AND Failed (no variation: SD = 0) | Different Means"))),
        IF(AND(ROUND(N(AL125),8)=0, ROUND(N(AO125),8)=0), "Group 5: Flaky | Passed (no var SD = 0) AND Failed (no var SD = 0) | Equal Means",
        IF(AND(ROUND(N(AL125),8)&gt;0, ROUND(N(AO125),8)&gt;0), "Group 6: Flaky | Passed (with var SD &gt; 0 ) AND Failed (with var SD &gt; 0) | Equal Means",
        IF(AND(ROUND(N(AL125),8)=0, ROUND(N(AO125),8)&gt;0), "Group 7: Flaky | Passed (no var SD = 0) AND Failed (with var SD &gt; 0) | Equal Means",
        "Group 8: Flaky | Passed (with var SD &gt; 0 ) AND Failed (no var SD = 0) | Equal Means")))
    ),
    IF(AH125&gt;0,
        IF(N(AL125)&gt;0, "Group 10: Only Passed | With variation (with var SD &gt; 0)", "Group 9: Only Passed | Without variation (no var SD = 0)"),
        IF(AI125&gt;0,
            IF(N(AO125)&gt;0,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5" s="37" t="str">
        <f aca="false">IF(OR(F125="Observed Flaky Test", I125="Observed Flaky Test", S125="Observed Flaky Test", AJ125="Observed Flaky Test"), "Observed Flaky Test", "Non-observed Flaky Test")</f>
        <v>Non-observed Flaky Test</v>
      </c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customFormat="false" ht="15.75" hidden="false" customHeight="true" outlineLevel="0" collapsed="false">
      <c r="A126" s="13"/>
      <c r="B126" s="14" t="s">
        <v>286</v>
      </c>
      <c r="C126" s="14" t="s">
        <v>287</v>
      </c>
      <c r="D126" s="15" t="n">
        <v>0</v>
      </c>
      <c r="E126" s="15" t="n">
        <v>100</v>
      </c>
      <c r="F126" s="16" t="str">
        <f aca="false">IF(AND(D126&gt;0, E126&gt;0), "Observed Flaky Test", "Non-observed Flaky Test")</f>
        <v>Non-observed Flaky Test</v>
      </c>
      <c r="G126" s="22" t="n">
        <v>100</v>
      </c>
      <c r="H126" s="22" t="n">
        <v>0</v>
      </c>
      <c r="I126" s="16" t="str">
        <f aca="false">IF(AND(G126&gt;0, H126&gt;0), "Observed Flaky Test", "Non-observed Flaky Test")</f>
        <v>Non-observed Flaky Test</v>
      </c>
      <c r="J126" s="18" t="n">
        <v>16.24</v>
      </c>
      <c r="K126" s="18" t="n">
        <v>0</v>
      </c>
      <c r="L126" s="19" t="n">
        <f aca="false">IFERROR(K126/J126*100,"N/A")</f>
        <v>0</v>
      </c>
      <c r="M126" s="18" t="n">
        <v>0</v>
      </c>
      <c r="N126" s="18" t="n">
        <v>0</v>
      </c>
      <c r="O126" s="20" t="str">
        <f aca="false">IFERROR(N126/M126*100,"N/A")</f>
        <v>N/A</v>
      </c>
      <c r="P126" s="56" t="str">
        <f aca="false">IF(AND(G126&gt;0, H126=0), IF(ROUND(K126,8)=0, "Group 9: Only Passed | Without variation (SD Passed = 0)", "Group 10: Only Passed | With variation (SD Passed &gt; 0)"), IF(AND(G126=0, H126&gt;0), IF(ROUND(N126,8)=0, "Group 11: Only Failed | Without variation (SD Failed = 0)", "Group 12: Only Failed | With variation (SD Failed &gt; 0)"), IF(AND(G126&gt;0, H126&gt;0), IF(ROUND(J126,5)&lt;&gt;ROUND(M126,5), IF(AND(ROUND(K126,8)=0, ROUND(N126,8)=0), "Group 1: Flaky | Passed (no variation) AND Failed (no variation) | Different Means", IF(AND(ROUND(K126,8)&gt;0, ROUND(N126,8)&gt;0), "Group 2: Flaky | Passed (with variation) AND Failed (with variation) | Different Means", IF(AND(ROUND(K126,8)=0, ROUND(N126,8)&gt;0), "Group 3: Flaky | Passed (no variation) AND Failed (with variation) | Different Means", "Group 4: Flaky | Passed (with variation) AND Failed (no variation) | Different Means"))), IF(AND(ROUND(K126,8)=0, ROUND(N126,8)=0), "Group 5: Flaky | Passed (no variation) AND Failed (no variation) | Equal Means", IF(AND(ROUND(K126,8)&gt;0, ROUND(N126,8)&gt;0), "Group 6: Flaky | Passed (with variation) AND Failed (with variation) | Equal Means", IF(AND(ROUND(K126,8)=0, ROUND(N126,8)&gt;0),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6" s="22" t="n">
        <v>100</v>
      </c>
      <c r="R126" s="22" t="n">
        <v>0</v>
      </c>
      <c r="S126" s="23" t="str">
        <f aca="false">IF(AND(Q126&gt;0, R126&gt;0), "Observed Flaky Test", "Non-observed Flaky Test")</f>
        <v>Non-observed Flaky Test</v>
      </c>
      <c r="T126" s="22" t="n">
        <v>550975.07</v>
      </c>
      <c r="U126" s="24" t="n">
        <v>8.273427</v>
      </c>
      <c r="V126" s="25" t="n">
        <f aca="false">IFERROR(U126/T126*100,"N/A")</f>
        <v>0.00150159734087424</v>
      </c>
      <c r="W126" s="22" t="n">
        <v>0</v>
      </c>
      <c r="X126" s="22" t="n">
        <v>0</v>
      </c>
      <c r="Y126" s="27" t="str">
        <f aca="false">IFERROR(X126/W126*100,"N/A")</f>
        <v>N/A</v>
      </c>
      <c r="Z126" s="50" t="str">
        <f aca="false">IF(AND(Q126&gt;0, R126=0), IF(IFERROR(ROUND(V126,8),0)=0, "Group 9: Only Passed | Without variation (no var CV = 0)", "Group 10: Only Passed | With variation (with var CV &gt; 0)"), IF(AND(Q126=0, R126&gt;0), IF(IFERROR(ROUND(Y126,8),0)=0, "Group 11: Only Failed | Without variation (no var CV = 0)", "Group 12: Only Failed | With variation (with var CV &gt; 0)"), IF(AND(Q126&gt;0, R126&gt;0), IF(ROUND(T126,5)&lt;&gt;ROUND(W126,5), IF(AND(IFERROR(ROUND(V126,8),0)=0, IFERROR(ROUND(Y126,8),0)=0), "Group 1: Flaky | Passed (no variation: CV = 0) AND Failed (no variation: CV = 0) | Different Means", IF(AND(IFERROR(ROUND(V126,8),0)&gt;0, IFERROR(ROUND(Y126,8),0)&gt;0), "Group 2: Flaky | Passed (with variation: CV &gt; 0) AND Failed (with variation: CV &gt; 0) | Different Means", IF(AND(IFERROR(ROUND(V126,8),0)=0, IFERROR(ROUND(Y126,8),0)&gt;0), "Group 3: Flaky | Passed (no variation: CV = 0) AND Failed (with variation: CV &gt; 0) | Different Means", "Group 4: Flaky | Passed (with variation: CV &gt; 0) AND Failed (no variation: CV = 0) | Different Means"))), IF(AND(IFERROR(ROUND(V126,8),0)=0, IFERROR(ROUND(Y126,8),0)=0), "Group 5: Flaky | Passed (no var CV = 0) AND Failed (no var CV = 0) | Equal Means", IF(AND(IFERROR(ROUND(V126,8),0)&gt;0, IFERROR(ROUND(Y126,8),0)&gt;0), "Group 6: Flaky | Passed (with var CV &gt; 0) AND Failed (with var CV &gt; 0) | Equal Means", IF(AND(IFERROR(ROUND(V126,8),0)=0, IFERROR(ROUND(Y126,8),0)&gt;0),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6" s="29" t="n">
        <v>0.395445</v>
      </c>
      <c r="AB126" s="29" t="n">
        <v>0.036319</v>
      </c>
      <c r="AC126" s="29" t="n">
        <f aca="false">IFERROR(AB126/AA126*100,"N/A")</f>
        <v>9.18433663341299</v>
      </c>
      <c r="AD126" s="29" t="n">
        <v>0</v>
      </c>
      <c r="AE126" s="29" t="n">
        <v>0</v>
      </c>
      <c r="AF126" s="29" t="str">
        <f aca="false">IFERROR(AE126/AD126*100,"N/A")</f>
        <v>N/A</v>
      </c>
      <c r="AG126" s="51" t="str">
        <f aca="false">IF(AND(Q126&gt;0, R126=0), IF(IFERROR(ROUND(AC126,8),0)=0, "Group 9: Only Passed | Without variation (no var CV = 0)", "Group 10: Only Passed | With variation (with var CV &gt; 0)"), IF(AND(Q126=0, R126&gt;0), IF(IFERROR(ROUND(AF126,8),0)=0, "Group 11: Only Failed | Without variation (no var CV = 0)", "Group 12: Only Failed | With variation (with var CV &gt; 0)"), IF(AND(Q126&gt;0, R126&gt;0), IF(ROUND(AA126,5)&lt;&gt;ROUND(AD126,5), IF(AND(IFERROR(ROUND(AC126,8),0)=0, IFERROR(ROUND(AF126,8),0)=0), "Group 1: Flaky | Passed (no variation: CV = 0) AND Failed (no variation: CV = 0) | Different Means", IF(AND(IFERROR(ROUND(AC126,8),0)&gt;0, IFERROR(ROUND(AF126,8),0)&gt;0), "Group 2: Flaky | Passed (with variation: CV &gt; 0) AND Failed (with variation: CV &gt; 0) | Different Means", IF(AND(IFERROR(ROUND(AC126,8),0)=0, IFERROR(ROUND(AF126,8),0)&gt;0), "Group 3: Flaky | Passed (no variation: CV = 0) AND Failed (with variation: CV &gt; 0) | Different Means", "Group 4: Flaky | Passed (with variation: CV &gt; 0) AND Failed (no variation: CV = 0) | Different Means"))), IF(AND(IFERROR(ROUND(AC126,8),0)=0, IFERROR(ROUND(AF126,8),0)=0), "Group 5: Flaky | Passed (no var CV = 0) AND Failed (no var CV = 0) | Equal Means", IF(AND(IFERROR(ROUND(AC126,8),0)&gt;0, IFERROR(ROUND(AF126,8),0)&gt;0), "Group 6: Flaky | Passed (with var CV &gt; 0) AND Failed (with var CV &gt; 0) | Equal Means", IF(AND(IFERROR(ROUND(AC126,8),0)=0, IFERROR(ROUND(AF126,8),0)&gt;0),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6" s="22" t="n">
        <v>100</v>
      </c>
      <c r="AI126" s="17" t="n">
        <v>0</v>
      </c>
      <c r="AJ126" s="31" t="str">
        <f aca="false">IF(AND(AH126&gt;0, AI126&gt;0), "Observed Flaky Test", "Non-observed Flaky Test")</f>
        <v>Non-observed Flaky Test</v>
      </c>
      <c r="AK126" s="32" t="n">
        <v>65603.46</v>
      </c>
      <c r="AL126" s="82" t="n">
        <v>0.857763123337424</v>
      </c>
      <c r="AM126" s="33" t="n">
        <f aca="false">IFERROR(AL126/AK126*100,"N/A")</f>
        <v>0.00130749677431255</v>
      </c>
      <c r="AN126" s="32" t="n">
        <v>0</v>
      </c>
      <c r="AO126" s="32" t="n">
        <v>0</v>
      </c>
      <c r="AP126" s="35" t="str">
        <f aca="false">IFERROR(AO126/AN126*100,"N/A")</f>
        <v>N/A</v>
      </c>
      <c r="AQ126" s="52" t="str">
        <f aca="false">IF(AND(AH126&gt;0, AI126&gt;0),
    IF(ROUND(N(AK126),5)&lt;&gt;ROUND(N(AN126),5),
        IF(AND(ROUND(N(AL126),8)=0, ROUND(N(AO126),8)=0), "Group 1: Flaky | Passed (no variation: SD = 0) AND Failed (no variation: SD = 0) | Different Means",
        IF(AND(ROUND(N(AL126),8)&gt;0, ROUND(N(AO126),8)&gt;0), "Group 2: Flaky | Passed (with variation: SD &gt; 0) AND Failed (with variation: SD &gt; 0) | Different Means",
        IF(AND(ROUND(N(AL126),8)=0, ROUND(N(AO126),8)&gt;0), "Group 3: Flaky | Passed (no variation: SD = 0) AND Failed (with variation: SD &gt; 0) | Different Means",
        "Group 4: Flaky | Passed (with variation: SD &gt; 0) AND Failed (no variation: SD = 0) | Different Means"))),
        IF(AND(ROUND(N(AL126),8)=0, ROUND(N(AO126),8)=0), "Group 5: Flaky | Passed (no var SD = 0) AND Failed (no var SD = 0) | Equal Means",
        IF(AND(ROUND(N(AL126),8)&gt;0, ROUND(N(AO126),8)&gt;0), "Group 6: Flaky | Passed (with var SD &gt; 0 ) AND Failed (with var SD &gt; 0) | Equal Means",
        IF(AND(ROUND(N(AL126),8)=0, ROUND(N(AO126),8)&gt;0), "Group 7: Flaky | Passed (no var SD = 0) AND Failed (with var SD &gt; 0) | Equal Means",
        "Group 8: Flaky | Passed (with var SD &gt; 0 ) AND Failed (no var SD = 0) | Equal Means")))
    ),
    IF(AH126&gt;0,
        IF(N(AL126)&gt;0, "Group 10: Only Passed | With variation (with var SD &gt; 0)", "Group 9: Only Passed | Without variation (no var SD = 0)"),
        IF(AI126&gt;0,
            IF(N(AO126)&gt;0,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6" s="37" t="str">
        <f aca="false">IF(OR(F126="Observed Flaky Test", I126="Observed Flaky Test", S126="Observed Flaky Test", AJ126="Observed Flaky Test"), "Observed Flaky Test", "Non-observed Flaky Test")</f>
        <v>Non-observed Flaky Test</v>
      </c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</row>
    <row r="127" customFormat="false" ht="15.75" hidden="false" customHeight="true" outlineLevel="0" collapsed="false">
      <c r="A127" s="13"/>
      <c r="B127" s="14" t="s">
        <v>288</v>
      </c>
      <c r="C127" s="14" t="s">
        <v>289</v>
      </c>
      <c r="D127" s="15" t="n">
        <v>0</v>
      </c>
      <c r="E127" s="15" t="n">
        <v>100</v>
      </c>
      <c r="F127" s="16" t="str">
        <f aca="false">IF(AND(D127&gt;0, E127&gt;0), "Observed Flaky Test", "Non-observed Flaky Test")</f>
        <v>Non-observed Flaky Test</v>
      </c>
      <c r="G127" s="17" t="n">
        <v>100</v>
      </c>
      <c r="H127" s="17" t="n">
        <v>0</v>
      </c>
      <c r="I127" s="16" t="str">
        <f aca="false">IF(AND(G127&gt;0, H127&gt;0), "Observed Flaky Test", "Non-observed Flaky Test")</f>
        <v>Non-observed Flaky Test</v>
      </c>
      <c r="J127" s="18" t="n">
        <v>16.05</v>
      </c>
      <c r="K127" s="18" t="n">
        <v>0</v>
      </c>
      <c r="L127" s="19" t="n">
        <f aca="false">IFERROR(K127/J127*100,"N/A")</f>
        <v>0</v>
      </c>
      <c r="M127" s="18" t="n">
        <v>0</v>
      </c>
      <c r="N127" s="18" t="n">
        <v>0</v>
      </c>
      <c r="O127" s="20" t="str">
        <f aca="false">IFERROR(N127/M127*100,"N/A")</f>
        <v>N/A</v>
      </c>
      <c r="P127" s="56" t="str">
        <f aca="false">IF(AND(G127&gt;0, H127=0), IF(ROUND(K127,8)=0, "Group 9: Only Passed | Without variation (SD Passed = 0)", "Group 10: Only Passed | With variation (SD Passed &gt; 0)"), IF(AND(G127=0, H127&gt;0), IF(ROUND(N127,8)=0, "Group 11: Only Failed | Without variation (SD Failed = 0)", "Group 12: Only Failed | With variation (SD Failed &gt; 0)"), IF(AND(G127&gt;0, H127&gt;0), IF(ROUND(J127,5)&lt;&gt;ROUND(M127,5), IF(AND(ROUND(K127,8)=0, ROUND(N127,8)=0), "Group 1: Flaky | Passed (no variation) AND Failed (no variation) | Different Means", IF(AND(ROUND(K127,8)&gt;0, ROUND(N127,8)&gt;0), "Group 2: Flaky | Passed (with variation) AND Failed (with variation) | Different Means", IF(AND(ROUND(K127,8)=0, ROUND(N127,8)&gt;0), "Group 3: Flaky | Passed (no variation) AND Failed (with variation) | Different Means", "Group 4: Flaky | Passed (with variation) AND Failed (no variation) | Different Means"))), IF(AND(ROUND(K127,8)=0, ROUND(N127,8)=0), "Group 5: Flaky | Passed (no variation) AND Failed (no variation) | Equal Means", IF(AND(ROUND(K127,8)&gt;0, ROUND(N127,8)&gt;0), "Group 6: Flaky | Passed (with variation) AND Failed (with variation) | Equal Means", IF(AND(ROUND(K127,8)=0, ROUND(N127,8)&gt;0),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7" s="22" t="n">
        <v>100</v>
      </c>
      <c r="R127" s="22" t="n">
        <v>0</v>
      </c>
      <c r="S127" s="23" t="str">
        <f aca="false">IF(AND(Q127&gt;0, R127&gt;0), "Observed Flaky Test", "Non-observed Flaky Test")</f>
        <v>Non-observed Flaky Test</v>
      </c>
      <c r="T127" s="22" t="n">
        <v>522061.06</v>
      </c>
      <c r="U127" s="24" t="n">
        <v>8.473154</v>
      </c>
      <c r="V127" s="25" t="n">
        <f aca="false">IFERROR(U127/T127*100,"N/A")</f>
        <v>0.00162301972876506</v>
      </c>
      <c r="W127" s="22" t="n">
        <v>0</v>
      </c>
      <c r="X127" s="22" t="n">
        <v>0</v>
      </c>
      <c r="Y127" s="27" t="str">
        <f aca="false">IFERROR(X127/W127*100,"N/A")</f>
        <v>N/A</v>
      </c>
      <c r="Z127" s="50" t="str">
        <f aca="false">IF(AND(Q127&gt;0, R127=0), IF(IFERROR(ROUND(V127,8),0)=0, "Group 9: Only Passed | Without variation (no var CV = 0)", "Group 10: Only Passed | With variation (with var CV &gt; 0)"), IF(AND(Q127=0, R127&gt;0), IF(IFERROR(ROUND(Y127,8),0)=0, "Group 11: Only Failed | Without variation (no var CV = 0)", "Group 12: Only Failed | With variation (with var CV &gt; 0)"), IF(AND(Q127&gt;0, R127&gt;0), IF(ROUND(T127,5)&lt;&gt;ROUND(W127,5), IF(AND(IFERROR(ROUND(V127,8),0)=0, IFERROR(ROUND(Y127,8),0)=0), "Group 1: Flaky | Passed (no variation: CV = 0) AND Failed (no variation: CV = 0) | Different Means", IF(AND(IFERROR(ROUND(V127,8),0)&gt;0, IFERROR(ROUND(Y127,8),0)&gt;0), "Group 2: Flaky | Passed (with variation: CV &gt; 0) AND Failed (with variation: CV &gt; 0) | Different Means", IF(AND(IFERROR(ROUND(V127,8),0)=0, IFERROR(ROUND(Y127,8),0)&gt;0), "Group 3: Flaky | Passed (no variation: CV = 0) AND Failed (with variation: CV &gt; 0) | Different Means", "Group 4: Flaky | Passed (with variation: CV &gt; 0) AND Failed (no variation: CV = 0) | Different Means"))), IF(AND(IFERROR(ROUND(V127,8),0)=0, IFERROR(ROUND(Y127,8),0)=0), "Group 5: Flaky | Passed (no var CV = 0) AND Failed (no var CV = 0) | Equal Means", IF(AND(IFERROR(ROUND(V127,8),0)&gt;0, IFERROR(ROUND(Y127,8),0)&gt;0), "Group 6: Flaky | Passed (with var CV &gt; 0) AND Failed (with var CV &gt; 0) | Equal Means", IF(AND(IFERROR(ROUND(V127,8),0)=0, IFERROR(ROUND(Y127,8),0)&gt;0),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7" s="29" t="n">
        <v>0.318553</v>
      </c>
      <c r="AB127" s="29" t="n">
        <v>0.004633</v>
      </c>
      <c r="AC127" s="29" t="n">
        <f aca="false">IFERROR(AB127/AA127*100,"N/A")</f>
        <v>1.45438906555581</v>
      </c>
      <c r="AD127" s="29" t="n">
        <v>0</v>
      </c>
      <c r="AE127" s="29" t="n">
        <v>0</v>
      </c>
      <c r="AF127" s="29" t="str">
        <f aca="false">IFERROR(AE127/AD127*100,"N/A")</f>
        <v>N/A</v>
      </c>
      <c r="AG127" s="51" t="str">
        <f aca="false">IF(AND(Q127&gt;0, R127=0), IF(IFERROR(ROUND(AC127,8),0)=0, "Group 9: Only Passed | Without variation (no var CV = 0)", "Group 10: Only Passed | With variation (with var CV &gt; 0)"), IF(AND(Q127=0, R127&gt;0), IF(IFERROR(ROUND(AF127,8),0)=0, "Group 11: Only Failed | Without variation (no var CV = 0)", "Group 12: Only Failed | With variation (with var CV &gt; 0)"), IF(AND(Q127&gt;0, R127&gt;0), IF(ROUND(AA127,5)&lt;&gt;ROUND(AD127,5), IF(AND(IFERROR(ROUND(AC127,8),0)=0, IFERROR(ROUND(AF127,8),0)=0), "Group 1: Flaky | Passed (no variation: CV = 0) AND Failed (no variation: CV = 0) | Different Means", IF(AND(IFERROR(ROUND(AC127,8),0)&gt;0, IFERROR(ROUND(AF127,8),0)&gt;0), "Group 2: Flaky | Passed (with variation: CV &gt; 0) AND Failed (with variation: CV &gt; 0) | Different Means", IF(AND(IFERROR(ROUND(AC127,8),0)=0, IFERROR(ROUND(AF127,8),0)&gt;0), "Group 3: Flaky | Passed (no variation: CV = 0) AND Failed (with variation: CV &gt; 0) | Different Means", "Group 4: Flaky | Passed (with variation: CV &gt; 0) AND Failed (no variation: CV = 0) | Different Means"))), IF(AND(IFERROR(ROUND(AC127,8),0)=0, IFERROR(ROUND(AF127,8),0)=0), "Group 5: Flaky | Passed (no var CV = 0) AND Failed (no var CV = 0) | Equal Means", IF(AND(IFERROR(ROUND(AC127,8),0)&gt;0, IFERROR(ROUND(AF127,8),0)&gt;0), "Group 6: Flaky | Passed (with var CV &gt; 0) AND Failed (with var CV &gt; 0) | Equal Means", IF(AND(IFERROR(ROUND(AC127,8),0)=0, IFERROR(ROUND(AF127,8),0)&gt;0),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7" s="22" t="n">
        <v>100</v>
      </c>
      <c r="AI127" s="17" t="n">
        <v>0</v>
      </c>
      <c r="AJ127" s="31" t="str">
        <f aca="false">IF(AND(AH127&gt;0, AI127&gt;0), "Observed Flaky Test", "Non-observed Flaky Test")</f>
        <v>Non-observed Flaky Test</v>
      </c>
      <c r="AK127" s="81" t="n">
        <v>20758.07</v>
      </c>
      <c r="AL127" s="86" t="n">
        <v>97.9552830364318</v>
      </c>
      <c r="AM127" s="33" t="n">
        <f aca="false">IFERROR(AL127/AK127*100,"N/A")</f>
        <v>0.4718901277259</v>
      </c>
      <c r="AN127" s="32" t="n">
        <v>0</v>
      </c>
      <c r="AO127" s="32" t="n">
        <v>0</v>
      </c>
      <c r="AP127" s="35" t="str">
        <f aca="false">IFERROR(AO127/AN127*100,"N/A")</f>
        <v>N/A</v>
      </c>
      <c r="AQ127" s="52" t="str">
        <f aca="false">IF(AND(AH127&gt;0, AI127&gt;0),
    IF(ROUND(N(AK127),5)&lt;&gt;ROUND(N(AN127),5),
        IF(AND(ROUND(N(AL127),8)=0, ROUND(N(AO127),8)=0), "Group 1: Flaky | Passed (no variation: SD = 0) AND Failed (no variation: SD = 0) | Different Means",
        IF(AND(ROUND(N(AL127),8)&gt;0, ROUND(N(AO127),8)&gt;0), "Group 2: Flaky | Passed (with variation: SD &gt; 0) AND Failed (with variation: SD &gt; 0) | Different Means",
        IF(AND(ROUND(N(AL127),8)=0, ROUND(N(AO127),8)&gt;0), "Group 3: Flaky | Passed (no variation: SD = 0) AND Failed (with variation: SD &gt; 0) | Different Means",
        "Group 4: Flaky | Passed (with variation: SD &gt; 0) AND Failed (no variation: SD = 0) | Different Means"))),
        IF(AND(ROUND(N(AL127),8)=0, ROUND(N(AO127),8)=0), "Group 5: Flaky | Passed (no var SD = 0) AND Failed (no var SD = 0) | Equal Means",
        IF(AND(ROUND(N(AL127),8)&gt;0, ROUND(N(AO127),8)&gt;0), "Group 6: Flaky | Passed (with var SD &gt; 0 ) AND Failed (with var SD &gt; 0) | Equal Means",
        IF(AND(ROUND(N(AL127),8)=0, ROUND(N(AO127),8)&gt;0), "Group 7: Flaky | Passed (no var SD = 0) AND Failed (with var SD &gt; 0) | Equal Means",
        "Group 8: Flaky | Passed (with var SD &gt; 0 ) AND Failed (no var SD = 0) | Equal Means")))
    ),
    IF(AH127&gt;0,
        IF(N(AL127)&gt;0, "Group 10: Only Passed | With variation (with var SD &gt; 0)", "Group 9: Only Passed | Without variation (no var SD = 0)"),
        IF(AI127&gt;0,
            IF(N(AO127)&gt;0,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7" s="37" t="str">
        <f aca="false">IF(OR(F127="Observed Flaky Test", I127="Observed Flaky Test", S127="Observed Flaky Test", AJ127="Observed Flaky Test"), "Observed Flaky Test", "Non-observed Flaky Test")</f>
        <v>Non-observed Flaky Test</v>
      </c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</row>
    <row r="128" customFormat="false" ht="15.75" hidden="false" customHeight="true" outlineLevel="0" collapsed="false">
      <c r="A128" s="13"/>
      <c r="B128" s="14" t="s">
        <v>290</v>
      </c>
      <c r="C128" s="14" t="s">
        <v>291</v>
      </c>
      <c r="D128" s="15" t="n">
        <v>0</v>
      </c>
      <c r="E128" s="15" t="n">
        <v>100</v>
      </c>
      <c r="F128" s="16" t="str">
        <f aca="false">IF(AND(D128&gt;0, E128&gt;0), "Observed Flaky Test", "Non-observed Flaky Test")</f>
        <v>Non-observed Flaky Test</v>
      </c>
      <c r="G128" s="22" t="n">
        <v>100</v>
      </c>
      <c r="H128" s="22" t="n">
        <v>0</v>
      </c>
      <c r="I128" s="16" t="str">
        <f aca="false">IF(AND(G128&gt;0, H128&gt;0), "Observed Flaky Test", "Non-observed Flaky Test")</f>
        <v>Non-observed Flaky Test</v>
      </c>
      <c r="J128" s="18" t="n">
        <v>16.17</v>
      </c>
      <c r="K128" s="18" t="n">
        <v>0</v>
      </c>
      <c r="L128" s="19" t="n">
        <f aca="false">IFERROR(K128/J128*100,"N/A")</f>
        <v>0</v>
      </c>
      <c r="M128" s="18" t="n">
        <v>0</v>
      </c>
      <c r="N128" s="18" t="n">
        <v>0</v>
      </c>
      <c r="O128" s="20" t="str">
        <f aca="false">IFERROR(N128/M128*100,"N/A")</f>
        <v>N/A</v>
      </c>
      <c r="P128" s="56" t="str">
        <f aca="false">IF(AND(G128&gt;0, H128=0), IF(ROUND(K128,8)=0, "Group 9: Only Passed | Without variation (SD Passed = 0)", "Group 10: Only Passed | With variation (SD Passed &gt; 0)"), IF(AND(G128=0, H128&gt;0), IF(ROUND(N128,8)=0, "Group 11: Only Failed | Without variation (SD Failed = 0)", "Group 12: Only Failed | With variation (SD Failed &gt; 0)"), IF(AND(G128&gt;0, H128&gt;0), IF(ROUND(J128,5)&lt;&gt;ROUND(M128,5), IF(AND(ROUND(K128,8)=0, ROUND(N128,8)=0), "Group 1: Flaky | Passed (no variation) AND Failed (no variation) | Different Means", IF(AND(ROUND(K128,8)&gt;0, ROUND(N128,8)&gt;0), "Group 2: Flaky | Passed (with variation) AND Failed (with variation) | Different Means", IF(AND(ROUND(K128,8)=0, ROUND(N128,8)&gt;0), "Group 3: Flaky | Passed (no variation) AND Failed (with variation) | Different Means", "Group 4: Flaky | Passed (with variation) AND Failed (no variation) | Different Means"))), IF(AND(ROUND(K128,8)=0, ROUND(N128,8)=0), "Group 5: Flaky | Passed (no variation) AND Failed (no variation) | Equal Means", IF(AND(ROUND(K128,8)&gt;0, ROUND(N128,8)&gt;0), "Group 6: Flaky | Passed (with variation) AND Failed (with variation) | Equal Means", IF(AND(ROUND(K128,8)=0, ROUND(N128,8)&gt;0),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8" s="22" t="n">
        <v>100</v>
      </c>
      <c r="R128" s="22" t="n">
        <v>0</v>
      </c>
      <c r="S128" s="23" t="str">
        <f aca="false">IF(AND(Q128&gt;0, R128&gt;0), "Observed Flaky Test", "Non-observed Flaky Test")</f>
        <v>Non-observed Flaky Test</v>
      </c>
      <c r="T128" s="22" t="n">
        <v>522062.04</v>
      </c>
      <c r="U128" s="24" t="n">
        <v>7.462932</v>
      </c>
      <c r="V128" s="25" t="n">
        <f aca="false">IFERROR(U128/T128*100,"N/A")</f>
        <v>0.00142951056161831</v>
      </c>
      <c r="W128" s="22" t="n">
        <v>0</v>
      </c>
      <c r="X128" s="22" t="n">
        <v>0</v>
      </c>
      <c r="Y128" s="27" t="str">
        <f aca="false">IFERROR(X128/W128*100,"N/A")</f>
        <v>N/A</v>
      </c>
      <c r="Z128" s="50" t="str">
        <f aca="false">IF(AND(Q128&gt;0, R128=0), IF(IFERROR(ROUND(V128,8),0)=0, "Group 9: Only Passed | Without variation (no var CV = 0)", "Group 10: Only Passed | With variation (with var CV &gt; 0)"), IF(AND(Q128=0, R128&gt;0), IF(IFERROR(ROUND(Y128,8),0)=0, "Group 11: Only Failed | Without variation (no var CV = 0)", "Group 12: Only Failed | With variation (with var CV &gt; 0)"), IF(AND(Q128&gt;0, R128&gt;0), IF(ROUND(T128,5)&lt;&gt;ROUND(W128,5), IF(AND(IFERROR(ROUND(V128,8),0)=0, IFERROR(ROUND(Y128,8),0)=0), "Group 1: Flaky | Passed (no variation: CV = 0) AND Failed (no variation: CV = 0) | Different Means", IF(AND(IFERROR(ROUND(V128,8),0)&gt;0, IFERROR(ROUND(Y128,8),0)&gt;0), "Group 2: Flaky | Passed (with variation: CV &gt; 0) AND Failed (with variation: CV &gt; 0) | Different Means", IF(AND(IFERROR(ROUND(V128,8),0)=0, IFERROR(ROUND(Y128,8),0)&gt;0), "Group 3: Flaky | Passed (no variation: CV = 0) AND Failed (with variation: CV &gt; 0) | Different Means", "Group 4: Flaky | Passed (with variation: CV &gt; 0) AND Failed (no variation: CV = 0) | Different Means"))), IF(AND(IFERROR(ROUND(V128,8),0)=0, IFERROR(ROUND(Y128,8),0)=0), "Group 5: Flaky | Passed (no var CV = 0) AND Failed (no var CV = 0) | Equal Means", IF(AND(IFERROR(ROUND(V128,8),0)&gt;0, IFERROR(ROUND(Y128,8),0)&gt;0), "Group 6: Flaky | Passed (with var CV &gt; 0) AND Failed (with var CV &gt; 0) | Equal Means", IF(AND(IFERROR(ROUND(V128,8),0)=0, IFERROR(ROUND(Y128,8),0)&gt;0),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8" s="29" t="n">
        <v>0.32004</v>
      </c>
      <c r="AB128" s="29" t="n">
        <v>0.005767</v>
      </c>
      <c r="AC128" s="29" t="n">
        <f aca="false">IFERROR(AB128/AA128*100,"N/A")</f>
        <v>1.80196225471816</v>
      </c>
      <c r="AD128" s="29" t="n">
        <v>0</v>
      </c>
      <c r="AE128" s="29" t="n">
        <v>0</v>
      </c>
      <c r="AF128" s="29" t="str">
        <f aca="false">IFERROR(AE128/AD128*100,"N/A")</f>
        <v>N/A</v>
      </c>
      <c r="AG128" s="51" t="str">
        <f aca="false">IF(AND(Q128&gt;0, R128=0), IF(IFERROR(ROUND(AC128,8),0)=0, "Group 9: Only Passed | Without variation (no var CV = 0)", "Group 10: Only Passed | With variation (with var CV &gt; 0)"), IF(AND(Q128=0, R128&gt;0), IF(IFERROR(ROUND(AF128,8),0)=0, "Group 11: Only Failed | Without variation (no var CV = 0)", "Group 12: Only Failed | With variation (with var CV &gt; 0)"), IF(AND(Q128&gt;0, R128&gt;0), IF(ROUND(AA128,5)&lt;&gt;ROUND(AD128,5), IF(AND(IFERROR(ROUND(AC128,8),0)=0, IFERROR(ROUND(AF128,8),0)=0), "Group 1: Flaky | Passed (no variation: CV = 0) AND Failed (no variation: CV = 0) | Different Means", IF(AND(IFERROR(ROUND(AC128,8),0)&gt;0, IFERROR(ROUND(AF128,8),0)&gt;0), "Group 2: Flaky | Passed (with variation: CV &gt; 0) AND Failed (with variation: CV &gt; 0) | Different Means", IF(AND(IFERROR(ROUND(AC128,8),0)=0, IFERROR(ROUND(AF128,8),0)&gt;0), "Group 3: Flaky | Passed (no variation: CV = 0) AND Failed (with variation: CV &gt; 0) | Different Means", "Group 4: Flaky | Passed (with variation: CV &gt; 0) AND Failed (no variation: CV = 0) | Different Means"))), IF(AND(IFERROR(ROUND(AC128,8),0)=0, IFERROR(ROUND(AF128,8),0)=0), "Group 5: Flaky | Passed (no var CV = 0) AND Failed (no var CV = 0) | Equal Means", IF(AND(IFERROR(ROUND(AC128,8),0)&gt;0, IFERROR(ROUND(AF128,8),0)&gt;0), "Group 6: Flaky | Passed (with var CV &gt; 0) AND Failed (with var CV &gt; 0) | Equal Means", IF(AND(IFERROR(ROUND(AC128,8),0)=0, IFERROR(ROUND(AF128,8),0)&gt;0),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8" s="22" t="n">
        <v>100</v>
      </c>
      <c r="AI128" s="17" t="n">
        <v>0</v>
      </c>
      <c r="AJ128" s="31" t="str">
        <f aca="false">IF(AND(AH128&gt;0, AI128&gt;0), "Observed Flaky Test", "Non-observed Flaky Test")</f>
        <v>Non-observed Flaky Test</v>
      </c>
      <c r="AK128" s="81" t="n">
        <v>20703.87</v>
      </c>
      <c r="AL128" s="40" t="n">
        <v>89.6256699114193</v>
      </c>
      <c r="AM128" s="33" t="n">
        <f aca="false">IFERROR(AL128/AK128*100,"N/A")</f>
        <v>0.432893318550683</v>
      </c>
      <c r="AN128" s="32" t="n">
        <v>0</v>
      </c>
      <c r="AO128" s="32" t="n">
        <v>0</v>
      </c>
      <c r="AP128" s="35" t="str">
        <f aca="false">IFERROR(AO128/AN128*100,"N/A")</f>
        <v>N/A</v>
      </c>
      <c r="AQ128" s="52" t="str">
        <f aca="false">IF(AND(AH128&gt;0, AI128&gt;0),
    IF(ROUND(N(AK128),5)&lt;&gt;ROUND(N(AN128),5),
        IF(AND(ROUND(N(AL128),8)=0, ROUND(N(AO128),8)=0), "Group 1: Flaky | Passed (no variation: SD = 0) AND Failed (no variation: SD = 0) | Different Means",
        IF(AND(ROUND(N(AL128),8)&gt;0, ROUND(N(AO128),8)&gt;0), "Group 2: Flaky | Passed (with variation: SD &gt; 0) AND Failed (with variation: SD &gt; 0) | Different Means",
        IF(AND(ROUND(N(AL128),8)=0, ROUND(N(AO128),8)&gt;0), "Group 3: Flaky | Passed (no variation: SD = 0) AND Failed (with variation: SD &gt; 0) | Different Means",
        "Group 4: Flaky | Passed (with variation: SD &gt; 0) AND Failed (no variation: SD = 0) | Different Means"))),
        IF(AND(ROUND(N(AL128),8)=0, ROUND(N(AO128),8)=0), "Group 5: Flaky | Passed (no var SD = 0) AND Failed (no var SD = 0) | Equal Means",
        IF(AND(ROUND(N(AL128),8)&gt;0, ROUND(N(AO128),8)&gt;0), "Group 6: Flaky | Passed (with var SD &gt; 0 ) AND Failed (with var SD &gt; 0) | Equal Means",
        IF(AND(ROUND(N(AL128),8)=0, ROUND(N(AO128),8)&gt;0), "Group 7: Flaky | Passed (no var SD = 0) AND Failed (with var SD &gt; 0) | Equal Means",
        "Group 8: Flaky | Passed (with var SD &gt; 0 ) AND Failed (no var SD = 0) | Equal Means")))
    ),
    IF(AH128&gt;0,
        IF(N(AL128)&gt;0, "Group 10: Only Passed | With variation (with var SD &gt; 0)", "Group 9: Only Passed | Without variation (no var SD = 0)"),
        IF(AI128&gt;0,
            IF(N(AO128)&gt;0,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8" s="37" t="str">
        <f aca="false">IF(OR(F128="Observed Flaky Test", I128="Observed Flaky Test", S128="Observed Flaky Test", AJ128="Observed Flaky Test"), "Observed Flaky Test", "Non-observed Flaky Test")</f>
        <v>Non-observed Flaky Test</v>
      </c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customFormat="false" ht="15.75" hidden="false" customHeight="true" outlineLevel="0" collapsed="false">
      <c r="A129" s="13"/>
      <c r="B129" s="14" t="s">
        <v>292</v>
      </c>
      <c r="C129" s="14" t="s">
        <v>293</v>
      </c>
      <c r="D129" s="15" t="n">
        <v>0</v>
      </c>
      <c r="E129" s="15" t="n">
        <v>100</v>
      </c>
      <c r="F129" s="16" t="str">
        <f aca="false">IF(AND(D129&gt;0, E129&gt;0), "Observed Flaky Test", "Non-observed Flaky Test")</f>
        <v>Non-observed Flaky Test</v>
      </c>
      <c r="G129" s="17" t="n">
        <v>100</v>
      </c>
      <c r="H129" s="17" t="n">
        <v>0</v>
      </c>
      <c r="I129" s="16" t="str">
        <f aca="false">IF(AND(G129&gt;0, H129&gt;0), "Observed Flaky Test", "Non-observed Flaky Test")</f>
        <v>Non-observed Flaky Test</v>
      </c>
      <c r="J129" s="18" t="n">
        <v>15.75</v>
      </c>
      <c r="K129" s="18" t="n">
        <v>0</v>
      </c>
      <c r="L129" s="19" t="n">
        <f aca="false">IFERROR(K129/J129*100,"N/A")</f>
        <v>0</v>
      </c>
      <c r="M129" s="18" t="n">
        <v>0</v>
      </c>
      <c r="N129" s="18" t="n">
        <v>0</v>
      </c>
      <c r="O129" s="20" t="str">
        <f aca="false">IFERROR(N129/M129*100,"N/A")</f>
        <v>N/A</v>
      </c>
      <c r="P129" s="56" t="str">
        <f aca="false">IF(AND(G129&gt;0, H129=0), IF(ROUND(K129,8)=0, "Group 9: Only Passed | Without variation (SD Passed = 0)", "Group 10: Only Passed | With variation (SD Passed &gt; 0)"), IF(AND(G129=0, H129&gt;0), IF(ROUND(N129,8)=0, "Group 11: Only Failed | Without variation (SD Failed = 0)", "Group 12: Only Failed | With variation (SD Failed &gt; 0)"), IF(AND(G129&gt;0, H129&gt;0), IF(ROUND(J129,5)&lt;&gt;ROUND(M129,5), IF(AND(ROUND(K129,8)=0, ROUND(N129,8)=0), "Group 1: Flaky | Passed (no variation) AND Failed (no variation) | Different Means", IF(AND(ROUND(K129,8)&gt;0, ROUND(N129,8)&gt;0), "Group 2: Flaky | Passed (with variation) AND Failed (with variation) | Different Means", IF(AND(ROUND(K129,8)=0, ROUND(N129,8)&gt;0), "Group 3: Flaky | Passed (no variation) AND Failed (with variation) | Different Means", "Group 4: Flaky | Passed (with variation) AND Failed (no variation) | Different Means"))), IF(AND(ROUND(K129,8)=0, ROUND(N129,8)=0), "Group 5: Flaky | Passed (no variation) AND Failed (no variation) | Equal Means", IF(AND(ROUND(K129,8)&gt;0, ROUND(N129,8)&gt;0), "Group 6: Flaky | Passed (with variation) AND Failed (with variation) | Equal Means", IF(AND(ROUND(K129,8)=0, ROUND(N129,8)&gt;0),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29" s="22" t="n">
        <v>100</v>
      </c>
      <c r="R129" s="22" t="n">
        <v>0</v>
      </c>
      <c r="S129" s="23" t="str">
        <f aca="false">IF(AND(Q129&gt;0, R129&gt;0), "Observed Flaky Test", "Non-observed Flaky Test")</f>
        <v>Non-observed Flaky Test</v>
      </c>
      <c r="T129" s="22" t="n">
        <v>527396.38</v>
      </c>
      <c r="U129" s="24" t="n">
        <v>8.425287</v>
      </c>
      <c r="V129" s="25" t="n">
        <f aca="false">IFERROR(U129/T129*100,"N/A")</f>
        <v>0.00159752461706317</v>
      </c>
      <c r="W129" s="22" t="n">
        <v>0</v>
      </c>
      <c r="X129" s="22" t="n">
        <v>0</v>
      </c>
      <c r="Y129" s="27" t="str">
        <f aca="false">IFERROR(X129/W129*100,"N/A")</f>
        <v>N/A</v>
      </c>
      <c r="Z129" s="50" t="str">
        <f aca="false">IF(AND(Q129&gt;0, R129=0), IF(IFERROR(ROUND(V129,8),0)=0, "Group 9: Only Passed | Without variation (no var CV = 0)", "Group 10: Only Passed | With variation (with var CV &gt; 0)"), IF(AND(Q129=0, R129&gt;0), IF(IFERROR(ROUND(Y129,8),0)=0, "Group 11: Only Failed | Without variation (no var CV = 0)", "Group 12: Only Failed | With variation (with var CV &gt; 0)"), IF(AND(Q129&gt;0, R129&gt;0), IF(ROUND(T129,5)&lt;&gt;ROUND(W129,5), IF(AND(IFERROR(ROUND(V129,8),0)=0, IFERROR(ROUND(Y129,8),0)=0), "Group 1: Flaky | Passed (no variation: CV = 0) AND Failed (no variation: CV = 0) | Different Means", IF(AND(IFERROR(ROUND(V129,8),0)&gt;0, IFERROR(ROUND(Y129,8),0)&gt;0), "Group 2: Flaky | Passed (with variation: CV &gt; 0) AND Failed (with variation: CV &gt; 0) | Different Means", IF(AND(IFERROR(ROUND(V129,8),0)=0, IFERROR(ROUND(Y129,8),0)&gt;0), "Group 3: Flaky | Passed (no variation: CV = 0) AND Failed (with variation: CV &gt; 0) | Different Means", "Group 4: Flaky | Passed (with variation: CV &gt; 0) AND Failed (no variation: CV = 0) | Different Means"))), IF(AND(IFERROR(ROUND(V129,8),0)=0, IFERROR(ROUND(Y129,8),0)=0), "Group 5: Flaky | Passed (no var CV = 0) AND Failed (no var CV = 0) | Equal Means", IF(AND(IFERROR(ROUND(V129,8),0)&gt;0, IFERROR(ROUND(Y129,8),0)&gt;0), "Group 6: Flaky | Passed (with var CV &gt; 0) AND Failed (with var CV &gt; 0) | Equal Means", IF(AND(IFERROR(ROUND(V129,8),0)=0, IFERROR(ROUND(Y129,8),0)&gt;0),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29" s="29" t="n">
        <v>0.321628</v>
      </c>
      <c r="AB129" s="29" t="n">
        <v>0.00578</v>
      </c>
      <c r="AC129" s="29" t="n">
        <f aca="false">IFERROR(AB129/AA129*100,"N/A")</f>
        <v>1.79710721703334</v>
      </c>
      <c r="AD129" s="29" t="n">
        <v>0</v>
      </c>
      <c r="AE129" s="29" t="n">
        <v>0</v>
      </c>
      <c r="AF129" s="29" t="str">
        <f aca="false">IFERROR(AE129/AD129*100,"N/A")</f>
        <v>N/A</v>
      </c>
      <c r="AG129" s="51" t="str">
        <f aca="false">IF(AND(Q129&gt;0, R129=0), IF(IFERROR(ROUND(AC129,8),0)=0, "Group 9: Only Passed | Without variation (no var CV = 0)", "Group 10: Only Passed | With variation (with var CV &gt; 0)"), IF(AND(Q129=0, R129&gt;0), IF(IFERROR(ROUND(AF129,8),0)=0, "Group 11: Only Failed | Without variation (no var CV = 0)", "Group 12: Only Failed | With variation (with var CV &gt; 0)"), IF(AND(Q129&gt;0, R129&gt;0), IF(ROUND(AA129,5)&lt;&gt;ROUND(AD129,5), IF(AND(IFERROR(ROUND(AC129,8),0)=0, IFERROR(ROUND(AF129,8),0)=0), "Group 1: Flaky | Passed (no variation: CV = 0) AND Failed (no variation: CV = 0) | Different Means", IF(AND(IFERROR(ROUND(AC129,8),0)&gt;0, IFERROR(ROUND(AF129,8),0)&gt;0), "Group 2: Flaky | Passed (with variation: CV &gt; 0) AND Failed (with variation: CV &gt; 0) | Different Means", IF(AND(IFERROR(ROUND(AC129,8),0)=0, IFERROR(ROUND(AF129,8),0)&gt;0), "Group 3: Flaky | Passed (no variation: CV = 0) AND Failed (with variation: CV &gt; 0) | Different Means", "Group 4: Flaky | Passed (with variation: CV &gt; 0) AND Failed (no variation: CV = 0) | Different Means"))), IF(AND(IFERROR(ROUND(AC129,8),0)=0, IFERROR(ROUND(AF129,8),0)=0), "Group 5: Flaky | Passed (no var CV = 0) AND Failed (no var CV = 0) | Equal Means", IF(AND(IFERROR(ROUND(AC129,8),0)&gt;0, IFERROR(ROUND(AF129,8),0)&gt;0), "Group 6: Flaky | Passed (with var CV &gt; 0) AND Failed (with var CV &gt; 0) | Equal Means", IF(AND(IFERROR(ROUND(AC129,8),0)=0, IFERROR(ROUND(AF129,8),0)&gt;0),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29" s="22" t="n">
        <v>100</v>
      </c>
      <c r="AI129" s="17" t="n">
        <v>0</v>
      </c>
      <c r="AJ129" s="31" t="str">
        <f aca="false">IF(AND(AH129&gt;0, AI129&gt;0), "Observed Flaky Test", "Non-observed Flaky Test")</f>
        <v>Non-observed Flaky Test</v>
      </c>
      <c r="AK129" s="81" t="n">
        <v>18951.93</v>
      </c>
      <c r="AL129" s="86" t="n">
        <v>6.08069473702211</v>
      </c>
      <c r="AM129" s="33" t="n">
        <f aca="false">IFERROR(AL129/AK129*100,"N/A")</f>
        <v>0.0320848311334102</v>
      </c>
      <c r="AN129" s="32" t="n">
        <v>0</v>
      </c>
      <c r="AO129" s="32" t="n">
        <v>0</v>
      </c>
      <c r="AP129" s="35" t="str">
        <f aca="false">IFERROR(AO129/AN129*100,"N/A")</f>
        <v>N/A</v>
      </c>
      <c r="AQ129" s="52" t="str">
        <f aca="false">IF(AND(AH129&gt;0, AI129&gt;0),
    IF(ROUND(N(AK129),5)&lt;&gt;ROUND(N(AN129),5),
        IF(AND(ROUND(N(AL129),8)=0, ROUND(N(AO129),8)=0), "Group 1: Flaky | Passed (no variation: SD = 0) AND Failed (no variation: SD = 0) | Different Means",
        IF(AND(ROUND(N(AL129),8)&gt;0, ROUND(N(AO129),8)&gt;0), "Group 2: Flaky | Passed (with variation: SD &gt; 0) AND Failed (with variation: SD &gt; 0) | Different Means",
        IF(AND(ROUND(N(AL129),8)=0, ROUND(N(AO129),8)&gt;0), "Group 3: Flaky | Passed (no variation: SD = 0) AND Failed (with variation: SD &gt; 0) | Different Means",
        "Group 4: Flaky | Passed (with variation: SD &gt; 0) AND Failed (no variation: SD = 0) | Different Means"))),
        IF(AND(ROUND(N(AL129),8)=0, ROUND(N(AO129),8)=0), "Group 5: Flaky | Passed (no var SD = 0) AND Failed (no var SD = 0) | Equal Means",
        IF(AND(ROUND(N(AL129),8)&gt;0, ROUND(N(AO129),8)&gt;0), "Group 6: Flaky | Passed (with var SD &gt; 0 ) AND Failed (with var SD &gt; 0) | Equal Means",
        IF(AND(ROUND(N(AL129),8)=0, ROUND(N(AO129),8)&gt;0), "Group 7: Flaky | Passed (no var SD = 0) AND Failed (with var SD &gt; 0) | Equal Means",
        "Group 8: Flaky | Passed (with var SD &gt; 0 ) AND Failed (no var SD = 0) | Equal Means")))
    ),
    IF(AH129&gt;0,
        IF(N(AL129)&gt;0, "Group 10: Only Passed | With variation (with var SD &gt; 0)", "Group 9: Only Passed | Without variation (no var SD = 0)"),
        IF(AI129&gt;0,
            IF(N(AO129)&gt;0,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29" s="37" t="str">
        <f aca="false">IF(OR(F129="Observed Flaky Test", I129="Observed Flaky Test", S129="Observed Flaky Test", AJ129="Observed Flaky Test"), "Observed Flaky Test", "Non-observed Flaky Test")</f>
        <v>Non-observed Flaky Test</v>
      </c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  <row r="130" customFormat="false" ht="15.75" hidden="false" customHeight="true" outlineLevel="0" collapsed="false">
      <c r="A130" s="13"/>
      <c r="B130" s="14" t="s">
        <v>294</v>
      </c>
      <c r="C130" s="14" t="s">
        <v>295</v>
      </c>
      <c r="D130" s="15" t="n">
        <v>0</v>
      </c>
      <c r="E130" s="15" t="n">
        <v>100</v>
      </c>
      <c r="F130" s="16" t="str">
        <f aca="false">IF(AND(D130&gt;0, E130&gt;0), "Observed Flaky Test", "Non-observed Flaky Test")</f>
        <v>Non-observed Flaky Test</v>
      </c>
      <c r="G130" s="22" t="n">
        <v>100</v>
      </c>
      <c r="H130" s="22" t="n">
        <v>0</v>
      </c>
      <c r="I130" s="16" t="str">
        <f aca="false">IF(AND(G130&gt;0, H130&gt;0), "Observed Flaky Test", "Non-observed Flaky Test")</f>
        <v>Non-observed Flaky Test</v>
      </c>
      <c r="J130" s="18" t="n">
        <v>16.02</v>
      </c>
      <c r="K130" s="18" t="n">
        <v>0</v>
      </c>
      <c r="L130" s="19" t="n">
        <f aca="false">IFERROR(K130/J130*100,"N/A")</f>
        <v>0</v>
      </c>
      <c r="M130" s="18" t="n">
        <v>0</v>
      </c>
      <c r="N130" s="18" t="n">
        <v>0</v>
      </c>
      <c r="O130" s="20" t="str">
        <f aca="false">IFERROR(N130/M130*100,"N/A")</f>
        <v>N/A</v>
      </c>
      <c r="P130" s="56" t="str">
        <f aca="false">IF(AND(G130&gt;0, H130=0), IF(ROUND(K130,8)=0, "Group 9: Only Passed | Without variation (SD Passed = 0)", "Group 10: Only Passed | With variation (SD Passed &gt; 0)"), IF(AND(G130=0, H130&gt;0), IF(ROUND(N130,8)=0, "Group 11: Only Failed | Without variation (SD Failed = 0)", "Group 12: Only Failed | With variation (SD Failed &gt; 0)"), IF(AND(G130&gt;0, H130&gt;0), IF(ROUND(J130,5)&lt;&gt;ROUND(M130,5), IF(AND(ROUND(K130,8)=0, ROUND(N130,8)=0), "Group 1: Flaky | Passed (no variation) AND Failed (no variation) | Different Means", IF(AND(ROUND(K130,8)&gt;0, ROUND(N130,8)&gt;0), "Group 2: Flaky | Passed (with variation) AND Failed (with variation) | Different Means", IF(AND(ROUND(K130,8)=0, ROUND(N130,8)&gt;0), "Group 3: Flaky | Passed (no variation) AND Failed (with variation) | Different Means", "Group 4: Flaky | Passed (with variation) AND Failed (no variation) | Different Means"))), IF(AND(ROUND(K130,8)=0, ROUND(N130,8)=0), "Group 5: Flaky | Passed (no variation) AND Failed (no variation) | Equal Means", IF(AND(ROUND(K130,8)&gt;0, ROUND(N130,8)&gt;0), "Group 6: Flaky | Passed (with variation) AND Failed (with variation) | Equal Means", IF(AND(ROUND(K130,8)=0, ROUND(N130,8)&gt;0),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0" s="22" t="n">
        <v>100</v>
      </c>
      <c r="R130" s="22" t="n">
        <v>0</v>
      </c>
      <c r="S130" s="23" t="str">
        <f aca="false">IF(AND(Q130&gt;0, R130&gt;0), "Observed Flaky Test", "Non-observed Flaky Test")</f>
        <v>Non-observed Flaky Test</v>
      </c>
      <c r="T130" s="22" t="n">
        <v>527620.44</v>
      </c>
      <c r="U130" s="24" t="n">
        <v>8.115729</v>
      </c>
      <c r="V130" s="25" t="n">
        <f aca="false">IFERROR(U130/T130*100,"N/A")</f>
        <v>0.00153817562488671</v>
      </c>
      <c r="W130" s="22" t="n">
        <v>0</v>
      </c>
      <c r="X130" s="22" t="n">
        <v>0</v>
      </c>
      <c r="Y130" s="27" t="str">
        <f aca="false">IFERROR(X130/W130*100,"N/A")</f>
        <v>N/A</v>
      </c>
      <c r="Z130" s="50" t="str">
        <f aca="false">IF(AND(Q130&gt;0, R130=0), IF(IFERROR(ROUND(V130,8),0)=0, "Group 9: Only Passed | Without variation (no var CV = 0)", "Group 10: Only Passed | With variation (with var CV &gt; 0)"), IF(AND(Q130=0, R130&gt;0), IF(IFERROR(ROUND(Y130,8),0)=0, "Group 11: Only Failed | Without variation (no var CV = 0)", "Group 12: Only Failed | With variation (with var CV &gt; 0)"), IF(AND(Q130&gt;0, R130&gt;0), IF(ROUND(T130,5)&lt;&gt;ROUND(W130,5), IF(AND(IFERROR(ROUND(V130,8),0)=0, IFERROR(ROUND(Y130,8),0)=0), "Group 1: Flaky | Passed (no variation: CV = 0) AND Failed (no variation: CV = 0) | Different Means", IF(AND(IFERROR(ROUND(V130,8),0)&gt;0, IFERROR(ROUND(Y130,8),0)&gt;0), "Group 2: Flaky | Passed (with variation: CV &gt; 0) AND Failed (with variation: CV &gt; 0) | Different Means", IF(AND(IFERROR(ROUND(V130,8),0)=0, IFERROR(ROUND(Y130,8),0)&gt;0), "Group 3: Flaky | Passed (no variation: CV = 0) AND Failed (with variation: CV &gt; 0) | Different Means", "Group 4: Flaky | Passed (with variation: CV &gt; 0) AND Failed (no variation: CV = 0) | Different Means"))), IF(AND(IFERROR(ROUND(V130,8),0)=0, IFERROR(ROUND(Y130,8),0)=0), "Group 5: Flaky | Passed (no var CV = 0) AND Failed (no var CV = 0) | Equal Means", IF(AND(IFERROR(ROUND(V130,8),0)&gt;0, IFERROR(ROUND(Y130,8),0)&gt;0), "Group 6: Flaky | Passed (with var CV &gt; 0) AND Failed (with var CV &gt; 0) | Equal Means", IF(AND(IFERROR(ROUND(V130,8),0)=0, IFERROR(ROUND(Y130,8),0)&gt;0),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0" s="29" t="n">
        <v>0.349367</v>
      </c>
      <c r="AB130" s="29" t="n">
        <v>0.004721</v>
      </c>
      <c r="AC130" s="29" t="n">
        <f aca="false">IFERROR(AB130/AA130*100,"N/A")</f>
        <v>1.35130106735897</v>
      </c>
      <c r="AD130" s="29" t="n">
        <v>0</v>
      </c>
      <c r="AE130" s="29" t="n">
        <v>0</v>
      </c>
      <c r="AF130" s="29" t="str">
        <f aca="false">IFERROR(AE130/AD130*100,"N/A")</f>
        <v>N/A</v>
      </c>
      <c r="AG130" s="51" t="str">
        <f aca="false">IF(AND(Q130&gt;0, R130=0), IF(IFERROR(ROUND(AC130,8),0)=0, "Group 9: Only Passed | Without variation (no var CV = 0)", "Group 10: Only Passed | With variation (with var CV &gt; 0)"), IF(AND(Q130=0, R130&gt;0), IF(IFERROR(ROUND(AF130,8),0)=0, "Group 11: Only Failed | Without variation (no var CV = 0)", "Group 12: Only Failed | With variation (with var CV &gt; 0)"), IF(AND(Q130&gt;0, R130&gt;0), IF(ROUND(AA130,5)&lt;&gt;ROUND(AD130,5), IF(AND(IFERROR(ROUND(AC130,8),0)=0, IFERROR(ROUND(AF130,8),0)=0), "Group 1: Flaky | Passed (no variation: CV = 0) AND Failed (no variation: CV = 0) | Different Means", IF(AND(IFERROR(ROUND(AC130,8),0)&gt;0, IFERROR(ROUND(AF130,8),0)&gt;0), "Group 2: Flaky | Passed (with variation: CV &gt; 0) AND Failed (with variation: CV &gt; 0) | Different Means", IF(AND(IFERROR(ROUND(AC130,8),0)=0, IFERROR(ROUND(AF130,8),0)&gt;0), "Group 3: Flaky | Passed (no variation: CV = 0) AND Failed (with variation: CV &gt; 0) | Different Means", "Group 4: Flaky | Passed (with variation: CV &gt; 0) AND Failed (no variation: CV = 0) | Different Means"))), IF(AND(IFERROR(ROUND(AC130,8),0)=0, IFERROR(ROUND(AF130,8),0)=0), "Group 5: Flaky | Passed (no var CV = 0) AND Failed (no var CV = 0) | Equal Means", IF(AND(IFERROR(ROUND(AC130,8),0)&gt;0, IFERROR(ROUND(AF130,8),0)&gt;0), "Group 6: Flaky | Passed (with var CV &gt; 0) AND Failed (with var CV &gt; 0) | Equal Means", IF(AND(IFERROR(ROUND(AC130,8),0)=0, IFERROR(ROUND(AF130,8),0)&gt;0),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0" s="22" t="n">
        <v>100</v>
      </c>
      <c r="AI130" s="17" t="n">
        <v>0</v>
      </c>
      <c r="AJ130" s="31" t="str">
        <f aca="false">IF(AND(AH130&gt;0, AI130&gt;0), "Observed Flaky Test", "Non-observed Flaky Test")</f>
        <v>Non-observed Flaky Test</v>
      </c>
      <c r="AK130" s="32" t="n">
        <v>19933.55</v>
      </c>
      <c r="AL130" s="86" t="n">
        <v>2.96571315967248</v>
      </c>
      <c r="AM130" s="33" t="n">
        <f aca="false">IFERROR(AL130/AK130*100,"N/A")</f>
        <v>0.0148779979465398</v>
      </c>
      <c r="AN130" s="32" t="n">
        <v>0</v>
      </c>
      <c r="AO130" s="32" t="n">
        <v>0</v>
      </c>
      <c r="AP130" s="35" t="str">
        <f aca="false">IFERROR(AO130/AN130*100,"N/A")</f>
        <v>N/A</v>
      </c>
      <c r="AQ130" s="52" t="str">
        <f aca="false">IF(AND(AH130&gt;0, AI130&gt;0),
    IF(ROUND(N(AK130),5)&lt;&gt;ROUND(N(AN130),5),
        IF(AND(ROUND(N(AL130),8)=0, ROUND(N(AO130),8)=0), "Group 1: Flaky | Passed (no variation: SD = 0) AND Failed (no variation: SD = 0) | Different Means",
        IF(AND(ROUND(N(AL130),8)&gt;0, ROUND(N(AO130),8)&gt;0), "Group 2: Flaky | Passed (with variation: SD &gt; 0) AND Failed (with variation: SD &gt; 0) | Different Means",
        IF(AND(ROUND(N(AL130),8)=0, ROUND(N(AO130),8)&gt;0), "Group 3: Flaky | Passed (no variation: SD = 0) AND Failed (with variation: SD &gt; 0) | Different Means",
        "Group 4: Flaky | Passed (with variation: SD &gt; 0) AND Failed (no variation: SD = 0) | Different Means"))),
        IF(AND(ROUND(N(AL130),8)=0, ROUND(N(AO130),8)=0), "Group 5: Flaky | Passed (no var SD = 0) AND Failed (no var SD = 0) | Equal Means",
        IF(AND(ROUND(N(AL130),8)&gt;0, ROUND(N(AO130),8)&gt;0), "Group 6: Flaky | Passed (with var SD &gt; 0 ) AND Failed (with var SD &gt; 0) | Equal Means",
        IF(AND(ROUND(N(AL130),8)=0, ROUND(N(AO130),8)&gt;0), "Group 7: Flaky | Passed (no var SD = 0) AND Failed (with var SD &gt; 0) | Equal Means",
        "Group 8: Flaky | Passed (with var SD &gt; 0 ) AND Failed (no var SD = 0) | Equal Means")))
    ),
    IF(AH130&gt;0,
        IF(N(AL130)&gt;0, "Group 10: Only Passed | With variation (with var SD &gt; 0)", "Group 9: Only Passed | Without variation (no var SD = 0)"),
        IF(AI130&gt;0,
            IF(N(AO130)&gt;0,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0" s="37" t="str">
        <f aca="false">IF(OR(F130="Observed Flaky Test", I130="Observed Flaky Test", S130="Observed Flaky Test", AJ130="Observed Flaky Test"), "Observed Flaky Test", "Non-observed Flaky Test")</f>
        <v>Non-observed Flaky Test</v>
      </c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</row>
    <row r="131" customFormat="false" ht="15.75" hidden="false" customHeight="true" outlineLevel="0" collapsed="false">
      <c r="A131" s="13"/>
      <c r="B131" s="14" t="s">
        <v>296</v>
      </c>
      <c r="C131" s="14" t="s">
        <v>297</v>
      </c>
      <c r="D131" s="15" t="n">
        <v>0</v>
      </c>
      <c r="E131" s="15" t="n">
        <v>100</v>
      </c>
      <c r="F131" s="16" t="str">
        <f aca="false">IF(AND(D131&gt;0, E131&gt;0), "Observed Flaky Test", "Non-observed Flaky Test")</f>
        <v>Non-observed Flaky Test</v>
      </c>
      <c r="G131" s="22" t="n">
        <v>100</v>
      </c>
      <c r="H131" s="22" t="n">
        <v>0</v>
      </c>
      <c r="I131" s="16" t="str">
        <f aca="false">IF(AND(G131&gt;0, H131&gt;0), "Observed Flaky Test", "Non-observed Flaky Test")</f>
        <v>Non-observed Flaky Test</v>
      </c>
      <c r="J131" s="18" t="n">
        <v>16.24</v>
      </c>
      <c r="K131" s="18" t="n">
        <v>0</v>
      </c>
      <c r="L131" s="19" t="n">
        <f aca="false">IFERROR(K131/J131*100,"N/A")</f>
        <v>0</v>
      </c>
      <c r="M131" s="18" t="n">
        <v>0</v>
      </c>
      <c r="N131" s="18" t="n">
        <v>0</v>
      </c>
      <c r="O131" s="20" t="str">
        <f aca="false">IFERROR(N131/M131*100,"N/A")</f>
        <v>N/A</v>
      </c>
      <c r="P131" s="56" t="str">
        <f aca="false">IF(AND(G131&gt;0, H131=0), IF(ROUND(K131,8)=0, "Group 9: Only Passed | Without variation (SD Passed = 0)", "Group 10: Only Passed | With variation (SD Passed &gt; 0)"), IF(AND(G131=0, H131&gt;0), IF(ROUND(N131,8)=0, "Group 11: Only Failed | Without variation (SD Failed = 0)", "Group 12: Only Failed | With variation (SD Failed &gt; 0)"), IF(AND(G131&gt;0, H131&gt;0), IF(ROUND(J131,5)&lt;&gt;ROUND(M131,5), IF(AND(ROUND(K131,8)=0, ROUND(N131,8)=0), "Group 1: Flaky | Passed (no variation) AND Failed (no variation) | Different Means", IF(AND(ROUND(K131,8)&gt;0, ROUND(N131,8)&gt;0), "Group 2: Flaky | Passed (with variation) AND Failed (with variation) | Different Means", IF(AND(ROUND(K131,8)=0, ROUND(N131,8)&gt;0), "Group 3: Flaky | Passed (no variation) AND Failed (with variation) | Different Means", "Group 4: Flaky | Passed (with variation) AND Failed (no variation) | Different Means"))), IF(AND(ROUND(K131,8)=0, ROUND(N131,8)=0), "Group 5: Flaky | Passed (no variation) AND Failed (no variation) | Equal Means", IF(AND(ROUND(K131,8)&gt;0, ROUND(N131,8)&gt;0), "Group 6: Flaky | Passed (with variation) AND Failed (with variation) | Equal Means", IF(AND(ROUND(K131,8)=0, ROUND(N131,8)&gt;0),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1" s="22" t="n">
        <v>100</v>
      </c>
      <c r="R131" s="22" t="n">
        <v>0</v>
      </c>
      <c r="S131" s="23" t="str">
        <f aca="false">IF(AND(Q131&gt;0, R131&gt;0), "Observed Flaky Test", "Non-observed Flaky Test")</f>
        <v>Non-observed Flaky Test</v>
      </c>
      <c r="T131" s="22" t="n">
        <v>528208.07</v>
      </c>
      <c r="U131" s="24" t="n">
        <v>7.781427</v>
      </c>
      <c r="V131" s="25" t="n">
        <f aca="false">IFERROR(U131/T131*100,"N/A")</f>
        <v>0.00147317457682917</v>
      </c>
      <c r="W131" s="22" t="n">
        <v>0</v>
      </c>
      <c r="X131" s="22" t="n">
        <v>0</v>
      </c>
      <c r="Y131" s="27" t="str">
        <f aca="false">IFERROR(X131/W131*100,"N/A")</f>
        <v>N/A</v>
      </c>
      <c r="Z131" s="50" t="str">
        <f aca="false">IF(AND(Q131&gt;0, R131=0), IF(IFERROR(ROUND(V131,8),0)=0, "Group 9: Only Passed | Without variation (no var CV = 0)", "Group 10: Only Passed | With variation (with var CV &gt; 0)"), IF(AND(Q131=0, R131&gt;0), IF(IFERROR(ROUND(Y131,8),0)=0, "Group 11: Only Failed | Without variation (no var CV = 0)", "Group 12: Only Failed | With variation (with var CV &gt; 0)"), IF(AND(Q131&gt;0, R131&gt;0), IF(ROUND(T131,5)&lt;&gt;ROUND(W131,5), IF(AND(IFERROR(ROUND(V131,8),0)=0, IFERROR(ROUND(Y131,8),0)=0), "Group 1: Flaky | Passed (no variation: CV = 0) AND Failed (no variation: CV = 0) | Different Means", IF(AND(IFERROR(ROUND(V131,8),0)&gt;0, IFERROR(ROUND(Y131,8),0)&gt;0), "Group 2: Flaky | Passed (with variation: CV &gt; 0) AND Failed (with variation: CV &gt; 0) | Different Means", IF(AND(IFERROR(ROUND(V131,8),0)=0, IFERROR(ROUND(Y131,8),0)&gt;0), "Group 3: Flaky | Passed (no variation: CV = 0) AND Failed (with variation: CV &gt; 0) | Different Means", "Group 4: Flaky | Passed (with variation: CV &gt; 0) AND Failed (no variation: CV = 0) | Different Means"))), IF(AND(IFERROR(ROUND(V131,8),0)=0, IFERROR(ROUND(Y131,8),0)=0), "Group 5: Flaky | Passed (no var CV = 0) AND Failed (no var CV = 0) | Equal Means", IF(AND(IFERROR(ROUND(V131,8),0)&gt;0, IFERROR(ROUND(Y131,8),0)&gt;0), "Group 6: Flaky | Passed (with var CV &gt; 0) AND Failed (with var CV &gt; 0) | Equal Means", IF(AND(IFERROR(ROUND(V131,8),0)=0, IFERROR(ROUND(Y131,8),0)&gt;0),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1" s="29" t="n">
        <v>0.342622</v>
      </c>
      <c r="AB131" s="29" t="n">
        <v>0.011967</v>
      </c>
      <c r="AC131" s="29" t="n">
        <f aca="false">IFERROR(AB131/AA131*100,"N/A")</f>
        <v>3.49277045840606</v>
      </c>
      <c r="AD131" s="29" t="n">
        <v>0</v>
      </c>
      <c r="AE131" s="29" t="n">
        <v>0</v>
      </c>
      <c r="AF131" s="29" t="str">
        <f aca="false">IFERROR(AE131/AD131*100,"N/A")</f>
        <v>N/A</v>
      </c>
      <c r="AG131" s="51" t="str">
        <f aca="false">IF(AND(Q131&gt;0, R131=0), IF(IFERROR(ROUND(AC131,8),0)=0, "Group 9: Only Passed | Without variation (no var CV = 0)", "Group 10: Only Passed | With variation (with var CV &gt; 0)"), IF(AND(Q131=0, R131&gt;0), IF(IFERROR(ROUND(AF131,8),0)=0, "Group 11: Only Failed | Without variation (no var CV = 0)", "Group 12: Only Failed | With variation (with var CV &gt; 0)"), IF(AND(Q131&gt;0, R131&gt;0), IF(ROUND(AA131,5)&lt;&gt;ROUND(AD131,5), IF(AND(IFERROR(ROUND(AC131,8),0)=0, IFERROR(ROUND(AF131,8),0)=0), "Group 1: Flaky | Passed (no variation: CV = 0) AND Failed (no variation: CV = 0) | Different Means", IF(AND(IFERROR(ROUND(AC131,8),0)&gt;0, IFERROR(ROUND(AF131,8),0)&gt;0), "Group 2: Flaky | Passed (with variation: CV &gt; 0) AND Failed (with variation: CV &gt; 0) | Different Means", IF(AND(IFERROR(ROUND(AC131,8),0)=0, IFERROR(ROUND(AF131,8),0)&gt;0), "Group 3: Flaky | Passed (no variation: CV = 0) AND Failed (with variation: CV &gt; 0) | Different Means", "Group 4: Flaky | Passed (with variation: CV &gt; 0) AND Failed (no variation: CV = 0) | Different Means"))), IF(AND(IFERROR(ROUND(AC131,8),0)=0, IFERROR(ROUND(AF131,8),0)=0), "Group 5: Flaky | Passed (no var CV = 0) AND Failed (no var CV = 0) | Equal Means", IF(AND(IFERROR(ROUND(AC131,8),0)&gt;0, IFERROR(ROUND(AF131,8),0)&gt;0), "Group 6: Flaky | Passed (with var CV &gt; 0) AND Failed (with var CV &gt; 0) | Equal Means", IF(AND(IFERROR(ROUND(AC131,8),0)=0, IFERROR(ROUND(AF131,8),0)&gt;0),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1" s="22" t="n">
        <v>100</v>
      </c>
      <c r="AI131" s="17" t="n">
        <v>0</v>
      </c>
      <c r="AJ131" s="31" t="str">
        <f aca="false">IF(AND(AH131&gt;0, AI131&gt;0), "Observed Flaky Test", "Non-observed Flaky Test")</f>
        <v>Non-observed Flaky Test</v>
      </c>
      <c r="AK131" s="32" t="n">
        <v>33781.93</v>
      </c>
      <c r="AL131" s="40" t="n">
        <v>72.3356730525098</v>
      </c>
      <c r="AM131" s="33" t="n">
        <f aca="false">IFERROR(AL131/AK131*100,"N/A")</f>
        <v>0.21412534172118</v>
      </c>
      <c r="AN131" s="32" t="n">
        <v>0</v>
      </c>
      <c r="AO131" s="32" t="n">
        <v>0</v>
      </c>
      <c r="AP131" s="35" t="str">
        <f aca="false">IFERROR(AO131/AN131*100,"N/A")</f>
        <v>N/A</v>
      </c>
      <c r="AQ131" s="52" t="str">
        <f aca="false">IF(AND(AH131&gt;0, AI131&gt;0),
    IF(ROUND(N(AK131),5)&lt;&gt;ROUND(N(AN131),5),
        IF(AND(ROUND(N(AL131),8)=0, ROUND(N(AO131),8)=0), "Group 1: Flaky | Passed (no variation: SD = 0) AND Failed (no variation: SD = 0) | Different Means",
        IF(AND(ROUND(N(AL131),8)&gt;0, ROUND(N(AO131),8)&gt;0), "Group 2: Flaky | Passed (with variation: SD &gt; 0) AND Failed (with variation: SD &gt; 0) | Different Means",
        IF(AND(ROUND(N(AL131),8)=0, ROUND(N(AO131),8)&gt;0), "Group 3: Flaky | Passed (no variation: SD = 0) AND Failed (with variation: SD &gt; 0) | Different Means",
        "Group 4: Flaky | Passed (with variation: SD &gt; 0) AND Failed (no variation: SD = 0) | Different Means"))),
        IF(AND(ROUND(N(AL131),8)=0, ROUND(N(AO131),8)=0), "Group 5: Flaky | Passed (no var SD = 0) AND Failed (no var SD = 0) | Equal Means",
        IF(AND(ROUND(N(AL131),8)&gt;0, ROUND(N(AO131),8)&gt;0), "Group 6: Flaky | Passed (with var SD &gt; 0 ) AND Failed (with var SD &gt; 0) | Equal Means",
        IF(AND(ROUND(N(AL131),8)=0, ROUND(N(AO131),8)&gt;0), "Group 7: Flaky | Passed (no var SD = 0) AND Failed (with var SD &gt; 0) | Equal Means",
        "Group 8: Flaky | Passed (with var SD &gt; 0 ) AND Failed (no var SD = 0) | Equal Means")))
    ),
    IF(AH131&gt;0,
        IF(N(AL131)&gt;0, "Group 10: Only Passed | With variation (with var SD &gt; 0)", "Group 9: Only Passed | Without variation (no var SD = 0)"),
        IF(AI131&gt;0,
            IF(N(AO131)&gt;0,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1" s="37" t="str">
        <f aca="false">IF(OR(F131="Observed Flaky Test", I131="Observed Flaky Test", S131="Observed Flaky Test", AJ131="Observed Flaky Test"), "Observed Flaky Test", "Non-observed Flaky Test")</f>
        <v>Non-observed Flaky Test</v>
      </c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</row>
    <row r="132" customFormat="false" ht="15.75" hidden="false" customHeight="true" outlineLevel="0" collapsed="false">
      <c r="A132" s="13"/>
      <c r="B132" s="14" t="s">
        <v>298</v>
      </c>
      <c r="C132" s="14" t="s">
        <v>299</v>
      </c>
      <c r="D132" s="15" t="n">
        <v>0</v>
      </c>
      <c r="E132" s="15" t="n">
        <v>100</v>
      </c>
      <c r="F132" s="16" t="str">
        <f aca="false">IF(AND(D132&gt;0, E132&gt;0), "Observed Flaky Test", "Non-observed Flaky Test")</f>
        <v>Non-observed Flaky Test</v>
      </c>
      <c r="G132" s="17" t="n">
        <v>100</v>
      </c>
      <c r="H132" s="17" t="n">
        <v>0</v>
      </c>
      <c r="I132" s="16" t="str">
        <f aca="false">IF(AND(G132&gt;0, H132&gt;0), "Observed Flaky Test", "Non-observed Flaky Test")</f>
        <v>Non-observed Flaky Test</v>
      </c>
      <c r="J132" s="18" t="n">
        <v>16</v>
      </c>
      <c r="K132" s="18" t="n">
        <v>0</v>
      </c>
      <c r="L132" s="19" t="n">
        <f aca="false">IFERROR(K132/J132*100,"N/A")</f>
        <v>0</v>
      </c>
      <c r="M132" s="18" t="n">
        <v>0</v>
      </c>
      <c r="N132" s="18" t="n">
        <v>0</v>
      </c>
      <c r="O132" s="20" t="str">
        <f aca="false">IFERROR(N132/M132*100,"N/A")</f>
        <v>N/A</v>
      </c>
      <c r="P132" s="56" t="str">
        <f aca="false">IF(AND(G132&gt;0, H132=0), IF(ROUND(K132,8)=0, "Group 9: Only Passed | Without variation (SD Passed = 0)", "Group 10: Only Passed | With variation (SD Passed &gt; 0)"), IF(AND(G132=0, H132&gt;0), IF(ROUND(N132,8)=0, "Group 11: Only Failed | Without variation (SD Failed = 0)", "Group 12: Only Failed | With variation (SD Failed &gt; 0)"), IF(AND(G132&gt;0, H132&gt;0), IF(ROUND(J132,5)&lt;&gt;ROUND(M132,5), IF(AND(ROUND(K132,8)=0, ROUND(N132,8)=0), "Group 1: Flaky | Passed (no variation) AND Failed (no variation) | Different Means", IF(AND(ROUND(K132,8)&gt;0, ROUND(N132,8)&gt;0), "Group 2: Flaky | Passed (with variation) AND Failed (with variation) | Different Means", IF(AND(ROUND(K132,8)=0, ROUND(N132,8)&gt;0), "Group 3: Flaky | Passed (no variation) AND Failed (with variation) | Different Means", "Group 4: Flaky | Passed (with variation) AND Failed (no variation) | Different Means"))), IF(AND(ROUND(K132,8)=0, ROUND(N132,8)=0), "Group 5: Flaky | Passed (no variation) AND Failed (no variation) | Equal Means", IF(AND(ROUND(K132,8)&gt;0, ROUND(N132,8)&gt;0), "Group 6: Flaky | Passed (with variation) AND Failed (with variation) | Equal Means", IF(AND(ROUND(K132,8)=0, ROUND(N132,8)&gt;0),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2" s="22" t="n">
        <v>100</v>
      </c>
      <c r="R132" s="22" t="n">
        <v>0</v>
      </c>
      <c r="S132" s="23" t="str">
        <f aca="false">IF(AND(Q132&gt;0, R132&gt;0), "Observed Flaky Test", "Non-observed Flaky Test")</f>
        <v>Non-observed Flaky Test</v>
      </c>
      <c r="T132" s="22" t="n">
        <v>527620.02</v>
      </c>
      <c r="U132" s="24" t="n">
        <v>7.998712</v>
      </c>
      <c r="V132" s="25" t="n">
        <f aca="false">IFERROR(U132/T132*100,"N/A")</f>
        <v>0.00151599857791598</v>
      </c>
      <c r="W132" s="22" t="n">
        <v>0</v>
      </c>
      <c r="X132" s="22" t="n">
        <v>0</v>
      </c>
      <c r="Y132" s="27" t="str">
        <f aca="false">IFERROR(X132/W132*100,"N/A")</f>
        <v>N/A</v>
      </c>
      <c r="Z132" s="50" t="str">
        <f aca="false">IF(AND(Q132&gt;0, R132=0), IF(IFERROR(ROUND(V132,8),0)=0, "Group 9: Only Passed | Without variation (no var CV = 0)", "Group 10: Only Passed | With variation (with var CV &gt; 0)"), IF(AND(Q132=0, R132&gt;0), IF(IFERROR(ROUND(Y132,8),0)=0, "Group 11: Only Failed | Without variation (no var CV = 0)", "Group 12: Only Failed | With variation (with var CV &gt; 0)"), IF(AND(Q132&gt;0, R132&gt;0), IF(ROUND(T132,5)&lt;&gt;ROUND(W132,5), IF(AND(IFERROR(ROUND(V132,8),0)=0, IFERROR(ROUND(Y132,8),0)=0), "Group 1: Flaky | Passed (no variation: CV = 0) AND Failed (no variation: CV = 0) | Different Means", IF(AND(IFERROR(ROUND(V132,8),0)&gt;0, IFERROR(ROUND(Y132,8),0)&gt;0), "Group 2: Flaky | Passed (with variation: CV &gt; 0) AND Failed (with variation: CV &gt; 0) | Different Means", IF(AND(IFERROR(ROUND(V132,8),0)=0, IFERROR(ROUND(Y132,8),0)&gt;0), "Group 3: Flaky | Passed (no variation: CV = 0) AND Failed (with variation: CV &gt; 0) | Different Means", "Group 4: Flaky | Passed (with variation: CV &gt; 0) AND Failed (no variation: CV = 0) | Different Means"))), IF(AND(IFERROR(ROUND(V132,8),0)=0, IFERROR(ROUND(Y132,8),0)=0), "Group 5: Flaky | Passed (no var CV = 0) AND Failed (no var CV = 0) | Equal Means", IF(AND(IFERROR(ROUND(V132,8),0)&gt;0, IFERROR(ROUND(Y132,8),0)&gt;0), "Group 6: Flaky | Passed (with var CV &gt; 0) AND Failed (with var CV &gt; 0) | Equal Means", IF(AND(IFERROR(ROUND(V132,8),0)=0, IFERROR(ROUND(Y132,8),0)&gt;0),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2" s="29" t="n">
        <v>0.350443</v>
      </c>
      <c r="AB132" s="29" t="n">
        <v>0.005064</v>
      </c>
      <c r="AC132" s="29" t="n">
        <f aca="false">IFERROR(AB132/AA132*100,"N/A")</f>
        <v>1.44502815008432</v>
      </c>
      <c r="AD132" s="29" t="n">
        <v>0</v>
      </c>
      <c r="AE132" s="29" t="n">
        <v>0</v>
      </c>
      <c r="AF132" s="29" t="str">
        <f aca="false">IFERROR(AE132/AD132*100,"N/A")</f>
        <v>N/A</v>
      </c>
      <c r="AG132" s="51" t="str">
        <f aca="false">IF(AND(Q132&gt;0, R132=0), IF(IFERROR(ROUND(AC132,8),0)=0, "Group 9: Only Passed | Without variation (no var CV = 0)", "Group 10: Only Passed | With variation (with var CV &gt; 0)"), IF(AND(Q132=0, R132&gt;0), IF(IFERROR(ROUND(AF132,8),0)=0, "Group 11: Only Failed | Without variation (no var CV = 0)", "Group 12: Only Failed | With variation (with var CV &gt; 0)"), IF(AND(Q132&gt;0, R132&gt;0), IF(ROUND(AA132,5)&lt;&gt;ROUND(AD132,5), IF(AND(IFERROR(ROUND(AC132,8),0)=0, IFERROR(ROUND(AF132,8),0)=0), "Group 1: Flaky | Passed (no variation: CV = 0) AND Failed (no variation: CV = 0) | Different Means", IF(AND(IFERROR(ROUND(AC132,8),0)&gt;0, IFERROR(ROUND(AF132,8),0)&gt;0), "Group 2: Flaky | Passed (with variation: CV &gt; 0) AND Failed (with variation: CV &gt; 0) | Different Means", IF(AND(IFERROR(ROUND(AC132,8),0)=0, IFERROR(ROUND(AF132,8),0)&gt;0), "Group 3: Flaky | Passed (no variation: CV = 0) AND Failed (with variation: CV &gt; 0) | Different Means", "Group 4: Flaky | Passed (with variation: CV &gt; 0) AND Failed (no variation: CV = 0) | Different Means"))), IF(AND(IFERROR(ROUND(AC132,8),0)=0, IFERROR(ROUND(AF132,8),0)=0), "Group 5: Flaky | Passed (no var CV = 0) AND Failed (no var CV = 0) | Equal Means", IF(AND(IFERROR(ROUND(AC132,8),0)&gt;0, IFERROR(ROUND(AF132,8),0)&gt;0), "Group 6: Flaky | Passed (with var CV &gt; 0) AND Failed (with var CV &gt; 0) | Equal Means", IF(AND(IFERROR(ROUND(AC132,8),0)=0, IFERROR(ROUND(AF132,8),0)&gt;0),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2" s="22" t="n">
        <v>100</v>
      </c>
      <c r="AI132" s="17" t="n">
        <v>0</v>
      </c>
      <c r="AJ132" s="31" t="str">
        <f aca="false">IF(AND(AH132&gt;0, AI132&gt;0), "Observed Flaky Test", "Non-observed Flaky Test")</f>
        <v>Non-observed Flaky Test</v>
      </c>
      <c r="AK132" s="32" t="n">
        <v>20215.25</v>
      </c>
      <c r="AL132" s="86" t="n">
        <v>2.96230527212381</v>
      </c>
      <c r="AM132" s="33" t="n">
        <f aca="false">IFERROR(AL132/AK132*100,"N/A")</f>
        <v>0.0146538146801242</v>
      </c>
      <c r="AN132" s="32" t="n">
        <v>0</v>
      </c>
      <c r="AO132" s="32" t="n">
        <v>0</v>
      </c>
      <c r="AP132" s="35" t="str">
        <f aca="false">IFERROR(AO132/AN132*100,"N/A")</f>
        <v>N/A</v>
      </c>
      <c r="AQ132" s="52" t="str">
        <f aca="false">IF(AND(AH132&gt;0, AI132&gt;0),
    IF(ROUND(N(AK132),5)&lt;&gt;ROUND(N(AN132),5),
        IF(AND(ROUND(N(AL132),8)=0, ROUND(N(AO132),8)=0), "Group 1: Flaky | Passed (no variation: SD = 0) AND Failed (no variation: SD = 0) | Different Means",
        IF(AND(ROUND(N(AL132),8)&gt;0, ROUND(N(AO132),8)&gt;0), "Group 2: Flaky | Passed (with variation: SD &gt; 0) AND Failed (with variation: SD &gt; 0) | Different Means",
        IF(AND(ROUND(N(AL132),8)=0, ROUND(N(AO132),8)&gt;0), "Group 3: Flaky | Passed (no variation: SD = 0) AND Failed (with variation: SD &gt; 0) | Different Means",
        "Group 4: Flaky | Passed (with variation: SD &gt; 0) AND Failed (no variation: SD = 0) | Different Means"))),
        IF(AND(ROUND(N(AL132),8)=0, ROUND(N(AO132),8)=0), "Group 5: Flaky | Passed (no var SD = 0) AND Failed (no var SD = 0) | Equal Means",
        IF(AND(ROUND(N(AL132),8)&gt;0, ROUND(N(AO132),8)&gt;0), "Group 6: Flaky | Passed (with var SD &gt; 0 ) AND Failed (with var SD &gt; 0) | Equal Means",
        IF(AND(ROUND(N(AL132),8)=0, ROUND(N(AO132),8)&gt;0), "Group 7: Flaky | Passed (no var SD = 0) AND Failed (with var SD &gt; 0) | Equal Means",
        "Group 8: Flaky | Passed (with var SD &gt; 0 ) AND Failed (no var SD = 0) | Equal Means")))
    ),
    IF(AH132&gt;0,
        IF(N(AL132)&gt;0, "Group 10: Only Passed | With variation (with var SD &gt; 0)", "Group 9: Only Passed | Without variation (no var SD = 0)"),
        IF(AI132&gt;0,
            IF(N(AO132)&gt;0,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2" s="37" t="str">
        <f aca="false">IF(OR(F132="Observed Flaky Test", I132="Observed Flaky Test", S132="Observed Flaky Test", AJ132="Observed Flaky Test"), "Observed Flaky Test", "Non-observed Flaky Test")</f>
        <v>Non-observed Flaky Test</v>
      </c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</row>
    <row r="133" customFormat="false" ht="15.75" hidden="false" customHeight="true" outlineLevel="0" collapsed="false">
      <c r="A133" s="13"/>
      <c r="B133" s="14" t="s">
        <v>300</v>
      </c>
      <c r="C133" s="14" t="s">
        <v>301</v>
      </c>
      <c r="D133" s="15" t="n">
        <v>0</v>
      </c>
      <c r="E133" s="15" t="n">
        <v>100</v>
      </c>
      <c r="F133" s="16" t="str">
        <f aca="false">IF(AND(D133&gt;0, E133&gt;0), "Observed Flaky Test", "Non-observed Flaky Test")</f>
        <v>Non-observed Flaky Test</v>
      </c>
      <c r="G133" s="22" t="n">
        <v>100</v>
      </c>
      <c r="H133" s="22" t="n">
        <v>0</v>
      </c>
      <c r="I133" s="16" t="str">
        <f aca="false">IF(AND(G133&gt;0, H133&gt;0), "Observed Flaky Test", "Non-observed Flaky Test")</f>
        <v>Non-observed Flaky Test</v>
      </c>
      <c r="J133" s="18" t="n">
        <v>16.7</v>
      </c>
      <c r="K133" s="18" t="n">
        <v>0</v>
      </c>
      <c r="L133" s="19" t="n">
        <f aca="false">IFERROR(K133/J133*100,"N/A")</f>
        <v>0</v>
      </c>
      <c r="M133" s="18" t="n">
        <v>0</v>
      </c>
      <c r="N133" s="18" t="n">
        <v>0</v>
      </c>
      <c r="O133" s="20" t="str">
        <f aca="false">IFERROR(N133/M133*100,"N/A")</f>
        <v>N/A</v>
      </c>
      <c r="P133" s="56" t="str">
        <f aca="false">IF(AND(G133&gt;0, H133=0), IF(ROUND(K133,8)=0, "Group 9: Only Passed | Without variation (SD Passed = 0)", "Group 10: Only Passed | With variation (SD Passed &gt; 0)"), IF(AND(G133=0, H133&gt;0), IF(ROUND(N133,8)=0, "Group 11: Only Failed | Without variation (SD Failed = 0)", "Group 12: Only Failed | With variation (SD Failed &gt; 0)"), IF(AND(G133&gt;0, H133&gt;0), IF(ROUND(J133,5)&lt;&gt;ROUND(M133,5), IF(AND(ROUND(K133,8)=0, ROUND(N133,8)=0), "Group 1: Flaky | Passed (no variation) AND Failed (no variation) | Different Means", IF(AND(ROUND(K133,8)&gt;0, ROUND(N133,8)&gt;0), "Group 2: Flaky | Passed (with variation) AND Failed (with variation) | Different Means", IF(AND(ROUND(K133,8)=0, ROUND(N133,8)&gt;0), "Group 3: Flaky | Passed (no variation) AND Failed (with variation) | Different Means", "Group 4: Flaky | Passed (with variation) AND Failed (no variation) | Different Means"))), IF(AND(ROUND(K133,8)=0, ROUND(N133,8)=0), "Group 5: Flaky | Passed (no variation) AND Failed (no variation) | Equal Means", IF(AND(ROUND(K133,8)&gt;0, ROUND(N133,8)&gt;0), "Group 6: Flaky | Passed (with variation) AND Failed (with variation) | Equal Means", IF(AND(ROUND(K133,8)=0, ROUND(N133,8)&gt;0),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3" s="22" t="n">
        <v>100</v>
      </c>
      <c r="R133" s="22" t="n">
        <v>0</v>
      </c>
      <c r="S133" s="23" t="str">
        <f aca="false">IF(AND(Q133&gt;0, R133&gt;0), "Observed Flaky Test", "Non-observed Flaky Test")</f>
        <v>Non-observed Flaky Test</v>
      </c>
      <c r="T133" s="22" t="n">
        <v>528659.68</v>
      </c>
      <c r="U133" s="24" t="n">
        <v>8.19692</v>
      </c>
      <c r="V133" s="25" t="n">
        <f aca="false">IFERROR(U133/T133*100,"N/A")</f>
        <v>0.00155050977218463</v>
      </c>
      <c r="W133" s="22" t="n">
        <v>0</v>
      </c>
      <c r="X133" s="22" t="n">
        <v>0</v>
      </c>
      <c r="Y133" s="27" t="str">
        <f aca="false">IFERROR(X133/W133*100,"N/A")</f>
        <v>N/A</v>
      </c>
      <c r="Z133" s="50" t="str">
        <f aca="false">IF(AND(Q133&gt;0, R133=0), IF(IFERROR(ROUND(V133,8),0)=0, "Group 9: Only Passed | Without variation (no var CV = 0)", "Group 10: Only Passed | With variation (with var CV &gt; 0)"), IF(AND(Q133=0, R133&gt;0), IF(IFERROR(ROUND(Y133,8),0)=0, "Group 11: Only Failed | Without variation (no var CV = 0)", "Group 12: Only Failed | With variation (with var CV &gt; 0)"), IF(AND(Q133&gt;0, R133&gt;0), IF(ROUND(T133,5)&lt;&gt;ROUND(W133,5), IF(AND(IFERROR(ROUND(V133,8),0)=0, IFERROR(ROUND(Y133,8),0)=0), "Group 1: Flaky | Passed (no variation: CV = 0) AND Failed (no variation: CV = 0) | Different Means", IF(AND(IFERROR(ROUND(V133,8),0)&gt;0, IFERROR(ROUND(Y133,8),0)&gt;0), "Group 2: Flaky | Passed (with variation: CV &gt; 0) AND Failed (with variation: CV &gt; 0) | Different Means", IF(AND(IFERROR(ROUND(V133,8),0)=0, IFERROR(ROUND(Y133,8),0)&gt;0), "Group 3: Flaky | Passed (no variation: CV = 0) AND Failed (with variation: CV &gt; 0) | Different Means", "Group 4: Flaky | Passed (with variation: CV &gt; 0) AND Failed (no variation: CV = 0) | Different Means"))), IF(AND(IFERROR(ROUND(V133,8),0)=0, IFERROR(ROUND(Y133,8),0)=0), "Group 5: Flaky | Passed (no var CV = 0) AND Failed (no var CV = 0) | Equal Means", IF(AND(IFERROR(ROUND(V133,8),0)&gt;0, IFERROR(ROUND(Y133,8),0)&gt;0), "Group 6: Flaky | Passed (with var CV &gt; 0) AND Failed (with var CV &gt; 0) | Equal Means", IF(AND(IFERROR(ROUND(V133,8),0)=0, IFERROR(ROUND(Y133,8),0)&gt;0),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3" s="29" t="n">
        <v>0.323601</v>
      </c>
      <c r="AB133" s="29" t="n">
        <v>0.005393</v>
      </c>
      <c r="AC133" s="29" t="n">
        <f aca="false">IFERROR(AB133/AA133*100,"N/A")</f>
        <v>1.66655850878088</v>
      </c>
      <c r="AD133" s="29" t="n">
        <v>0</v>
      </c>
      <c r="AE133" s="29" t="n">
        <v>0</v>
      </c>
      <c r="AF133" s="29" t="str">
        <f aca="false">IFERROR(AE133/AD133*100,"N/A")</f>
        <v>N/A</v>
      </c>
      <c r="AG133" s="51" t="str">
        <f aca="false">IF(AND(Q133&gt;0, R133=0), IF(IFERROR(ROUND(AC133,8),0)=0, "Group 9: Only Passed | Without variation (no var CV = 0)", "Group 10: Only Passed | With variation (with var CV &gt; 0)"), IF(AND(Q133=0, R133&gt;0), IF(IFERROR(ROUND(AF133,8),0)=0, "Group 11: Only Failed | Without variation (no var CV = 0)", "Group 12: Only Failed | With variation (with var CV &gt; 0)"), IF(AND(Q133&gt;0, R133&gt;0), IF(ROUND(AA133,5)&lt;&gt;ROUND(AD133,5), IF(AND(IFERROR(ROUND(AC133,8),0)=0, IFERROR(ROUND(AF133,8),0)=0), "Group 1: Flaky | Passed (no variation: CV = 0) AND Failed (no variation: CV = 0) | Different Means", IF(AND(IFERROR(ROUND(AC133,8),0)&gt;0, IFERROR(ROUND(AF133,8),0)&gt;0), "Group 2: Flaky | Passed (with variation: CV &gt; 0) AND Failed (with variation: CV &gt; 0) | Different Means", IF(AND(IFERROR(ROUND(AC133,8),0)=0, IFERROR(ROUND(AF133,8),0)&gt;0), "Group 3: Flaky | Passed (no variation: CV = 0) AND Failed (with variation: CV &gt; 0) | Different Means", "Group 4: Flaky | Passed (with variation: CV &gt; 0) AND Failed (no variation: CV = 0) | Different Means"))), IF(AND(IFERROR(ROUND(AC133,8),0)=0, IFERROR(ROUND(AF133,8),0)=0), "Group 5: Flaky | Passed (no var CV = 0) AND Failed (no var CV = 0) | Equal Means", IF(AND(IFERROR(ROUND(AC133,8),0)&gt;0, IFERROR(ROUND(AF133,8),0)&gt;0), "Group 6: Flaky | Passed (with var CV &gt; 0) AND Failed (with var CV &gt; 0) | Equal Means", IF(AND(IFERROR(ROUND(AC133,8),0)=0, IFERROR(ROUND(AF133,8),0)&gt;0),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3" s="22" t="n">
        <v>100</v>
      </c>
      <c r="AI133" s="17" t="n">
        <v>0</v>
      </c>
      <c r="AJ133" s="31" t="str">
        <f aca="false">IF(AND(AH133&gt;0, AI133&gt;0), "Observed Flaky Test", "Non-observed Flaky Test")</f>
        <v>Non-observed Flaky Test</v>
      </c>
      <c r="AK133" s="32" t="n">
        <v>33784.78</v>
      </c>
      <c r="AL133" s="40" t="n">
        <v>77.8338790455206</v>
      </c>
      <c r="AM133" s="33" t="n">
        <f aca="false">IFERROR(AL133/AK133*100,"N/A")</f>
        <v>0.230381488485409</v>
      </c>
      <c r="AN133" s="32" t="n">
        <v>0</v>
      </c>
      <c r="AO133" s="32" t="n">
        <v>0</v>
      </c>
      <c r="AP133" s="35" t="str">
        <f aca="false">IFERROR(AO133/AN133*100,"N/A")</f>
        <v>N/A</v>
      </c>
      <c r="AQ133" s="52" t="str">
        <f aca="false">IF(AND(AH133&gt;0, AI133&gt;0),
    IF(ROUND(N(AK133),5)&lt;&gt;ROUND(N(AN133),5),
        IF(AND(ROUND(N(AL133),8)=0, ROUND(N(AO133),8)=0), "Group 1: Flaky | Passed (no variation: SD = 0) AND Failed (no variation: SD = 0) | Different Means",
        IF(AND(ROUND(N(AL133),8)&gt;0, ROUND(N(AO133),8)&gt;0), "Group 2: Flaky | Passed (with variation: SD &gt; 0) AND Failed (with variation: SD &gt; 0) | Different Means",
        IF(AND(ROUND(N(AL133),8)=0, ROUND(N(AO133),8)&gt;0), "Group 3: Flaky | Passed (no variation: SD = 0) AND Failed (with variation: SD &gt; 0) | Different Means",
        "Group 4: Flaky | Passed (with variation: SD &gt; 0) AND Failed (no variation: SD = 0) | Different Means"))),
        IF(AND(ROUND(N(AL133),8)=0, ROUND(N(AO133),8)=0), "Group 5: Flaky | Passed (no var SD = 0) AND Failed (no var SD = 0) | Equal Means",
        IF(AND(ROUND(N(AL133),8)&gt;0, ROUND(N(AO133),8)&gt;0), "Group 6: Flaky | Passed (with var SD &gt; 0 ) AND Failed (with var SD &gt; 0) | Equal Means",
        IF(AND(ROUND(N(AL133),8)=0, ROUND(N(AO133),8)&gt;0), "Group 7: Flaky | Passed (no var SD = 0) AND Failed (with var SD &gt; 0) | Equal Means",
        "Group 8: Flaky | Passed (with var SD &gt; 0 ) AND Failed (no var SD = 0) | Equal Means")))
    ),
    IF(AH133&gt;0,
        IF(N(AL133)&gt;0, "Group 10: Only Passed | With variation (with var SD &gt; 0)", "Group 9: Only Passed | Without variation (no var SD = 0)"),
        IF(AI133&gt;0,
            IF(N(AO133)&gt;0,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3" s="37" t="str">
        <f aca="false">IF(OR(F133="Observed Flaky Test", I133="Observed Flaky Test", S133="Observed Flaky Test", AJ133="Observed Flaky Test"), "Observed Flaky Test", "Non-observed Flaky Test")</f>
        <v>Non-observed Flaky Test</v>
      </c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</row>
    <row r="134" customFormat="false" ht="15.75" hidden="false" customHeight="true" outlineLevel="0" collapsed="false">
      <c r="A134" s="13"/>
      <c r="B134" s="14" t="s">
        <v>302</v>
      </c>
      <c r="C134" s="14" t="s">
        <v>303</v>
      </c>
      <c r="D134" s="15" t="n">
        <v>0</v>
      </c>
      <c r="E134" s="15" t="n">
        <v>100</v>
      </c>
      <c r="F134" s="16" t="str">
        <f aca="false">IF(AND(D134&gt;0, E134&gt;0), "Observed Flaky Test", "Non-observed Flaky Test")</f>
        <v>Non-observed Flaky Test</v>
      </c>
      <c r="G134" s="17" t="n">
        <v>100</v>
      </c>
      <c r="H134" s="17" t="n">
        <v>0</v>
      </c>
      <c r="I134" s="16" t="str">
        <f aca="false">IF(AND(G134&gt;0, H134&gt;0), "Observed Flaky Test", "Non-observed Flaky Test")</f>
        <v>Non-observed Flaky Test</v>
      </c>
      <c r="J134" s="18" t="n">
        <v>16.84</v>
      </c>
      <c r="K134" s="18" t="n">
        <v>0</v>
      </c>
      <c r="L134" s="19" t="n">
        <f aca="false">IFERROR(K134/J134*100,"N/A")</f>
        <v>0</v>
      </c>
      <c r="M134" s="18" t="n">
        <v>0</v>
      </c>
      <c r="N134" s="18" t="n">
        <v>0</v>
      </c>
      <c r="O134" s="20" t="str">
        <f aca="false">IFERROR(N134/M134*100,"N/A")</f>
        <v>N/A</v>
      </c>
      <c r="P134" s="56" t="str">
        <f aca="false">IF(AND(G134&gt;0, H134=0), IF(ROUND(K134,8)=0, "Group 9: Only Passed | Without variation (SD Passed = 0)", "Group 10: Only Passed | With variation (SD Passed &gt; 0)"), IF(AND(G134=0, H134&gt;0), IF(ROUND(N134,8)=0, "Group 11: Only Failed | Without variation (SD Failed = 0)", "Group 12: Only Failed | With variation (SD Failed &gt; 0)"), IF(AND(G134&gt;0, H134&gt;0), IF(ROUND(J134,5)&lt;&gt;ROUND(M134,5), IF(AND(ROUND(K134,8)=0, ROUND(N134,8)=0), "Group 1: Flaky | Passed (no variation) AND Failed (no variation) | Different Means", IF(AND(ROUND(K134,8)&gt;0, ROUND(N134,8)&gt;0), "Group 2: Flaky | Passed (with variation) AND Failed (with variation) | Different Means", IF(AND(ROUND(K134,8)=0, ROUND(N134,8)&gt;0), "Group 3: Flaky | Passed (no variation) AND Failed (with variation) | Different Means", "Group 4: Flaky | Passed (with variation) AND Failed (no variation) | Different Means"))), IF(AND(ROUND(K134,8)=0, ROUND(N134,8)=0), "Group 5: Flaky | Passed (no variation) AND Failed (no variation) | Equal Means", IF(AND(ROUND(K134,8)&gt;0, ROUND(N134,8)&gt;0), "Group 6: Flaky | Passed (with variation) AND Failed (with variation) | Equal Means", IF(AND(ROUND(K134,8)=0, ROUND(N134,8)&gt;0),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4" s="22" t="n">
        <v>100</v>
      </c>
      <c r="R134" s="22" t="n">
        <v>0</v>
      </c>
      <c r="S134" s="23" t="str">
        <f aca="false">IF(AND(Q134&gt;0, R134&gt;0), "Observed Flaky Test", "Non-observed Flaky Test")</f>
        <v>Non-observed Flaky Test</v>
      </c>
      <c r="T134" s="55" t="n">
        <v>528640.9</v>
      </c>
      <c r="U134" s="24" t="n">
        <v>8.144528</v>
      </c>
      <c r="V134" s="25" t="n">
        <f aca="false">IFERROR(U134/T134*100,"N/A")</f>
        <v>0.00154065415672529</v>
      </c>
      <c r="W134" s="22" t="n">
        <v>0</v>
      </c>
      <c r="X134" s="22" t="n">
        <v>0</v>
      </c>
      <c r="Y134" s="27" t="str">
        <f aca="false">IFERROR(X134/W134*100,"N/A")</f>
        <v>N/A</v>
      </c>
      <c r="Z134" s="50" t="str">
        <f aca="false">IF(AND(Q134&gt;0, R134=0), IF(IFERROR(ROUND(V134,8),0)=0, "Group 9: Only Passed | Without variation (no var CV = 0)", "Group 10: Only Passed | With variation (with var CV &gt; 0)"), IF(AND(Q134=0, R134&gt;0), IF(IFERROR(ROUND(Y134,8),0)=0, "Group 11: Only Failed | Without variation (no var CV = 0)", "Group 12: Only Failed | With variation (with var CV &gt; 0)"), IF(AND(Q134&gt;0, R134&gt;0), IF(ROUND(T134,5)&lt;&gt;ROUND(W134,5), IF(AND(IFERROR(ROUND(V134,8),0)=0, IFERROR(ROUND(Y134,8),0)=0), "Group 1: Flaky | Passed (no variation: CV = 0) AND Failed (no variation: CV = 0) | Different Means", IF(AND(IFERROR(ROUND(V134,8),0)&gt;0, IFERROR(ROUND(Y134,8),0)&gt;0), "Group 2: Flaky | Passed (with variation: CV &gt; 0) AND Failed (with variation: CV &gt; 0) | Different Means", IF(AND(IFERROR(ROUND(V134,8),0)=0, IFERROR(ROUND(Y134,8),0)&gt;0), "Group 3: Flaky | Passed (no variation: CV = 0) AND Failed (with variation: CV &gt; 0) | Different Means", "Group 4: Flaky | Passed (with variation: CV &gt; 0) AND Failed (no variation: CV = 0) | Different Means"))), IF(AND(IFERROR(ROUND(V134,8),0)=0, IFERROR(ROUND(Y134,8),0)=0), "Group 5: Flaky | Passed (no var CV = 0) AND Failed (no var CV = 0) | Equal Means", IF(AND(IFERROR(ROUND(V134,8),0)&gt;0, IFERROR(ROUND(Y134,8),0)&gt;0), "Group 6: Flaky | Passed (with var CV &gt; 0) AND Failed (with var CV &gt; 0) | Equal Means", IF(AND(IFERROR(ROUND(V134,8),0)=0, IFERROR(ROUND(Y134,8),0)&gt;0),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4" s="29" t="n">
        <v>0.342277</v>
      </c>
      <c r="AB134" s="29" t="n">
        <v>0.006484</v>
      </c>
      <c r="AC134" s="29" t="n">
        <f aca="false">IFERROR(AB134/AA134*100,"N/A")</f>
        <v>1.89437210212781</v>
      </c>
      <c r="AD134" s="29" t="n">
        <v>0</v>
      </c>
      <c r="AE134" s="29" t="n">
        <v>0</v>
      </c>
      <c r="AF134" s="29" t="str">
        <f aca="false">IFERROR(AE134/AD134*100,"N/A")</f>
        <v>N/A</v>
      </c>
      <c r="AG134" s="51" t="str">
        <f aca="false">IF(AND(Q134&gt;0, R134=0), IF(IFERROR(ROUND(AC134,8),0)=0, "Group 9: Only Passed | Without variation (no var CV = 0)", "Group 10: Only Passed | With variation (with var CV &gt; 0)"), IF(AND(Q134=0, R134&gt;0), IF(IFERROR(ROUND(AF134,8),0)=0, "Group 11: Only Failed | Without variation (no var CV = 0)", "Group 12: Only Failed | With variation (with var CV &gt; 0)"), IF(AND(Q134&gt;0, R134&gt;0), IF(ROUND(AA134,5)&lt;&gt;ROUND(AD134,5), IF(AND(IFERROR(ROUND(AC134,8),0)=0, IFERROR(ROUND(AF134,8),0)=0), "Group 1: Flaky | Passed (no variation: CV = 0) AND Failed (no variation: CV = 0) | Different Means", IF(AND(IFERROR(ROUND(AC134,8),0)&gt;0, IFERROR(ROUND(AF134,8),0)&gt;0), "Group 2: Flaky | Passed (with variation: CV &gt; 0) AND Failed (with variation: CV &gt; 0) | Different Means", IF(AND(IFERROR(ROUND(AC134,8),0)=0, IFERROR(ROUND(AF134,8),0)&gt;0), "Group 3: Flaky | Passed (no variation: CV = 0) AND Failed (with variation: CV &gt; 0) | Different Means", "Group 4: Flaky | Passed (with variation: CV &gt; 0) AND Failed (no variation: CV = 0) | Different Means"))), IF(AND(IFERROR(ROUND(AC134,8),0)=0, IFERROR(ROUND(AF134,8),0)=0), "Group 5: Flaky | Passed (no var CV = 0) AND Failed (no var CV = 0) | Equal Means", IF(AND(IFERROR(ROUND(AC134,8),0)&gt;0, IFERROR(ROUND(AF134,8),0)&gt;0), "Group 6: Flaky | Passed (with var CV &gt; 0) AND Failed (with var CV &gt; 0) | Equal Means", IF(AND(IFERROR(ROUND(AC134,8),0)=0, IFERROR(ROUND(AF134,8),0)&gt;0),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4" s="22" t="n">
        <v>100</v>
      </c>
      <c r="AI134" s="17" t="n">
        <v>0</v>
      </c>
      <c r="AJ134" s="31" t="str">
        <f aca="false">IF(AND(AH134&gt;0, AI134&gt;0), "Observed Flaky Test", "Non-observed Flaky Test")</f>
        <v>Non-observed Flaky Test</v>
      </c>
      <c r="AK134" s="32" t="n">
        <v>34311.18</v>
      </c>
      <c r="AL134" s="34" t="n">
        <v>101.514827498352</v>
      </c>
      <c r="AM134" s="33" t="n">
        <f aca="false">IFERROR(AL134/AK134*100,"N/A")</f>
        <v>0.295865159689501</v>
      </c>
      <c r="AN134" s="32" t="n">
        <v>0</v>
      </c>
      <c r="AO134" s="32" t="n">
        <v>0</v>
      </c>
      <c r="AP134" s="35" t="str">
        <f aca="false">IFERROR(AO134/AN134*100,"N/A")</f>
        <v>N/A</v>
      </c>
      <c r="AQ134" s="52" t="str">
        <f aca="false">IF(AND(AH134&gt;0, AI134&gt;0),
    IF(ROUND(N(AK134),5)&lt;&gt;ROUND(N(AN134),5),
        IF(AND(ROUND(N(AL134),8)=0, ROUND(N(AO134),8)=0), "Group 1: Flaky | Passed (no variation: SD = 0) AND Failed (no variation: SD = 0) | Different Means",
        IF(AND(ROUND(N(AL134),8)&gt;0, ROUND(N(AO134),8)&gt;0), "Group 2: Flaky | Passed (with variation: SD &gt; 0) AND Failed (with variation: SD &gt; 0) | Different Means",
        IF(AND(ROUND(N(AL134),8)=0, ROUND(N(AO134),8)&gt;0), "Group 3: Flaky | Passed (no variation: SD = 0) AND Failed (with variation: SD &gt; 0) | Different Means",
        "Group 4: Flaky | Passed (with variation: SD &gt; 0) AND Failed (no variation: SD = 0) | Different Means"))),
        IF(AND(ROUND(N(AL134),8)=0, ROUND(N(AO134),8)=0), "Group 5: Flaky | Passed (no var SD = 0) AND Failed (no var SD = 0) | Equal Means",
        IF(AND(ROUND(N(AL134),8)&gt;0, ROUND(N(AO134),8)&gt;0), "Group 6: Flaky | Passed (with var SD &gt; 0 ) AND Failed (with var SD &gt; 0) | Equal Means",
        IF(AND(ROUND(N(AL134),8)=0, ROUND(N(AO134),8)&gt;0), "Group 7: Flaky | Passed (no var SD = 0) AND Failed (with var SD &gt; 0) | Equal Means",
        "Group 8: Flaky | Passed (with var SD &gt; 0 ) AND Failed (no var SD = 0) | Equal Means")))
    ),
    IF(AH134&gt;0,
        IF(N(AL134)&gt;0, "Group 10: Only Passed | With variation (with var SD &gt; 0)", "Group 9: Only Passed | Without variation (no var SD = 0)"),
        IF(AI134&gt;0,
            IF(N(AO134)&gt;0,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4" s="37" t="str">
        <f aca="false">IF(OR(F134="Observed Flaky Test", I134="Observed Flaky Test", S134="Observed Flaky Test", AJ134="Observed Flaky Test"), "Observed Flaky Test", "Non-observed Flaky Test")</f>
        <v>Non-observed Flaky Test</v>
      </c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</row>
    <row r="135" customFormat="false" ht="15.75" hidden="false" customHeight="true" outlineLevel="0" collapsed="false">
      <c r="A135" s="13"/>
      <c r="B135" s="14" t="s">
        <v>304</v>
      </c>
      <c r="C135" s="14" t="s">
        <v>305</v>
      </c>
      <c r="D135" s="15" t="n">
        <v>0</v>
      </c>
      <c r="E135" s="15" t="n">
        <v>100</v>
      </c>
      <c r="F135" s="16" t="str">
        <f aca="false">IF(AND(D135&gt;0, E135&gt;0), "Observed Flaky Test", "Non-observed Flaky Test")</f>
        <v>Non-observed Flaky Test</v>
      </c>
      <c r="G135" s="17" t="n">
        <v>100</v>
      </c>
      <c r="H135" s="17" t="n">
        <v>0</v>
      </c>
      <c r="I135" s="16" t="str">
        <f aca="false">IF(AND(G135&gt;0, H135&gt;0), "Observed Flaky Test", "Non-observed Flaky Test")</f>
        <v>Non-observed Flaky Test</v>
      </c>
      <c r="J135" s="18" t="n">
        <v>15.05</v>
      </c>
      <c r="K135" s="18" t="n">
        <v>0</v>
      </c>
      <c r="L135" s="19" t="n">
        <f aca="false">IFERROR(K135/J135*100,"N/A")</f>
        <v>0</v>
      </c>
      <c r="M135" s="18" t="n">
        <v>0</v>
      </c>
      <c r="N135" s="18" t="n">
        <v>0</v>
      </c>
      <c r="O135" s="20" t="str">
        <f aca="false">IFERROR(N135/M135*100,"N/A")</f>
        <v>N/A</v>
      </c>
      <c r="P135" s="56" t="str">
        <f aca="false">IF(AND(G135&gt;0, H135=0), IF(ROUND(K135,8)=0, "Group 9: Only Passed | Without variation (SD Passed = 0)", "Group 10: Only Passed | With variation (SD Passed &gt; 0)"), IF(AND(G135=0, H135&gt;0), IF(ROUND(N135,8)=0, "Group 11: Only Failed | Without variation (SD Failed = 0)", "Group 12: Only Failed | With variation (SD Failed &gt; 0)"), IF(AND(G135&gt;0, H135&gt;0), IF(ROUND(J135,5)&lt;&gt;ROUND(M135,5), IF(AND(ROUND(K135,8)=0, ROUND(N135,8)=0), "Group 1: Flaky | Passed (no variation) AND Failed (no variation) | Different Means", IF(AND(ROUND(K135,8)&gt;0, ROUND(N135,8)&gt;0), "Group 2: Flaky | Passed (with variation) AND Failed (with variation) | Different Means", IF(AND(ROUND(K135,8)=0, ROUND(N135,8)&gt;0), "Group 3: Flaky | Passed (no variation) AND Failed (with variation) | Different Means", "Group 4: Flaky | Passed (with variation) AND Failed (no variation) | Different Means"))), IF(AND(ROUND(K135,8)=0, ROUND(N135,8)=0), "Group 5: Flaky | Passed (no variation) AND Failed (no variation) | Equal Means", IF(AND(ROUND(K135,8)&gt;0, ROUND(N135,8)&gt;0), "Group 6: Flaky | Passed (with variation) AND Failed (with variation) | Equal Means", IF(AND(ROUND(K135,8)=0, ROUND(N135,8)&gt;0),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5" s="22" t="n">
        <v>100</v>
      </c>
      <c r="R135" s="22" t="n">
        <v>0</v>
      </c>
      <c r="S135" s="23" t="str">
        <f aca="false">IF(AND(Q135&gt;0, R135&gt;0), "Observed Flaky Test", "Non-observed Flaky Test")</f>
        <v>Non-observed Flaky Test</v>
      </c>
      <c r="T135" s="22" t="n">
        <v>557902.16</v>
      </c>
      <c r="U135" s="24" t="n">
        <v>9.194553</v>
      </c>
      <c r="V135" s="25" t="n">
        <f aca="false">IFERROR(U135/T135*100,"N/A")</f>
        <v>0.00164805832621261</v>
      </c>
      <c r="W135" s="22" t="n">
        <v>0</v>
      </c>
      <c r="X135" s="22" t="n">
        <v>0</v>
      </c>
      <c r="Y135" s="27" t="str">
        <f aca="false">IFERROR(X135/W135*100,"N/A")</f>
        <v>N/A</v>
      </c>
      <c r="Z135" s="50" t="str">
        <f aca="false">IF(AND(Q135&gt;0, R135=0), IF(IFERROR(ROUND(V135,8),0)=0, "Group 9: Only Passed | Without variation (no var CV = 0)", "Group 10: Only Passed | With variation (with var CV &gt; 0)"), IF(AND(Q135=0, R135&gt;0), IF(IFERROR(ROUND(Y135,8),0)=0, "Group 11: Only Failed | Without variation (no var CV = 0)", "Group 12: Only Failed | With variation (with var CV &gt; 0)"), IF(AND(Q135&gt;0, R135&gt;0), IF(ROUND(T135,5)&lt;&gt;ROUND(W135,5), IF(AND(IFERROR(ROUND(V135,8),0)=0, IFERROR(ROUND(Y135,8),0)=0), "Group 1: Flaky | Passed (no variation: CV = 0) AND Failed (no variation: CV = 0) | Different Means", IF(AND(IFERROR(ROUND(V135,8),0)&gt;0, IFERROR(ROUND(Y135,8),0)&gt;0), "Group 2: Flaky | Passed (with variation: CV &gt; 0) AND Failed (with variation: CV &gt; 0) | Different Means", IF(AND(IFERROR(ROUND(V135,8),0)=0, IFERROR(ROUND(Y135,8),0)&gt;0), "Group 3: Flaky | Passed (no variation: CV = 0) AND Failed (with variation: CV &gt; 0) | Different Means", "Group 4: Flaky | Passed (with variation: CV &gt; 0) AND Failed (no variation: CV = 0) | Different Means"))), IF(AND(IFERROR(ROUND(V135,8),0)=0, IFERROR(ROUND(Y135,8),0)=0), "Group 5: Flaky | Passed (no var CV = 0) AND Failed (no var CV = 0) | Equal Means", IF(AND(IFERROR(ROUND(V135,8),0)&gt;0, IFERROR(ROUND(Y135,8),0)&gt;0), "Group 6: Flaky | Passed (with var CV &gt; 0) AND Failed (with var CV &gt; 0) | Equal Means", IF(AND(IFERROR(ROUND(V135,8),0)=0, IFERROR(ROUND(Y135,8),0)&gt;0),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5" s="29" t="n">
        <v>0.394267</v>
      </c>
      <c r="AB135" s="29" t="n">
        <v>0.039159</v>
      </c>
      <c r="AC135" s="29" t="n">
        <f aca="false">IFERROR(AB135/AA135*100,"N/A")</f>
        <v>9.93210184976171</v>
      </c>
      <c r="AD135" s="29" t="n">
        <v>0</v>
      </c>
      <c r="AE135" s="29" t="n">
        <v>0</v>
      </c>
      <c r="AF135" s="29" t="str">
        <f aca="false">IFERROR(AE135/AD135*100,"N/A")</f>
        <v>N/A</v>
      </c>
      <c r="AG135" s="51" t="str">
        <f aca="false">IF(AND(Q135&gt;0, R135=0), IF(IFERROR(ROUND(AC135,8),0)=0, "Group 9: Only Passed | Without variation (no var CV = 0)", "Group 10: Only Passed | With variation (with var CV &gt; 0)"), IF(AND(Q135=0, R135&gt;0), IF(IFERROR(ROUND(AF135,8),0)=0, "Group 11: Only Failed | Without variation (no var CV = 0)", "Group 12: Only Failed | With variation (with var CV &gt; 0)"), IF(AND(Q135&gt;0, R135&gt;0), IF(ROUND(AA135,5)&lt;&gt;ROUND(AD135,5), IF(AND(IFERROR(ROUND(AC135,8),0)=0, IFERROR(ROUND(AF135,8),0)=0), "Group 1: Flaky | Passed (no variation: CV = 0) AND Failed (no variation: CV = 0) | Different Means", IF(AND(IFERROR(ROUND(AC135,8),0)&gt;0, IFERROR(ROUND(AF135,8),0)&gt;0), "Group 2: Flaky | Passed (with variation: CV &gt; 0) AND Failed (with variation: CV &gt; 0) | Different Means", IF(AND(IFERROR(ROUND(AC135,8),0)=0, IFERROR(ROUND(AF135,8),0)&gt;0), "Group 3: Flaky | Passed (no variation: CV = 0) AND Failed (with variation: CV &gt; 0) | Different Means", "Group 4: Flaky | Passed (with variation: CV &gt; 0) AND Failed (no variation: CV = 0) | Different Means"))), IF(AND(IFERROR(ROUND(AC135,8),0)=0, IFERROR(ROUND(AF135,8),0)=0), "Group 5: Flaky | Passed (no var CV = 0) AND Failed (no var CV = 0) | Equal Means", IF(AND(IFERROR(ROUND(AC135,8),0)&gt;0, IFERROR(ROUND(AF135,8),0)&gt;0), "Group 6: Flaky | Passed (with var CV &gt; 0) AND Failed (with var CV &gt; 0) | Equal Means", IF(AND(IFERROR(ROUND(AC135,8),0)=0, IFERROR(ROUND(AF135,8),0)&gt;0),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5" s="22" t="n">
        <v>100</v>
      </c>
      <c r="AI135" s="17" t="n">
        <v>0</v>
      </c>
      <c r="AJ135" s="31" t="str">
        <f aca="false">IF(AND(AH135&gt;0, AI135&gt;0), "Observed Flaky Test", "Non-observed Flaky Test")</f>
        <v>Non-observed Flaky Test</v>
      </c>
      <c r="AK135" s="81" t="n">
        <v>16815.64</v>
      </c>
      <c r="AL135" s="86" t="n">
        <v>5.12178946001562</v>
      </c>
      <c r="AM135" s="33" t="n">
        <f aca="false">IFERROR(AL135/AK135*100,"N/A")</f>
        <v>0.0304584866232604</v>
      </c>
      <c r="AN135" s="32" t="n">
        <v>0</v>
      </c>
      <c r="AO135" s="32" t="n">
        <v>0</v>
      </c>
      <c r="AP135" s="35" t="str">
        <f aca="false">IFERROR(AO135/AN135*100,"N/A")</f>
        <v>N/A</v>
      </c>
      <c r="AQ135" s="52" t="str">
        <f aca="false">IF(AND(AH135&gt;0, AI135&gt;0),
    IF(ROUND(N(AK135),5)&lt;&gt;ROUND(N(AN135),5),
        IF(AND(ROUND(N(AL135),8)=0, ROUND(N(AO135),8)=0), "Group 1: Flaky | Passed (no variation: SD = 0) AND Failed (no variation: SD = 0) | Different Means",
        IF(AND(ROUND(N(AL135),8)&gt;0, ROUND(N(AO135),8)&gt;0), "Group 2: Flaky | Passed (with variation: SD &gt; 0) AND Failed (with variation: SD &gt; 0) | Different Means",
        IF(AND(ROUND(N(AL135),8)=0, ROUND(N(AO135),8)&gt;0), "Group 3: Flaky | Passed (no variation: SD = 0) AND Failed (with variation: SD &gt; 0) | Different Means",
        "Group 4: Flaky | Passed (with variation: SD &gt; 0) AND Failed (no variation: SD = 0) | Different Means"))),
        IF(AND(ROUND(N(AL135),8)=0, ROUND(N(AO135),8)=0), "Group 5: Flaky | Passed (no var SD = 0) AND Failed (no var SD = 0) | Equal Means",
        IF(AND(ROUND(N(AL135),8)&gt;0, ROUND(N(AO135),8)&gt;0), "Group 6: Flaky | Passed (with var SD &gt; 0 ) AND Failed (with var SD &gt; 0) | Equal Means",
        IF(AND(ROUND(N(AL135),8)=0, ROUND(N(AO135),8)&gt;0), "Group 7: Flaky | Passed (no var SD = 0) AND Failed (with var SD &gt; 0) | Equal Means",
        "Group 8: Flaky | Passed (with var SD &gt; 0 ) AND Failed (no var SD = 0) | Equal Means")))
    ),
    IF(AH135&gt;0,
        IF(N(AL135)&gt;0, "Group 10: Only Passed | With variation (with var SD &gt; 0)", "Group 9: Only Passed | Without variation (no var SD = 0)"),
        IF(AI135&gt;0,
            IF(N(AO135)&gt;0,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5" s="37" t="str">
        <f aca="false">IF(OR(F135="Observed Flaky Test", I135="Observed Flaky Test", S135="Observed Flaky Test", AJ135="Observed Flaky Test"), "Observed Flaky Test", "Non-observed Flaky Test")</f>
        <v>Non-observed Flaky Test</v>
      </c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</row>
    <row r="136" customFormat="false" ht="15.75" hidden="false" customHeight="true" outlineLevel="0" collapsed="false">
      <c r="A136" s="13"/>
      <c r="B136" s="14" t="s">
        <v>306</v>
      </c>
      <c r="C136" s="14" t="s">
        <v>307</v>
      </c>
      <c r="D136" s="15" t="n">
        <v>0</v>
      </c>
      <c r="E136" s="15" t="n">
        <v>100</v>
      </c>
      <c r="F136" s="16" t="str">
        <f aca="false">IF(AND(D136&gt;0, E136&gt;0), "Observed Flaky Test", "Non-observed Flaky Test")</f>
        <v>Non-observed Flaky Test</v>
      </c>
      <c r="G136" s="17" t="n">
        <v>100</v>
      </c>
      <c r="H136" s="17" t="n">
        <v>0</v>
      </c>
      <c r="I136" s="16" t="str">
        <f aca="false">IF(AND(G136&gt;0, H136&gt;0), "Observed Flaky Test", "Non-observed Flaky Test")</f>
        <v>Non-observed Flaky Test</v>
      </c>
      <c r="J136" s="18" t="n">
        <v>15.3</v>
      </c>
      <c r="K136" s="18" t="n">
        <v>0</v>
      </c>
      <c r="L136" s="19" t="n">
        <f aca="false">IFERROR(K136/J136*100,"N/A")</f>
        <v>0</v>
      </c>
      <c r="M136" s="18" t="n">
        <v>0</v>
      </c>
      <c r="N136" s="18" t="n">
        <v>0</v>
      </c>
      <c r="O136" s="20" t="str">
        <f aca="false">IFERROR(N136/M136*100,"N/A")</f>
        <v>N/A</v>
      </c>
      <c r="P136" s="56" t="str">
        <f aca="false">IF(AND(G136&gt;0, H136=0), IF(ROUND(K136,8)=0, "Group 9: Only Passed | Without variation (SD Passed = 0)", "Group 10: Only Passed | With variation (SD Passed &gt; 0)"), IF(AND(G136=0, H136&gt;0), IF(ROUND(N136,8)=0, "Group 11: Only Failed | Without variation (SD Failed = 0)", "Group 12: Only Failed | With variation (SD Failed &gt; 0)"), IF(AND(G136&gt;0, H136&gt;0), IF(ROUND(J136,5)&lt;&gt;ROUND(M136,5), IF(AND(ROUND(K136,8)=0, ROUND(N136,8)=0), "Group 1: Flaky | Passed (no variation) AND Failed (no variation) | Different Means", IF(AND(ROUND(K136,8)&gt;0, ROUND(N136,8)&gt;0), "Group 2: Flaky | Passed (with variation) AND Failed (with variation) | Different Means", IF(AND(ROUND(K136,8)=0, ROUND(N136,8)&gt;0), "Group 3: Flaky | Passed (no variation) AND Failed (with variation) | Different Means", "Group 4: Flaky | Passed (with variation) AND Failed (no variation) | Different Means"))), IF(AND(ROUND(K136,8)=0, ROUND(N136,8)=0), "Group 5: Flaky | Passed (no variation) AND Failed (no variation) | Equal Means", IF(AND(ROUND(K136,8)&gt;0, ROUND(N136,8)&gt;0), "Group 6: Flaky | Passed (with variation) AND Failed (with variation) | Equal Means", IF(AND(ROUND(K136,8)=0, ROUND(N136,8)&gt;0),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6" s="22" t="n">
        <v>100</v>
      </c>
      <c r="R136" s="22" t="n">
        <v>0</v>
      </c>
      <c r="S136" s="23" t="str">
        <f aca="false">IF(AND(Q136&gt;0, R136&gt;0), "Observed Flaky Test", "Non-observed Flaky Test")</f>
        <v>Non-observed Flaky Test</v>
      </c>
      <c r="T136" s="22" t="n">
        <v>525908.62</v>
      </c>
      <c r="U136" s="24" t="n">
        <v>8.39887</v>
      </c>
      <c r="V136" s="25" t="n">
        <f aca="false">IFERROR(U136/T136*100,"N/A")</f>
        <v>0.00159702079041793</v>
      </c>
      <c r="W136" s="22" t="n">
        <v>0</v>
      </c>
      <c r="X136" s="22" t="n">
        <v>0</v>
      </c>
      <c r="Y136" s="27" t="str">
        <f aca="false">IFERROR(X136/W136*100,"N/A")</f>
        <v>N/A</v>
      </c>
      <c r="Z136" s="50" t="str">
        <f aca="false">IF(AND(Q136&gt;0, R136=0), IF(IFERROR(ROUND(V136,8),0)=0, "Group 9: Only Passed | Without variation (no var CV = 0)", "Group 10: Only Passed | With variation (with var CV &gt; 0)"), IF(AND(Q136=0, R136&gt;0), IF(IFERROR(ROUND(Y136,8),0)=0, "Group 11: Only Failed | Without variation (no var CV = 0)", "Group 12: Only Failed | With variation (with var CV &gt; 0)"), IF(AND(Q136&gt;0, R136&gt;0), IF(ROUND(T136,5)&lt;&gt;ROUND(W136,5), IF(AND(IFERROR(ROUND(V136,8),0)=0, IFERROR(ROUND(Y136,8),0)=0), "Group 1: Flaky | Passed (no variation: CV = 0) AND Failed (no variation: CV = 0) | Different Means", IF(AND(IFERROR(ROUND(V136,8),0)&gt;0, IFERROR(ROUND(Y136,8),0)&gt;0), "Group 2: Flaky | Passed (with variation: CV &gt; 0) AND Failed (with variation: CV &gt; 0) | Different Means", IF(AND(IFERROR(ROUND(V136,8),0)=0, IFERROR(ROUND(Y136,8),0)&gt;0), "Group 3: Flaky | Passed (no variation: CV = 0) AND Failed (with variation: CV &gt; 0) | Different Means", "Group 4: Flaky | Passed (with variation: CV &gt; 0) AND Failed (no variation: CV = 0) | Different Means"))), IF(AND(IFERROR(ROUND(V136,8),0)=0, IFERROR(ROUND(Y136,8),0)=0), "Group 5: Flaky | Passed (no var CV = 0) AND Failed (no var CV = 0) | Equal Means", IF(AND(IFERROR(ROUND(V136,8),0)&gt;0, IFERROR(ROUND(Y136,8),0)&gt;0), "Group 6: Flaky | Passed (with var CV &gt; 0) AND Failed (with var CV &gt; 0) | Equal Means", IF(AND(IFERROR(ROUND(V136,8),0)=0, IFERROR(ROUND(Y136,8),0)&gt;0),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6" s="29" t="n">
        <v>0.388877</v>
      </c>
      <c r="AB136" s="29" t="n">
        <v>0.007795</v>
      </c>
      <c r="AC136" s="29" t="n">
        <f aca="false">IFERROR(AB136/AA136*100,"N/A")</f>
        <v>2.00448985154689</v>
      </c>
      <c r="AD136" s="29" t="n">
        <v>0</v>
      </c>
      <c r="AE136" s="29" t="n">
        <v>0</v>
      </c>
      <c r="AF136" s="29" t="str">
        <f aca="false">IFERROR(AE136/AD136*100,"N/A")</f>
        <v>N/A</v>
      </c>
      <c r="AG136" s="51" t="str">
        <f aca="false">IF(AND(Q136&gt;0, R136=0), IF(IFERROR(ROUND(AC136,8),0)=0, "Group 9: Only Passed | Without variation (no var CV = 0)", "Group 10: Only Passed | With variation (with var CV &gt; 0)"), IF(AND(Q136=0, R136&gt;0), IF(IFERROR(ROUND(AF136,8),0)=0, "Group 11: Only Failed | Without variation (no var CV = 0)", "Group 12: Only Failed | With variation (with var CV &gt; 0)"), IF(AND(Q136&gt;0, R136&gt;0), IF(ROUND(AA136,5)&lt;&gt;ROUND(AD136,5), IF(AND(IFERROR(ROUND(AC136,8),0)=0, IFERROR(ROUND(AF136,8),0)=0), "Group 1: Flaky | Passed (no variation: CV = 0) AND Failed (no variation: CV = 0) | Different Means", IF(AND(IFERROR(ROUND(AC136,8),0)&gt;0, IFERROR(ROUND(AF136,8),0)&gt;0), "Group 2: Flaky | Passed (with variation: CV &gt; 0) AND Failed (with variation: CV &gt; 0) | Different Means", IF(AND(IFERROR(ROUND(AC136,8),0)=0, IFERROR(ROUND(AF136,8),0)&gt;0), "Group 3: Flaky | Passed (no variation: CV = 0) AND Failed (with variation: CV &gt; 0) | Different Means", "Group 4: Flaky | Passed (with variation: CV &gt; 0) AND Failed (no variation: CV = 0) | Different Means"))), IF(AND(IFERROR(ROUND(AC136,8),0)=0, IFERROR(ROUND(AF136,8),0)=0), "Group 5: Flaky | Passed (no var CV = 0) AND Failed (no var CV = 0) | Equal Means", IF(AND(IFERROR(ROUND(AC136,8),0)&gt;0, IFERROR(ROUND(AF136,8),0)&gt;0), "Group 6: Flaky | Passed (with var CV &gt; 0) AND Failed (with var CV &gt; 0) | Equal Means", IF(AND(IFERROR(ROUND(AC136,8),0)=0, IFERROR(ROUND(AF136,8),0)&gt;0),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6" s="22" t="n">
        <v>100</v>
      </c>
      <c r="AI136" s="17" t="n">
        <v>0</v>
      </c>
      <c r="AJ136" s="31" t="str">
        <f aca="false">IF(AND(AH136&gt;0, AI136&gt;0), "Observed Flaky Test", "Non-observed Flaky Test")</f>
        <v>Non-observed Flaky Test</v>
      </c>
      <c r="AK136" s="32" t="n">
        <v>35508.43</v>
      </c>
      <c r="AL136" s="34" t="n">
        <v>265.258069689413</v>
      </c>
      <c r="AM136" s="33" t="n">
        <f aca="false">IFERROR(AL136/AK136*100,"N/A")</f>
        <v>0.747028437161015</v>
      </c>
      <c r="AN136" s="32" t="n">
        <v>0</v>
      </c>
      <c r="AO136" s="32" t="n">
        <v>0</v>
      </c>
      <c r="AP136" s="35" t="str">
        <f aca="false">IFERROR(AO136/AN136*100,"N/A")</f>
        <v>N/A</v>
      </c>
      <c r="AQ136" s="52" t="str">
        <f aca="false">IF(AND(AH136&gt;0, AI136&gt;0),
    IF(ROUND(N(AK136),5)&lt;&gt;ROUND(N(AN136),5),
        IF(AND(ROUND(N(AL136),8)=0, ROUND(N(AO136),8)=0), "Group 1: Flaky | Passed (no variation: SD = 0) AND Failed (no variation: SD = 0) | Different Means",
        IF(AND(ROUND(N(AL136),8)&gt;0, ROUND(N(AO136),8)&gt;0), "Group 2: Flaky | Passed (with variation: SD &gt; 0) AND Failed (with variation: SD &gt; 0) | Different Means",
        IF(AND(ROUND(N(AL136),8)=0, ROUND(N(AO136),8)&gt;0), "Group 3: Flaky | Passed (no variation: SD = 0) AND Failed (with variation: SD &gt; 0) | Different Means",
        "Group 4: Flaky | Passed (with variation: SD &gt; 0) AND Failed (no variation: SD = 0) | Different Means"))),
        IF(AND(ROUND(N(AL136),8)=0, ROUND(N(AO136),8)=0), "Group 5: Flaky | Passed (no var SD = 0) AND Failed (no var SD = 0) | Equal Means",
        IF(AND(ROUND(N(AL136),8)&gt;0, ROUND(N(AO136),8)&gt;0), "Group 6: Flaky | Passed (with var SD &gt; 0 ) AND Failed (with var SD &gt; 0) | Equal Means",
        IF(AND(ROUND(N(AL136),8)=0, ROUND(N(AO136),8)&gt;0), "Group 7: Flaky | Passed (no var SD = 0) AND Failed (with var SD &gt; 0) | Equal Means",
        "Group 8: Flaky | Passed (with var SD &gt; 0 ) AND Failed (no var SD = 0) | Equal Means")))
    ),
    IF(AH136&gt;0,
        IF(N(AL136)&gt;0, "Group 10: Only Passed | With variation (with var SD &gt; 0)", "Group 9: Only Passed | Without variation (no var SD = 0)"),
        IF(AI136&gt;0,
            IF(N(AO136)&gt;0,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6" s="37" t="str">
        <f aca="false">IF(OR(F136="Observed Flaky Test", I136="Observed Flaky Test", S136="Observed Flaky Test", AJ136="Observed Flaky Test"), "Observed Flaky Test", "Non-observed Flaky Test")</f>
        <v>Non-observed Flaky Test</v>
      </c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</row>
    <row r="137" customFormat="false" ht="15.75" hidden="false" customHeight="true" outlineLevel="0" collapsed="false">
      <c r="A137" s="13"/>
      <c r="B137" s="14" t="s">
        <v>308</v>
      </c>
      <c r="C137" s="14" t="s">
        <v>309</v>
      </c>
      <c r="D137" s="15" t="n">
        <v>0</v>
      </c>
      <c r="E137" s="15" t="n">
        <v>100</v>
      </c>
      <c r="F137" s="16" t="str">
        <f aca="false">IF(AND(D137&gt;0, E137&gt;0), "Observed Flaky Test", "Non-observed Flaky Test")</f>
        <v>Non-observed Flaky Test</v>
      </c>
      <c r="G137" s="22" t="n">
        <v>0</v>
      </c>
      <c r="H137" s="22" t="n">
        <v>100</v>
      </c>
      <c r="I137" s="16" t="str">
        <f aca="false">IF(AND(G137&gt;0, H137&gt;0), "Observed Flaky Test", "Non-observed Flaky Test")</f>
        <v>Non-observed Flaky Test</v>
      </c>
      <c r="J137" s="18" t="n">
        <v>0</v>
      </c>
      <c r="K137" s="18" t="n">
        <v>0</v>
      </c>
      <c r="L137" s="19" t="str">
        <f aca="false">IFERROR(K137/J137*100,"N/A")</f>
        <v>N/A</v>
      </c>
      <c r="M137" s="18" t="n">
        <v>15.76</v>
      </c>
      <c r="N137" s="18" t="n">
        <v>0</v>
      </c>
      <c r="O137" s="20" t="n">
        <f aca="false">IFERROR(N137/M137*100,"N/A")</f>
        <v>0</v>
      </c>
      <c r="P137" s="21" t="str">
        <f aca="false">IF(AND(G137&gt;0, H137=0), IF(ROUND(K137,8)=0, "Group 9: Only Passed | Without variation (SD Passed = 0)", "Group 10: Only Passed | With variation (SD Passed &gt; 0)"), IF(AND(G137=0, H137&gt;0), IF(ROUND(N137,8)=0, "Group 11: Only Failed | Without variation (SD Failed = 0)", "Group 12: Only Failed | With variation (SD Failed &gt; 0)"), IF(AND(G137&gt;0, H137&gt;0), IF(ROUND(J137,5)&lt;&gt;ROUND(M137,5), IF(AND(ROUND(K137,8)=0, ROUND(N137,8)=0), "Group 1: Flaky | Passed (no variation) AND Failed (no variation) | Different Means", IF(AND(ROUND(K137,8)&gt;0, ROUND(N137,8)&gt;0), "Group 2: Flaky | Passed (with variation) AND Failed (with variation) | Different Means", IF(AND(ROUND(K137,8)=0, ROUND(N137,8)&gt;0), "Group 3: Flaky | Passed (no variation) AND Failed (with variation) | Different Means", "Group 4: Flaky | Passed (with variation) AND Failed (no variation) | Different Means"))), IF(AND(ROUND(K137,8)=0, ROUND(N137,8)=0), "Group 5: Flaky | Passed (no variation) AND Failed (no variation) | Equal Means", IF(AND(ROUND(K137,8)&gt;0, ROUND(N137,8)&gt;0), "Group 6: Flaky | Passed (with variation) AND Failed (with variation) | Equal Means", IF(AND(ROUND(K137,8)=0, ROUND(N137,8)&gt;0),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137" s="22" t="n">
        <v>0</v>
      </c>
      <c r="R137" s="22" t="n">
        <v>100</v>
      </c>
      <c r="S137" s="23" t="str">
        <f aca="false">IF(AND(Q137&gt;0, R137&gt;0), "Observed Flaky Test", "Non-observed Flaky Test")</f>
        <v>Non-observed Flaky Test</v>
      </c>
      <c r="T137" s="24" t="n">
        <v>0</v>
      </c>
      <c r="U137" s="24" t="n">
        <v>0</v>
      </c>
      <c r="V137" s="25" t="str">
        <f aca="false">IFERROR(U137/T137*100,"N/A")</f>
        <v>N/A</v>
      </c>
      <c r="W137" s="22" t="n">
        <v>1476640.45</v>
      </c>
      <c r="X137" s="24" t="n">
        <v>9.071406</v>
      </c>
      <c r="Y137" s="27" t="n">
        <f aca="false">IFERROR(X137/W137*100,"N/A")</f>
        <v>0.000614327340145666</v>
      </c>
      <c r="Z137" s="28" t="str">
        <f aca="false">IF(AND(Q137&gt;0, R137=0), IF(IFERROR(ROUND(V137,8),0)=0, "Group 9: Only Passed | Without variation (no var CV = 0)", "Group 10: Only Passed | With variation (with var CV &gt; 0)"), IF(AND(Q137=0, R137&gt;0), IF(IFERROR(ROUND(Y137,8),0)=0, "Group 11: Only Failed | Without variation (no var CV = 0)", "Group 12: Only Failed | With variation (with var CV &gt; 0)"), IF(AND(Q137&gt;0, R137&gt;0), IF(ROUND(T137,5)&lt;&gt;ROUND(W137,5), IF(AND(IFERROR(ROUND(V137,8),0)=0, IFERROR(ROUND(Y137,8),0)=0), "Group 1: Flaky | Passed (no variation: CV = 0) AND Failed (no variation: CV = 0) | Different Means", IF(AND(IFERROR(ROUND(V137,8),0)&gt;0, IFERROR(ROUND(Y137,8),0)&gt;0), "Group 2: Flaky | Passed (with variation: CV &gt; 0) AND Failed (with variation: CV &gt; 0) | Different Means", IF(AND(IFERROR(ROUND(V137,8),0)=0, IFERROR(ROUND(Y137,8),0)&gt;0), "Group 3: Flaky | Passed (no variation: CV = 0) AND Failed (with variation: CV &gt; 0) | Different Means", "Group 4: Flaky | Passed (with variation: CV &gt; 0) AND Failed (no variation: CV = 0) | Different Means"))), IF(AND(IFERROR(ROUND(V137,8),0)=0, IFERROR(ROUND(Y137,8),0)=0), "Group 5: Flaky | Passed (no var CV = 0) AND Failed (no var CV = 0) | Equal Means", IF(AND(IFERROR(ROUND(V137,8),0)&gt;0, IFERROR(ROUND(Y137,8),0)&gt;0), "Group 6: Flaky | Passed (with var CV &gt; 0) AND Failed (with var CV &gt; 0) | Equal Means", IF(AND(IFERROR(ROUND(V137,8),0)=0, IFERROR(ROUND(Y137,8),0)&gt;0),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137" s="29" t="n">
        <v>0</v>
      </c>
      <c r="AB137" s="29" t="n">
        <v>0</v>
      </c>
      <c r="AC137" s="29" t="str">
        <f aca="false">IFERROR(AB137/AA137*100,"N/A")</f>
        <v>N/A</v>
      </c>
      <c r="AD137" s="29" t="n">
        <v>0.945278</v>
      </c>
      <c r="AE137" s="29" t="n">
        <v>0.010341</v>
      </c>
      <c r="AF137" s="29" t="n">
        <f aca="false">IFERROR(AE137/AD137*100,"N/A")</f>
        <v>1.0939638921037</v>
      </c>
      <c r="AG137" s="30" t="str">
        <f aca="false">IF(AND(Q137&gt;0, R137=0), IF(IFERROR(ROUND(AC137,8),0)=0, "Group 9: Only Passed | Without variation (no var CV = 0)", "Group 10: Only Passed | With variation (with var CV &gt; 0)"), IF(AND(Q137=0, R137&gt;0), IF(IFERROR(ROUND(AF137,8),0)=0, "Group 11: Only Failed | Without variation (no var CV = 0)", "Group 12: Only Failed | With variation (with var CV &gt; 0)"), IF(AND(Q137&gt;0, R137&gt;0), IF(ROUND(AA137,5)&lt;&gt;ROUND(AD137,5), IF(AND(IFERROR(ROUND(AC137,8),0)=0, IFERROR(ROUND(AF137,8),0)=0), "Group 1: Flaky | Passed (no variation: CV = 0) AND Failed (no variation: CV = 0) | Different Means", IF(AND(IFERROR(ROUND(AC137,8),0)&gt;0, IFERROR(ROUND(AF137,8),0)&gt;0), "Group 2: Flaky | Passed (with variation: CV &gt; 0) AND Failed (with variation: CV &gt; 0) | Different Means", IF(AND(IFERROR(ROUND(AC137,8),0)=0, IFERROR(ROUND(AF137,8),0)&gt;0), "Group 3: Flaky | Passed (no variation: CV = 0) AND Failed (with variation: CV &gt; 0) | Different Means", "Group 4: Flaky | Passed (with variation: CV &gt; 0) AND Failed (no variation: CV = 0) | Different Means"))), IF(AND(IFERROR(ROUND(AC137,8),0)=0, IFERROR(ROUND(AF137,8),0)=0), "Group 5: Flaky | Passed (no var CV = 0) AND Failed (no var CV = 0) | Equal Means", IF(AND(IFERROR(ROUND(AC137,8),0)&gt;0, IFERROR(ROUND(AF137,8),0)&gt;0), "Group 6: Flaky | Passed (with var CV &gt; 0) AND Failed (with var CV &gt; 0) | Equal Means", IF(AND(IFERROR(ROUND(AC137,8),0)=0, IFERROR(ROUND(AF137,8),0)&gt;0),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137" s="22" t="n">
        <v>0</v>
      </c>
      <c r="AI137" s="17" t="n">
        <v>100</v>
      </c>
      <c r="AJ137" s="31" t="str">
        <f aca="false">IF(AND(AH137&gt;0, AI137&gt;0), "Observed Flaky Test", "Non-observed Flaky Test")</f>
        <v>Non-observed Flaky Test</v>
      </c>
      <c r="AK137" s="32" t="n">
        <v>0</v>
      </c>
      <c r="AL137" s="32" t="n">
        <v>0</v>
      </c>
      <c r="AM137" s="33" t="str">
        <f aca="false">IFERROR(AL137/AK137*100,"N/A")</f>
        <v>N/A</v>
      </c>
      <c r="AN137" s="81" t="n">
        <v>21512.9</v>
      </c>
      <c r="AO137" s="82" t="n">
        <v>0.301511344577763</v>
      </c>
      <c r="AP137" s="35" t="n">
        <f aca="false">IFERROR(AO137/AN137*100,"N/A")</f>
        <v>0.00140153742441867</v>
      </c>
      <c r="AQ137" s="36" t="str">
        <f aca="false">IF(AND(AH137&gt;0, AI137&gt;0),
    IF(ROUND(N(AK137),5)&lt;&gt;ROUND(N(AN137),5),
        IF(AND(ROUND(N(AL137),8)=0, ROUND(N(AO137),8)=0), "Group 1: Flaky | Passed (no variation: SD = 0) AND Failed (no variation: SD = 0) | Different Means",
        IF(AND(ROUND(N(AL137),8)&gt;0, ROUND(N(AO137),8)&gt;0), "Group 2: Flaky | Passed (with variation: SD &gt; 0) AND Failed (with variation: SD &gt; 0) | Different Means",
        IF(AND(ROUND(N(AL137),8)=0, ROUND(N(AO137),8)&gt;0), "Group 3: Flaky | Passed (no variation: SD = 0) AND Failed (with variation: SD &gt; 0) | Different Means",
        "Group 4: Flaky | Passed (with variation: SD &gt; 0) AND Failed (no variation: SD = 0) | Different Means"))),
        IF(AND(ROUND(N(AL137),8)=0, ROUND(N(AO137),8)=0), "Group 5: Flaky | Passed (no var SD = 0) AND Failed (no var SD = 0) | Equal Means",
        IF(AND(ROUND(N(AL137),8)&gt;0, ROUND(N(AO137),8)&gt;0), "Group 6: Flaky | Passed (with var SD &gt; 0 ) AND Failed (with var SD &gt; 0) | Equal Means",
        IF(AND(ROUND(N(AL137),8)=0, ROUND(N(AO137),8)&gt;0), "Group 7: Flaky | Passed (no var SD = 0) AND Failed (with var SD &gt; 0) | Equal Means",
        "Group 8: Flaky | Passed (with var SD &gt; 0 ) AND Failed (no var SD = 0) | Equal Means")))
    ),
    IF(AH137&gt;0,
        IF(N(AL137)&gt;0, "Group 10: Only Passed | With variation (with var SD &gt; 0)", "Group 9: Only Passed | Without variation (no var SD = 0)"),
        IF(AI137&gt;0,
            IF(N(AO137)&gt;0,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137" s="37" t="str">
        <f aca="false">IF(OR(F137="Observed Flaky Test", I137="Observed Flaky Test", S137="Observed Flaky Test", AJ137="Observed Flaky Test"), "Observed Flaky Test", "Non-observed Flaky Test")</f>
        <v>Non-observed Flaky Test</v>
      </c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</row>
    <row r="138" customFormat="false" ht="15.75" hidden="false" customHeight="true" outlineLevel="0" collapsed="false">
      <c r="A138" s="13"/>
      <c r="B138" s="14" t="s">
        <v>310</v>
      </c>
      <c r="C138" s="14" t="s">
        <v>311</v>
      </c>
      <c r="D138" s="15" t="n">
        <v>0</v>
      </c>
      <c r="E138" s="15" t="n">
        <v>100</v>
      </c>
      <c r="F138" s="16" t="str">
        <f aca="false">IF(AND(D138&gt;0, E138&gt;0), "Observed Flaky Test", "Non-observed Flaky Test")</f>
        <v>Non-observed Flaky Test</v>
      </c>
      <c r="G138" s="22" t="n">
        <v>100</v>
      </c>
      <c r="H138" s="22" t="n">
        <v>0</v>
      </c>
      <c r="I138" s="16" t="str">
        <f aca="false">IF(AND(G138&gt;0, H138&gt;0), "Observed Flaky Test", "Non-observed Flaky Test")</f>
        <v>Non-observed Flaky Test</v>
      </c>
      <c r="J138" s="18" t="n">
        <v>16.23</v>
      </c>
      <c r="K138" s="18" t="n">
        <v>0</v>
      </c>
      <c r="L138" s="19" t="n">
        <f aca="false">IFERROR(K138/J138*100,"N/A")</f>
        <v>0</v>
      </c>
      <c r="M138" s="18" t="n">
        <v>0</v>
      </c>
      <c r="N138" s="18" t="n">
        <v>0</v>
      </c>
      <c r="O138" s="20" t="str">
        <f aca="false">IFERROR(N138/M138*100,"N/A")</f>
        <v>N/A</v>
      </c>
      <c r="P138" s="56" t="str">
        <f aca="false">IF(AND(G138&gt;0, H138=0), IF(ROUND(K138,8)=0, "Group 9: Only Passed | Without variation (SD Passed = 0)", "Group 10: Only Passed | With variation (SD Passed &gt; 0)"), IF(AND(G138=0, H138&gt;0), IF(ROUND(N138,8)=0, "Group 11: Only Failed | Without variation (SD Failed = 0)", "Group 12: Only Failed | With variation (SD Failed &gt; 0)"), IF(AND(G138&gt;0, H138&gt;0), IF(ROUND(J138,5)&lt;&gt;ROUND(M138,5), IF(AND(ROUND(K138,8)=0, ROUND(N138,8)=0), "Group 1: Flaky | Passed (no variation) AND Failed (no variation) | Different Means", IF(AND(ROUND(K138,8)&gt;0, ROUND(N138,8)&gt;0), "Group 2: Flaky | Passed (with variation) AND Failed (with variation) | Different Means", IF(AND(ROUND(K138,8)=0, ROUND(N138,8)&gt;0), "Group 3: Flaky | Passed (no variation) AND Failed (with variation) | Different Means", "Group 4: Flaky | Passed (with variation) AND Failed (no variation) | Different Means"))), IF(AND(ROUND(K138,8)=0, ROUND(N138,8)=0), "Group 5: Flaky | Passed (no variation) AND Failed (no variation) | Equal Means", IF(AND(ROUND(K138,8)&gt;0, ROUND(N138,8)&gt;0), "Group 6: Flaky | Passed (with variation) AND Failed (with variation) | Equal Means", IF(AND(ROUND(K138,8)=0, ROUND(N138,8)&gt;0),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38" s="22" t="n">
        <v>100</v>
      </c>
      <c r="R138" s="22" t="n">
        <v>0</v>
      </c>
      <c r="S138" s="23" t="str">
        <f aca="false">IF(AND(Q138&gt;0, R138&gt;0), "Observed Flaky Test", "Non-observed Flaky Test")</f>
        <v>Non-observed Flaky Test</v>
      </c>
      <c r="T138" s="22" t="n">
        <v>521675.64</v>
      </c>
      <c r="U138" s="24" t="n">
        <v>9.123751</v>
      </c>
      <c r="V138" s="25" t="n">
        <f aca="false">IFERROR(U138/T138*100,"N/A")</f>
        <v>0.00174893176917366</v>
      </c>
      <c r="W138" s="22" t="n">
        <v>0</v>
      </c>
      <c r="X138" s="22" t="n">
        <v>0</v>
      </c>
      <c r="Y138" s="27" t="str">
        <f aca="false">IFERROR(X138/W138*100,"N/A")</f>
        <v>N/A</v>
      </c>
      <c r="Z138" s="50" t="str">
        <f aca="false">IF(AND(Q138&gt;0, R138=0), IF(IFERROR(ROUND(V138,8),0)=0, "Group 9: Only Passed | Without variation (no var CV = 0)", "Group 10: Only Passed | With variation (with var CV &gt; 0)"), IF(AND(Q138=0, R138&gt;0), IF(IFERROR(ROUND(Y138,8),0)=0, "Group 11: Only Failed | Without variation (no var CV = 0)", "Group 12: Only Failed | With variation (with var CV &gt; 0)"), IF(AND(Q138&gt;0, R138&gt;0), IF(ROUND(T138,5)&lt;&gt;ROUND(W138,5), IF(AND(IFERROR(ROUND(V138,8),0)=0, IFERROR(ROUND(Y138,8),0)=0), "Group 1: Flaky | Passed (no variation: CV = 0) AND Failed (no variation: CV = 0) | Different Means", IF(AND(IFERROR(ROUND(V138,8),0)&gt;0, IFERROR(ROUND(Y138,8),0)&gt;0), "Group 2: Flaky | Passed (with variation: CV &gt; 0) AND Failed (with variation: CV &gt; 0) | Different Means", IF(AND(IFERROR(ROUND(V138,8),0)=0, IFERROR(ROUND(Y138,8),0)&gt;0), "Group 3: Flaky | Passed (no variation: CV = 0) AND Failed (with variation: CV &gt; 0) | Different Means", "Group 4: Flaky | Passed (with variation: CV &gt; 0) AND Failed (no variation: CV = 0) | Different Means"))), IF(AND(IFERROR(ROUND(V138,8),0)=0, IFERROR(ROUND(Y138,8),0)=0), "Group 5: Flaky | Passed (no var CV = 0) AND Failed (no var CV = 0) | Equal Means", IF(AND(IFERROR(ROUND(V138,8),0)&gt;0, IFERROR(ROUND(Y138,8),0)&gt;0), "Group 6: Flaky | Passed (with var CV &gt; 0) AND Failed (with var CV &gt; 0) | Equal Means", IF(AND(IFERROR(ROUND(V138,8),0)=0, IFERROR(ROUND(Y138,8),0)&gt;0),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8" s="29" t="n">
        <v>0.32092</v>
      </c>
      <c r="AB138" s="29" t="n">
        <v>0.005784</v>
      </c>
      <c r="AC138" s="29" t="n">
        <f aca="false">IFERROR(AB138/AA138*100,"N/A")</f>
        <v>1.80231833478749</v>
      </c>
      <c r="AD138" s="29" t="n">
        <v>0</v>
      </c>
      <c r="AE138" s="29" t="n">
        <v>0</v>
      </c>
      <c r="AF138" s="29" t="str">
        <f aca="false">IFERROR(AE138/AD138*100,"N/A")</f>
        <v>N/A</v>
      </c>
      <c r="AG138" s="51" t="str">
        <f aca="false">IF(AND(Q138&gt;0, R138=0), IF(IFERROR(ROUND(AC138,8),0)=0, "Group 9: Only Passed | Without variation (no var CV = 0)", "Group 10: Only Passed | With variation (with var CV &gt; 0)"), IF(AND(Q138=0, R138&gt;0), IF(IFERROR(ROUND(AF138,8),0)=0, "Group 11: Only Failed | Without variation (no var CV = 0)", "Group 12: Only Failed | With variation (with var CV &gt; 0)"), IF(AND(Q138&gt;0, R138&gt;0), IF(ROUND(AA138,5)&lt;&gt;ROUND(AD138,5), IF(AND(IFERROR(ROUND(AC138,8),0)=0, IFERROR(ROUND(AF138,8),0)=0), "Group 1: Flaky | Passed (no variation: CV = 0) AND Failed (no variation: CV = 0) | Different Means", IF(AND(IFERROR(ROUND(AC138,8),0)&gt;0, IFERROR(ROUND(AF138,8),0)&gt;0), "Group 2: Flaky | Passed (with variation: CV &gt; 0) AND Failed (with variation: CV &gt; 0) | Different Means", IF(AND(IFERROR(ROUND(AC138,8),0)=0, IFERROR(ROUND(AF138,8),0)&gt;0), "Group 3: Flaky | Passed (no variation: CV = 0) AND Failed (with variation: CV &gt; 0) | Different Means", "Group 4: Flaky | Passed (with variation: CV &gt; 0) AND Failed (no variation: CV = 0) | Different Means"))), IF(AND(IFERROR(ROUND(AC138,8),0)=0, IFERROR(ROUND(AF138,8),0)=0), "Group 5: Flaky | Passed (no var CV = 0) AND Failed (no var CV = 0) | Equal Means", IF(AND(IFERROR(ROUND(AC138,8),0)&gt;0, IFERROR(ROUND(AF138,8),0)&gt;0), "Group 6: Flaky | Passed (with var CV &gt; 0) AND Failed (with var CV &gt; 0) | Equal Means", IF(AND(IFERROR(ROUND(AC138,8),0)=0, IFERROR(ROUND(AF138,8),0)&gt;0),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8" s="22" t="n">
        <v>100</v>
      </c>
      <c r="AI138" s="17" t="n">
        <v>0</v>
      </c>
      <c r="AJ138" s="31" t="str">
        <f aca="false">IF(AND(AH138&gt;0, AI138&gt;0), "Observed Flaky Test", "Non-observed Flaky Test")</f>
        <v>Non-observed Flaky Test</v>
      </c>
      <c r="AK138" s="81" t="n">
        <v>20842.23</v>
      </c>
      <c r="AL138" s="86" t="n">
        <v>2.83147889401858</v>
      </c>
      <c r="AM138" s="33" t="n">
        <f aca="false">IFERROR(AL138/AK138*100,"N/A")</f>
        <v>0.0135852972259618</v>
      </c>
      <c r="AN138" s="32" t="n">
        <v>0</v>
      </c>
      <c r="AO138" s="32" t="n">
        <v>0</v>
      </c>
      <c r="AP138" s="35" t="str">
        <f aca="false">IFERROR(AO138/AN138*100,"N/A")</f>
        <v>N/A</v>
      </c>
      <c r="AQ138" s="52" t="str">
        <f aca="false">IF(AND(AH138&gt;0, AI138&gt;0),
    IF(ROUND(N(AK138),5)&lt;&gt;ROUND(N(AN138),5),
        IF(AND(ROUND(N(AL138),8)=0, ROUND(N(AO138),8)=0), "Group 1: Flaky | Passed (no variation: SD = 0) AND Failed (no variation: SD = 0) | Different Means",
        IF(AND(ROUND(N(AL138),8)&gt;0, ROUND(N(AO138),8)&gt;0), "Group 2: Flaky | Passed (with variation: SD &gt; 0) AND Failed (with variation: SD &gt; 0) | Different Means",
        IF(AND(ROUND(N(AL138),8)=0, ROUND(N(AO138),8)&gt;0), "Group 3: Flaky | Passed (no variation: SD = 0) AND Failed (with variation: SD &gt; 0) | Different Means",
        "Group 4: Flaky | Passed (with variation: SD &gt; 0) AND Failed (no variation: SD = 0) | Different Means"))),
        IF(AND(ROUND(N(AL138),8)=0, ROUND(N(AO138),8)=0), "Group 5: Flaky | Passed (no var SD = 0) AND Failed (no var SD = 0) | Equal Means",
        IF(AND(ROUND(N(AL138),8)&gt;0, ROUND(N(AO138),8)&gt;0), "Group 6: Flaky | Passed (with var SD &gt; 0 ) AND Failed (with var SD &gt; 0) | Equal Means",
        IF(AND(ROUND(N(AL138),8)=0, ROUND(N(AO138),8)&gt;0), "Group 7: Flaky | Passed (no var SD = 0) AND Failed (with var SD &gt; 0) | Equal Means",
        "Group 8: Flaky | Passed (with var SD &gt; 0 ) AND Failed (no var SD = 0) | Equal Means")))
    ),
    IF(AH138&gt;0,
        IF(N(AL138)&gt;0, "Group 10: Only Passed | With variation (with var SD &gt; 0)", "Group 9: Only Passed | Without variation (no var SD = 0)"),
        IF(AI138&gt;0,
            IF(N(AO138)&gt;0,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38" s="37" t="str">
        <f aca="false">IF(OR(F138="Observed Flaky Test", I138="Observed Flaky Test", S138="Observed Flaky Test", AJ138="Observed Flaky Test"), "Observed Flaky Test", "Non-observed Flaky Test")</f>
        <v>Non-observed Flaky Test</v>
      </c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</row>
    <row r="139" customFormat="false" ht="26.25" hidden="false" customHeight="true" outlineLevel="0" collapsed="false">
      <c r="A139" s="81" t="s">
        <v>312</v>
      </c>
      <c r="B139" s="14" t="s">
        <v>313</v>
      </c>
      <c r="C139" s="14" t="s">
        <v>314</v>
      </c>
      <c r="D139" s="15" t="n">
        <v>100</v>
      </c>
      <c r="E139" s="15" t="n">
        <v>0</v>
      </c>
      <c r="F139" s="16" t="str">
        <f aca="false">IF(AND(D139&gt;0, E139&gt;0), "Observed Flaky Test", "Non-observed Flaky Test")</f>
        <v>Non-observed Flaky Test</v>
      </c>
      <c r="G139" s="22" t="n">
        <v>100</v>
      </c>
      <c r="H139" s="22" t="n">
        <v>0</v>
      </c>
      <c r="I139" s="16" t="str">
        <f aca="false">IF(AND(G139&gt;0, H139&gt;0), "Observed Flaky Test", "Non-observed Flaky Test")</f>
        <v>Non-observed Flaky Test</v>
      </c>
      <c r="J139" s="46" t="n">
        <v>6.0895</v>
      </c>
      <c r="K139" s="53" t="n">
        <v>0.071559</v>
      </c>
      <c r="L139" s="19" t="n">
        <f aca="false">IFERROR(K139/J139*100,"N/A")</f>
        <v>1.17512111010756</v>
      </c>
      <c r="M139" s="18" t="n">
        <v>0</v>
      </c>
      <c r="N139" s="18" t="n">
        <v>0</v>
      </c>
      <c r="O139" s="20" t="str">
        <f aca="false">IFERROR(N139/M139*100,"N/A")</f>
        <v>N/A</v>
      </c>
      <c r="P139" s="48" t="str">
        <f aca="false">IF(AND(G139&gt;0, H139=0), IF(ROUND(K139,8)=0, "Group 9: Only Passed | Without variation (SD Passed = 0)", "Group 10: Only Passed | With variation (SD Passed &gt; 0)"), IF(AND(G139=0, H139&gt;0), IF(ROUND(N139,8)=0, "Group 11: Only Failed | Without variation (SD Failed = 0)", "Group 12: Only Failed | With variation (SD Failed &gt; 0)"), IF(AND(G139&gt;0, H139&gt;0), IF(ROUND(J139,5)&lt;&gt;ROUND(M139,5), IF(AND(ROUND(K139,8)=0, ROUND(N139,8)=0), "Group 1: Flaky | Passed (no variation) AND Failed (no variation) | Different Means", IF(AND(ROUND(K139,8)&gt;0, ROUND(N139,8)&gt;0), "Group 2: Flaky | Passed (with variation) AND Failed (with variation) | Different Means", IF(AND(ROUND(K139,8)=0, ROUND(N139,8)&gt;0), "Group 3: Flaky | Passed (no variation) AND Failed (with variation) | Different Means", "Group 4: Flaky | Passed (with variation) AND Failed (no variation) | Different Means"))), IF(AND(ROUND(K139,8)=0, ROUND(N139,8)=0), "Group 5: Flaky | Passed (no variation) AND Failed (no variation) | Equal Means", IF(AND(ROUND(K139,8)&gt;0, ROUND(N139,8)&gt;0), "Group 6: Flaky | Passed (with variation) AND Failed (with variation) | Equal Means", IF(AND(ROUND(K139,8)=0, ROUND(N139,8)&gt;0),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39" s="22" t="n">
        <v>100</v>
      </c>
      <c r="R139" s="22" t="n">
        <v>0</v>
      </c>
      <c r="S139" s="23" t="str">
        <f aca="false">IF(AND(Q139&gt;0, R139&gt;0), "Observed Flaky Test", "Non-observed Flaky Test")</f>
        <v>Non-observed Flaky Test</v>
      </c>
      <c r="T139" s="22" t="n">
        <v>907195.56</v>
      </c>
      <c r="U139" s="24" t="n">
        <v>131.654147</v>
      </c>
      <c r="V139" s="25" t="n">
        <f aca="false">IFERROR(U139/T139*100,"N/A")</f>
        <v>0.0145122124495406</v>
      </c>
      <c r="W139" s="22" t="n">
        <v>0</v>
      </c>
      <c r="X139" s="22" t="n">
        <v>0</v>
      </c>
      <c r="Y139" s="27" t="str">
        <f aca="false">IFERROR(X139/W139*100,"N/A")</f>
        <v>N/A</v>
      </c>
      <c r="Z139" s="50" t="str">
        <f aca="false">IF(AND(Q139&gt;0, R139=0), IF(IFERROR(ROUND(V139,8),0)=0, "Group 9: Only Passed | Without variation (no var CV = 0)", "Group 10: Only Passed | With variation (with var CV &gt; 0)"), IF(AND(Q139=0, R139&gt;0), IF(IFERROR(ROUND(Y139,8),0)=0, "Group 11: Only Failed | Without variation (no var CV = 0)", "Group 12: Only Failed | With variation (with var CV &gt; 0)"), IF(AND(Q139&gt;0, R139&gt;0), IF(ROUND(T139,5)&lt;&gt;ROUND(W139,5), IF(AND(IFERROR(ROUND(V139,8),0)=0, IFERROR(ROUND(Y139,8),0)=0), "Group 1: Flaky | Passed (no variation: CV = 0) AND Failed (no variation: CV = 0) | Different Means", IF(AND(IFERROR(ROUND(V139,8),0)&gt;0, IFERROR(ROUND(Y139,8),0)&gt;0), "Group 2: Flaky | Passed (with variation: CV &gt; 0) AND Failed (with variation: CV &gt; 0) | Different Means", IF(AND(IFERROR(ROUND(V139,8),0)=0, IFERROR(ROUND(Y139,8),0)&gt;0), "Group 3: Flaky | Passed (no variation: CV = 0) AND Failed (with variation: CV &gt; 0) | Different Means", "Group 4: Flaky | Passed (with variation: CV &gt; 0) AND Failed (no variation: CV = 0) | Different Means"))), IF(AND(IFERROR(ROUND(V139,8),0)=0, IFERROR(ROUND(Y139,8),0)=0), "Group 5: Flaky | Passed (no var CV = 0) AND Failed (no var CV = 0) | Equal Means", IF(AND(IFERROR(ROUND(V139,8),0)&gt;0, IFERROR(ROUND(Y139,8),0)&gt;0), "Group 6: Flaky | Passed (with var CV &gt; 0) AND Failed (with var CV &gt; 0) | Equal Means", IF(AND(IFERROR(ROUND(V139,8),0)=0, IFERROR(ROUND(Y139,8),0)&gt;0),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39" s="29" t="n">
        <v>0.583035</v>
      </c>
      <c r="AB139" s="29" t="n">
        <v>0.032707</v>
      </c>
      <c r="AC139" s="29" t="n">
        <f aca="false">IFERROR(AB139/AA139*100,"N/A")</f>
        <v>5.60978328916789</v>
      </c>
      <c r="AD139" s="29" t="n">
        <v>0</v>
      </c>
      <c r="AE139" s="29" t="n">
        <v>0</v>
      </c>
      <c r="AF139" s="29" t="str">
        <f aca="false">IFERROR(AE139/AD139*100,"N/A")</f>
        <v>N/A</v>
      </c>
      <c r="AG139" s="51" t="str">
        <f aca="false">IF(AND(Q139&gt;0, R139=0), IF(IFERROR(ROUND(AC139,8),0)=0, "Group 9: Only Passed | Without variation (no var CV = 0)", "Group 10: Only Passed | With variation (with var CV &gt; 0)"), IF(AND(Q139=0, R139&gt;0), IF(IFERROR(ROUND(AF139,8),0)=0, "Group 11: Only Failed | Without variation (no var CV = 0)", "Group 12: Only Failed | With variation (with var CV &gt; 0)"), IF(AND(Q139&gt;0, R139&gt;0), IF(ROUND(AA139,5)&lt;&gt;ROUND(AD139,5), IF(AND(IFERROR(ROUND(AC139,8),0)=0, IFERROR(ROUND(AF139,8),0)=0), "Group 1: Flaky | Passed (no variation: CV = 0) AND Failed (no variation: CV = 0) | Different Means", IF(AND(IFERROR(ROUND(AC139,8),0)&gt;0, IFERROR(ROUND(AF139,8),0)&gt;0), "Group 2: Flaky | Passed (with variation: CV &gt; 0) AND Failed (with variation: CV &gt; 0) | Different Means", IF(AND(IFERROR(ROUND(AC139,8),0)=0, IFERROR(ROUND(AF139,8),0)&gt;0), "Group 3: Flaky | Passed (no variation: CV = 0) AND Failed (with variation: CV &gt; 0) | Different Means", "Group 4: Flaky | Passed (with variation: CV &gt; 0) AND Failed (no variation: CV = 0) | Different Means"))), IF(AND(IFERROR(ROUND(AC139,8),0)=0, IFERROR(ROUND(AF139,8),0)=0), "Group 5: Flaky | Passed (no var CV = 0) AND Failed (no var CV = 0) | Equal Means", IF(AND(IFERROR(ROUND(AC139,8),0)&gt;0, IFERROR(ROUND(AF139,8),0)&gt;0), "Group 6: Flaky | Passed (with var CV &gt; 0) AND Failed (with var CV &gt; 0) | Equal Means", IF(AND(IFERROR(ROUND(AC139,8),0)=0, IFERROR(ROUND(AF139,8),0)&gt;0),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39" s="22" t="n">
        <v>0</v>
      </c>
      <c r="AI139" s="17" t="n">
        <v>100</v>
      </c>
      <c r="AJ139" s="31" t="str">
        <f aca="false">IF(AND(AH139&gt;0, AI139&gt;0), "Observed Flaky Test", "Non-observed Flaky Test")</f>
        <v>Non-observed Flaky Test</v>
      </c>
      <c r="AK139" s="32" t="n">
        <v>0</v>
      </c>
      <c r="AL139" s="32" t="n">
        <v>0</v>
      </c>
      <c r="AM139" s="33" t="str">
        <f aca="false">IFERROR(AL139/AK139*100,"N/A")</f>
        <v>N/A</v>
      </c>
      <c r="AN139" s="32" t="n">
        <v>2158390</v>
      </c>
      <c r="AO139" s="32" t="n">
        <v>0</v>
      </c>
      <c r="AP139" s="35" t="n">
        <f aca="false">IFERROR(AO139/AN139*100,"N/A")</f>
        <v>0</v>
      </c>
      <c r="AQ139" s="73" t="str">
        <f aca="false">IF(AND(AH139&gt;0, AI139&gt;0),
    IF(ROUND(N(AK139),5)&lt;&gt;ROUND(N(AN139),5),
        IF(AND(ROUND(N(AL139),8)=0, ROUND(N(AO139),8)=0), "Group 1: Flaky | Passed (no variation: SD = 0) AND Failed (no variation: SD = 0) | Different Means",
        IF(AND(ROUND(N(AL139),8)&gt;0, ROUND(N(AO139),8)&gt;0), "Group 2: Flaky | Passed (with variation: SD &gt; 0) AND Failed (with variation: SD &gt; 0) | Different Means",
        IF(AND(ROUND(N(AL139),8)=0, ROUND(N(AO139),8)&gt;0), "Group 3: Flaky | Passed (no variation: SD = 0) AND Failed (with variation: SD &gt; 0) | Different Means",
        "Group 4: Flaky | Passed (with variation: SD &gt; 0) AND Failed (no variation: SD = 0) | Different Means"))),
        IF(AND(ROUND(N(AL139),8)=0, ROUND(N(AO139),8)=0), "Group 5: Flaky | Passed (no var SD = 0) AND Failed (no var SD = 0) | Equal Means",
        IF(AND(ROUND(N(AL139),8)&gt;0, ROUND(N(AO139),8)&gt;0), "Group 6: Flaky | Passed (with var SD &gt; 0 ) AND Failed (with var SD &gt; 0) | Equal Means",
        IF(AND(ROUND(N(AL139),8)=0, ROUND(N(AO139),8)&gt;0), "Group 7: Flaky | Passed (no var SD = 0) AND Failed (with var SD &gt; 0) | Equal Means",
        "Group 8: Flaky | Passed (with var SD &gt; 0 ) AND Failed (no var SD = 0) | Equal Means")))
    ),
    IF(AH139&gt;0,
        IF(N(AL139)&gt;0, "Group 10: Only Passed | With variation (with var SD &gt; 0)", "Group 9: Only Passed | Without variation (no var SD = 0)"),
        IF(AI139&gt;0,
            IF(N(AO139)&gt;0,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139" s="37" t="str">
        <f aca="false">IF(OR(F139="Observed Flaky Test", I139="Observed Flaky Test", S139="Observed Flaky Test", AJ139="Observed Flaky Test"), "Observed Flaky Test", "Non-observed Flaky Test")</f>
        <v>Non-observed Flaky Test</v>
      </c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</row>
    <row r="140" customFormat="false" ht="15.75" hidden="false" customHeight="true" outlineLevel="0" collapsed="false">
      <c r="A140" s="81"/>
      <c r="B140" s="14" t="s">
        <v>315</v>
      </c>
      <c r="C140" s="14" t="s">
        <v>316</v>
      </c>
      <c r="D140" s="15" t="n">
        <v>100</v>
      </c>
      <c r="E140" s="15" t="n">
        <v>0</v>
      </c>
      <c r="F140" s="16" t="str">
        <f aca="false">IF(AND(D140&gt;0, E140&gt;0), "Observed Flaky Test", "Non-observed Flaky Test")</f>
        <v>Non-observed Flaky Test</v>
      </c>
      <c r="G140" s="22" t="n">
        <v>100</v>
      </c>
      <c r="H140" s="22" t="n">
        <v>0</v>
      </c>
      <c r="I140" s="16" t="str">
        <f aca="false">IF(AND(G140&gt;0, H140&gt;0), "Observed Flaky Test", "Non-observed Flaky Test")</f>
        <v>Non-observed Flaky Test</v>
      </c>
      <c r="J140" s="46" t="n">
        <v>6.0714</v>
      </c>
      <c r="K140" s="53" t="n">
        <v>0.075591</v>
      </c>
      <c r="L140" s="19" t="n">
        <f aca="false">IFERROR(K140/J140*100,"N/A")</f>
        <v>1.24503409427809</v>
      </c>
      <c r="M140" s="18" t="n">
        <v>0</v>
      </c>
      <c r="N140" s="18" t="n">
        <v>0</v>
      </c>
      <c r="O140" s="20" t="str">
        <f aca="false">IFERROR(N140/M140*100,"N/A")</f>
        <v>N/A</v>
      </c>
      <c r="P140" s="48" t="str">
        <f aca="false">IF(AND(G140&gt;0, H140=0), IF(ROUND(K140,8)=0, "Group 9: Only Passed | Without variation (SD Passed = 0)", "Group 10: Only Passed | With variation (SD Passed &gt; 0)"), IF(AND(G140=0, H140&gt;0), IF(ROUND(N140,8)=0, "Group 11: Only Failed | Without variation (SD Failed = 0)", "Group 12: Only Failed | With variation (SD Failed &gt; 0)"), IF(AND(G140&gt;0, H140&gt;0), IF(ROUND(J140,5)&lt;&gt;ROUND(M140,5), IF(AND(ROUND(K140,8)=0, ROUND(N140,8)=0), "Group 1: Flaky | Passed (no variation) AND Failed (no variation) | Different Means", IF(AND(ROUND(K140,8)&gt;0, ROUND(N140,8)&gt;0), "Group 2: Flaky | Passed (with variation) AND Failed (with variation) | Different Means", IF(AND(ROUND(K140,8)=0, ROUND(N140,8)&gt;0), "Group 3: Flaky | Passed (no variation) AND Failed (with variation) | Different Means", "Group 4: Flaky | Passed (with variation) AND Failed (no variation) | Different Means"))), IF(AND(ROUND(K140,8)=0, ROUND(N140,8)=0), "Group 5: Flaky | Passed (no variation) AND Failed (no variation) | Equal Means", IF(AND(ROUND(K140,8)&gt;0, ROUND(N140,8)&gt;0), "Group 6: Flaky | Passed (with variation) AND Failed (with variation) | Equal Means", IF(AND(ROUND(K140,8)=0, ROUND(N140,8)&gt;0),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40" s="22" t="n">
        <v>100</v>
      </c>
      <c r="R140" s="22" t="n">
        <v>0</v>
      </c>
      <c r="S140" s="23" t="str">
        <f aca="false">IF(AND(Q140&gt;0, R140&gt;0), "Observed Flaky Test", "Non-observed Flaky Test")</f>
        <v>Non-observed Flaky Test</v>
      </c>
      <c r="T140" s="22" t="n">
        <v>907150.85</v>
      </c>
      <c r="U140" s="24" t="n">
        <v>128.505817</v>
      </c>
      <c r="V140" s="25" t="n">
        <f aca="false">IFERROR(U140/T140*100,"N/A")</f>
        <v>0.0141658707589813</v>
      </c>
      <c r="W140" s="22" t="n">
        <v>0</v>
      </c>
      <c r="X140" s="22" t="n">
        <v>0</v>
      </c>
      <c r="Y140" s="27" t="str">
        <f aca="false">IFERROR(X140/W140*100,"N/A")</f>
        <v>N/A</v>
      </c>
      <c r="Z140" s="50" t="str">
        <f aca="false">IF(AND(Q140&gt;0, R140=0), IF(IFERROR(ROUND(V140,8),0)=0, "Group 9: Only Passed | Without variation (no var CV = 0)", "Group 10: Only Passed | With variation (with var CV &gt; 0)"), IF(AND(Q140=0, R140&gt;0), IF(IFERROR(ROUND(Y140,8),0)=0, "Group 11: Only Failed | Without variation (no var CV = 0)", "Group 12: Only Failed | With variation (with var CV &gt; 0)"), IF(AND(Q140&gt;0, R140&gt;0), IF(ROUND(T140,5)&lt;&gt;ROUND(W140,5), IF(AND(IFERROR(ROUND(V140,8),0)=0, IFERROR(ROUND(Y140,8),0)=0), "Group 1: Flaky | Passed (no variation: CV = 0) AND Failed (no variation: CV = 0) | Different Means", IF(AND(IFERROR(ROUND(V140,8),0)&gt;0, IFERROR(ROUND(Y140,8),0)&gt;0), "Group 2: Flaky | Passed (with variation: CV &gt; 0) AND Failed (with variation: CV &gt; 0) | Different Means", IF(AND(IFERROR(ROUND(V140,8),0)=0, IFERROR(ROUND(Y140,8),0)&gt;0), "Group 3: Flaky | Passed (no variation: CV = 0) AND Failed (with variation: CV &gt; 0) | Different Means", "Group 4: Flaky | Passed (with variation: CV &gt; 0) AND Failed (no variation: CV = 0) | Different Means"))), IF(AND(IFERROR(ROUND(V140,8),0)=0, IFERROR(ROUND(Y140,8),0)=0), "Group 5: Flaky | Passed (no var CV = 0) AND Failed (no var CV = 0) | Equal Means", IF(AND(IFERROR(ROUND(V140,8),0)&gt;0, IFERROR(ROUND(Y140,8),0)&gt;0), "Group 6: Flaky | Passed (with var CV &gt; 0) AND Failed (with var CV &gt; 0) | Equal Means", IF(AND(IFERROR(ROUND(V140,8),0)=0, IFERROR(ROUND(Y140,8),0)&gt;0),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0" s="29" t="n">
        <v>0.579288</v>
      </c>
      <c r="AB140" s="29" t="n">
        <v>0.012252</v>
      </c>
      <c r="AC140" s="29" t="n">
        <f aca="false">IFERROR(AB140/AA140*100,"N/A")</f>
        <v>2.11501015039152</v>
      </c>
      <c r="AD140" s="29" t="n">
        <v>0</v>
      </c>
      <c r="AE140" s="29" t="n">
        <v>0</v>
      </c>
      <c r="AF140" s="29" t="str">
        <f aca="false">IFERROR(AE140/AD140*100,"N/A")</f>
        <v>N/A</v>
      </c>
      <c r="AG140" s="51" t="str">
        <f aca="false">IF(AND(Q140&gt;0, R140=0), IF(IFERROR(ROUND(AC140,8),0)=0, "Group 9: Only Passed | Without variation (no var CV = 0)", "Group 10: Only Passed | With variation (with var CV &gt; 0)"), IF(AND(Q140=0, R140&gt;0), IF(IFERROR(ROUND(AF140,8),0)=0, "Group 11: Only Failed | Without variation (no var CV = 0)", "Group 12: Only Failed | With variation (with var CV &gt; 0)"), IF(AND(Q140&gt;0, R140&gt;0), IF(ROUND(AA140,5)&lt;&gt;ROUND(AD140,5), IF(AND(IFERROR(ROUND(AC140,8),0)=0, IFERROR(ROUND(AF140,8),0)=0), "Group 1: Flaky | Passed (no variation: CV = 0) AND Failed (no variation: CV = 0) | Different Means", IF(AND(IFERROR(ROUND(AC140,8),0)&gt;0, IFERROR(ROUND(AF140,8),0)&gt;0), "Group 2: Flaky | Passed (with variation: CV &gt; 0) AND Failed (with variation: CV &gt; 0) | Different Means", IF(AND(IFERROR(ROUND(AC140,8),0)=0, IFERROR(ROUND(AF140,8),0)&gt;0), "Group 3: Flaky | Passed (no variation: CV = 0) AND Failed (with variation: CV &gt; 0) | Different Means", "Group 4: Flaky | Passed (with variation: CV &gt; 0) AND Failed (no variation: CV = 0) | Different Means"))), IF(AND(IFERROR(ROUND(AC140,8),0)=0, IFERROR(ROUND(AF140,8),0)=0), "Group 5: Flaky | Passed (no var CV = 0) AND Failed (no var CV = 0) | Equal Means", IF(AND(IFERROR(ROUND(AC140,8),0)&gt;0, IFERROR(ROUND(AF140,8),0)&gt;0), "Group 6: Flaky | Passed (with var CV &gt; 0) AND Failed (with var CV &gt; 0) | Equal Means", IF(AND(IFERROR(ROUND(AC140,8),0)=0, IFERROR(ROUND(AF140,8),0)&gt;0),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0" s="22" t="n">
        <v>0</v>
      </c>
      <c r="AI140" s="17" t="n">
        <v>100</v>
      </c>
      <c r="AJ140" s="31" t="str">
        <f aca="false">IF(AND(AH140&gt;0, AI140&gt;0), "Observed Flaky Test", "Non-observed Flaky Test")</f>
        <v>Non-observed Flaky Test</v>
      </c>
      <c r="AK140" s="32" t="n">
        <v>0</v>
      </c>
      <c r="AL140" s="32" t="n">
        <v>0</v>
      </c>
      <c r="AM140" s="33" t="str">
        <f aca="false">IFERROR(AL140/AK140*100,"N/A")</f>
        <v>N/A</v>
      </c>
      <c r="AN140" s="32" t="n">
        <v>2158390</v>
      </c>
      <c r="AO140" s="32" t="n">
        <v>0</v>
      </c>
      <c r="AP140" s="35" t="n">
        <f aca="false">IFERROR(AO140/AN140*100,"N/A")</f>
        <v>0</v>
      </c>
      <c r="AQ140" s="73" t="str">
        <f aca="false">IF(AND(AH140&gt;0, AI140&gt;0),
    IF(ROUND(N(AK140),5)&lt;&gt;ROUND(N(AN140),5),
        IF(AND(ROUND(N(AL140),8)=0, ROUND(N(AO140),8)=0), "Group 1: Flaky | Passed (no variation: SD = 0) AND Failed (no variation: SD = 0) | Different Means",
        IF(AND(ROUND(N(AL140),8)&gt;0, ROUND(N(AO140),8)&gt;0), "Group 2: Flaky | Passed (with variation: SD &gt; 0) AND Failed (with variation: SD &gt; 0) | Different Means",
        IF(AND(ROUND(N(AL140),8)=0, ROUND(N(AO140),8)&gt;0), "Group 3: Flaky | Passed (no variation: SD = 0) AND Failed (with variation: SD &gt; 0) | Different Means",
        "Group 4: Flaky | Passed (with variation: SD &gt; 0) AND Failed (no variation: SD = 0) | Different Means"))),
        IF(AND(ROUND(N(AL140),8)=0, ROUND(N(AO140),8)=0), "Group 5: Flaky | Passed (no var SD = 0) AND Failed (no var SD = 0) | Equal Means",
        IF(AND(ROUND(N(AL140),8)&gt;0, ROUND(N(AO140),8)&gt;0), "Group 6: Flaky | Passed (with var SD &gt; 0 ) AND Failed (with var SD &gt; 0) | Equal Means",
        IF(AND(ROUND(N(AL140),8)=0, ROUND(N(AO140),8)&gt;0), "Group 7: Flaky | Passed (no var SD = 0) AND Failed (with var SD &gt; 0) | Equal Means",
        "Group 8: Flaky | Passed (with var SD &gt; 0 ) AND Failed (no var SD = 0) | Equal Means")))
    ),
    IF(AH140&gt;0,
        IF(N(AL140)&gt;0, "Group 10: Only Passed | With variation (with var SD &gt; 0)", "Group 9: Only Passed | Without variation (no var SD = 0)"),
        IF(AI140&gt;0,
            IF(N(AO140)&gt;0,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140" s="37" t="str">
        <f aca="false">IF(OR(F140="Observed Flaky Test", I140="Observed Flaky Test", S140="Observed Flaky Test", AJ140="Observed Flaky Test"), "Observed Flaky Test", "Non-observed Flaky Test")</f>
        <v>Non-observed Flaky Test</v>
      </c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</row>
    <row r="141" customFormat="false" ht="15.75" hidden="false" customHeight="true" outlineLevel="0" collapsed="false">
      <c r="A141" s="81"/>
      <c r="B141" s="14" t="s">
        <v>317</v>
      </c>
      <c r="C141" s="14" t="s">
        <v>318</v>
      </c>
      <c r="D141" s="15" t="n">
        <v>100</v>
      </c>
      <c r="E141" s="15" t="n">
        <v>0</v>
      </c>
      <c r="F141" s="16" t="str">
        <f aca="false">IF(AND(D141&gt;0, E141&gt;0), "Observed Flaky Test", "Non-observed Flaky Test")</f>
        <v>Non-observed Flaky Test</v>
      </c>
      <c r="G141" s="22" t="n">
        <v>99</v>
      </c>
      <c r="H141" s="22" t="n">
        <v>1</v>
      </c>
      <c r="I141" s="61" t="str">
        <f aca="false">IF(AND(G141&gt;0, H141&gt;0), "Observed Flaky Test", "Non-observed Flaky Test")</f>
        <v>Observed Flaky Test</v>
      </c>
      <c r="J141" s="53" t="n">
        <v>7.520505</v>
      </c>
      <c r="K141" s="53" t="n">
        <v>0.083707</v>
      </c>
      <c r="L141" s="19" t="n">
        <f aca="false">IFERROR(K141/J141*100,"N/A")</f>
        <v>1.11305025393906</v>
      </c>
      <c r="M141" s="18" t="n">
        <v>7.61</v>
      </c>
      <c r="N141" s="18" t="n">
        <v>0</v>
      </c>
      <c r="O141" s="20" t="n">
        <f aca="false">IFERROR(N141/M141*100,"N/A")</f>
        <v>0</v>
      </c>
      <c r="P141" s="77" t="str">
        <f aca="false">IF(AND(G141&gt;0, H141=0), IF(ROUND(K141,8)=0, "Group 9: Only Passed | Without variation (SD Passed = 0)", "Group 10: Only Passed | With variation (SD Passed &gt; 0)"), IF(AND(G141=0, H141&gt;0), IF(ROUND(N141,8)=0, "Group 11: Only Failed | Without variation (SD Failed = 0)", "Group 12: Only Failed | With variation (SD Failed &gt; 0)"), IF(AND(G141&gt;0, H141&gt;0), IF(ROUND(J141,5)&lt;&gt;ROUND(M141,5), IF(AND(ROUND(K141,8)=0, ROUND(N141,8)=0), "Group 1: Flaky | Passed (no variation) AND Failed (no variation) | Different Means", IF(AND(ROUND(K141,8)&gt;0, ROUND(N141,8)&gt;0), "Group 2: Flaky | Passed (with variation) AND Failed (with variation) | Different Means", IF(AND(ROUND(K141,8)=0, ROUND(N141,8)&gt;0), "Group 3: Flaky | Passed (no variation) AND Failed (with variation) | Different Means", "Group 4: Flaky | Passed (with variation) AND Failed (no variation) | Different Means"))), IF(AND(ROUND(K141,8)=0, ROUND(N141,8)=0), "Group 5: Flaky | Passed (no variation) AND Failed (no variation) | Equal Means", IF(AND(ROUND(K141,8)&gt;0, ROUND(N141,8)&gt;0), "Group 6: Flaky | Passed (with variation) AND Failed (with variation) | Equal Means", IF(AND(ROUND(K141,8)=0, ROUND(N141,8)&gt;0),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141" s="22" t="n">
        <v>100</v>
      </c>
      <c r="R141" s="22" t="n">
        <v>0</v>
      </c>
      <c r="S141" s="23" t="str">
        <f aca="false">IF(AND(Q141&gt;0, R141&gt;0), "Observed Flaky Test", "Non-observed Flaky Test")</f>
        <v>Non-observed Flaky Test</v>
      </c>
      <c r="T141" s="22" t="n">
        <v>927473.72</v>
      </c>
      <c r="U141" s="24" t="n">
        <v>135.299225</v>
      </c>
      <c r="V141" s="25" t="n">
        <f aca="false">IFERROR(U141/T141*100,"N/A")</f>
        <v>0.0145879308580301</v>
      </c>
      <c r="W141" s="22" t="n">
        <v>0</v>
      </c>
      <c r="X141" s="22" t="n">
        <v>0</v>
      </c>
      <c r="Y141" s="27" t="str">
        <f aca="false">IFERROR(X141/W141*100,"N/A")</f>
        <v>N/A</v>
      </c>
      <c r="Z141" s="50" t="str">
        <f aca="false">IF(AND(Q141&gt;0, R141=0), IF(IFERROR(ROUND(V141,8),0)=0, "Group 9: Only Passed | Without variation (no var CV = 0)", "Group 10: Only Passed | With variation (with var CV &gt; 0)"), IF(AND(Q141=0, R141&gt;0), IF(IFERROR(ROUND(Y141,8),0)=0, "Group 11: Only Failed | Without variation (no var CV = 0)", "Group 12: Only Failed | With variation (with var CV &gt; 0)"), IF(AND(Q141&gt;0, R141&gt;0), IF(ROUND(T141,5)&lt;&gt;ROUND(W141,5), IF(AND(IFERROR(ROUND(V141,8),0)=0, IFERROR(ROUND(Y141,8),0)=0), "Group 1: Flaky | Passed (no variation: CV = 0) AND Failed (no variation: CV = 0) | Different Means", IF(AND(IFERROR(ROUND(V141,8),0)&gt;0, IFERROR(ROUND(Y141,8),0)&gt;0), "Group 2: Flaky | Passed (with variation: CV &gt; 0) AND Failed (with variation: CV &gt; 0) | Different Means", IF(AND(IFERROR(ROUND(V141,8),0)=0, IFERROR(ROUND(Y141,8),0)&gt;0), "Group 3: Flaky | Passed (no variation: CV = 0) AND Failed (with variation: CV &gt; 0) | Different Means", "Group 4: Flaky | Passed (with variation: CV &gt; 0) AND Failed (no variation: CV = 0) | Different Means"))), IF(AND(IFERROR(ROUND(V141,8),0)=0, IFERROR(ROUND(Y141,8),0)=0), "Group 5: Flaky | Passed (no var CV = 0) AND Failed (no var CV = 0) | Equal Means", IF(AND(IFERROR(ROUND(V141,8),0)&gt;0, IFERROR(ROUND(Y141,8),0)&gt;0), "Group 6: Flaky | Passed (with var CV &gt; 0) AND Failed (with var CV &gt; 0) | Equal Means", IF(AND(IFERROR(ROUND(V141,8),0)=0, IFERROR(ROUND(Y141,8),0)&gt;0),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1" s="29" t="n">
        <v>0.57854</v>
      </c>
      <c r="AB141" s="29" t="n">
        <v>0.009487</v>
      </c>
      <c r="AC141" s="29" t="n">
        <f aca="false">IFERROR(AB141/AA141*100,"N/A")</f>
        <v>1.63981747156636</v>
      </c>
      <c r="AD141" s="29" t="n">
        <v>0</v>
      </c>
      <c r="AE141" s="29" t="n">
        <v>0</v>
      </c>
      <c r="AF141" s="29" t="str">
        <f aca="false">IFERROR(AE141/AD141*100,"N/A")</f>
        <v>N/A</v>
      </c>
      <c r="AG141" s="51" t="str">
        <f aca="false">IF(AND(Q141&gt;0, R141=0), IF(IFERROR(ROUND(AC141,8),0)=0, "Group 9: Only Passed | Without variation (no var CV = 0)", "Group 10: Only Passed | With variation (with var CV &gt; 0)"), IF(AND(Q141=0, R141&gt;0), IF(IFERROR(ROUND(AF141,8),0)=0, "Group 11: Only Failed | Without variation (no var CV = 0)", "Group 12: Only Failed | With variation (with var CV &gt; 0)"), IF(AND(Q141&gt;0, R141&gt;0), IF(ROUND(AA141,5)&lt;&gt;ROUND(AD141,5), IF(AND(IFERROR(ROUND(AC141,8),0)=0, IFERROR(ROUND(AF141,8),0)=0), "Group 1: Flaky | Passed (no variation: CV = 0) AND Failed (no variation: CV = 0) | Different Means", IF(AND(IFERROR(ROUND(AC141,8),0)&gt;0, IFERROR(ROUND(AF141,8),0)&gt;0), "Group 2: Flaky | Passed (with variation: CV &gt; 0) AND Failed (with variation: CV &gt; 0) | Different Means", IF(AND(IFERROR(ROUND(AC141,8),0)=0, IFERROR(ROUND(AF141,8),0)&gt;0), "Group 3: Flaky | Passed (no variation: CV = 0) AND Failed (with variation: CV &gt; 0) | Different Means", "Group 4: Flaky | Passed (with variation: CV &gt; 0) AND Failed (no variation: CV = 0) | Different Means"))), IF(AND(IFERROR(ROUND(AC141,8),0)=0, IFERROR(ROUND(AF141,8),0)=0), "Group 5: Flaky | Passed (no var CV = 0) AND Failed (no var CV = 0) | Equal Means", IF(AND(IFERROR(ROUND(AC141,8),0)&gt;0, IFERROR(ROUND(AF141,8),0)&gt;0), "Group 6: Flaky | Passed (with var CV &gt; 0) AND Failed (with var CV &gt; 0) | Equal Means", IF(AND(IFERROR(ROUND(AC141,8),0)=0, IFERROR(ROUND(AF141,8),0)&gt;0),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1" s="22" t="n">
        <v>100</v>
      </c>
      <c r="AI141" s="17" t="n">
        <v>0</v>
      </c>
      <c r="AJ141" s="31" t="str">
        <f aca="false">IF(AND(AH141&gt;0, AI141&gt;0), "Observed Flaky Test", "Non-observed Flaky Test")</f>
        <v>Non-observed Flaky Test</v>
      </c>
      <c r="AK141" s="32" t="n">
        <v>1684523.61</v>
      </c>
      <c r="AL141" s="57" t="n">
        <v>3484.98716109977</v>
      </c>
      <c r="AM141" s="33" t="n">
        <f aca="false">IFERROR(AL141/AK141*100,"N/A")</f>
        <v>0.206882654562483</v>
      </c>
      <c r="AN141" s="32" t="n">
        <v>0</v>
      </c>
      <c r="AO141" s="32" t="n">
        <v>0</v>
      </c>
      <c r="AP141" s="35" t="str">
        <f aca="false">IFERROR(AO141/AN141*100,"N/A")</f>
        <v>N/A</v>
      </c>
      <c r="AQ141" s="52" t="str">
        <f aca="false">IF(AND(AH141&gt;0, AI141&gt;0),
    IF(ROUND(N(AK141),5)&lt;&gt;ROUND(N(AN141),5),
        IF(AND(ROUND(N(AL141),8)=0, ROUND(N(AO141),8)=0), "Group 1: Flaky | Passed (no variation: SD = 0) AND Failed (no variation: SD = 0) | Different Means",
        IF(AND(ROUND(N(AL141),8)&gt;0, ROUND(N(AO141),8)&gt;0), "Group 2: Flaky | Passed (with variation: SD &gt; 0) AND Failed (with variation: SD &gt; 0) | Different Means",
        IF(AND(ROUND(N(AL141),8)=0, ROUND(N(AO141),8)&gt;0), "Group 3: Flaky | Passed (no variation: SD = 0) AND Failed (with variation: SD &gt; 0) | Different Means",
        "Group 4: Flaky | Passed (with variation: SD &gt; 0) AND Failed (no variation: SD = 0) | Different Means"))),
        IF(AND(ROUND(N(AL141),8)=0, ROUND(N(AO141),8)=0), "Group 5: Flaky | Passed (no var SD = 0) AND Failed (no var SD = 0) | Equal Means",
        IF(AND(ROUND(N(AL141),8)&gt;0, ROUND(N(AO141),8)&gt;0), "Group 6: Flaky | Passed (with var SD &gt; 0 ) AND Failed (with var SD &gt; 0) | Equal Means",
        IF(AND(ROUND(N(AL141),8)=0, ROUND(N(AO141),8)&gt;0), "Group 7: Flaky | Passed (no var SD = 0) AND Failed (with var SD &gt; 0) | Equal Means",
        "Group 8: Flaky | Passed (with var SD &gt; 0 ) AND Failed (no var SD = 0) | Equal Means")))
    ),
    IF(AH141&gt;0,
        IF(N(AL141)&gt;0, "Group 10: Only Passed | With variation (with var SD &gt; 0)", "Group 9: Only Passed | Without variation (no var SD = 0)"),
        IF(AI141&gt;0,
            IF(N(AO141)&gt;0,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41" s="42" t="str">
        <f aca="false">IF(OR(F141="Observed Flaky Test", I141="Observed Flaky Test", S141="Observed Flaky Test", AJ141="Observed Flaky Test"), "Observed Flaky Test", "Non-observed Flaky Test")</f>
        <v>Observed Flaky Test</v>
      </c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</row>
    <row r="142" customFormat="false" ht="15.75" hidden="false" customHeight="true" outlineLevel="0" collapsed="false">
      <c r="A142" s="81"/>
      <c r="B142" s="14" t="s">
        <v>319</v>
      </c>
      <c r="C142" s="14" t="s">
        <v>320</v>
      </c>
      <c r="D142" s="15" t="n">
        <v>100</v>
      </c>
      <c r="E142" s="15" t="n">
        <v>0</v>
      </c>
      <c r="F142" s="16" t="str">
        <f aca="false">IF(AND(D142&gt;0, E142&gt;0), "Observed Flaky Test", "Non-observed Flaky Test")</f>
        <v>Non-observed Flaky Test</v>
      </c>
      <c r="G142" s="22" t="n">
        <v>99</v>
      </c>
      <c r="H142" s="22" t="n">
        <v>1</v>
      </c>
      <c r="I142" s="61" t="str">
        <f aca="false">IF(AND(G142&gt;0, H142&gt;0), "Observed Flaky Test", "Non-observed Flaky Test")</f>
        <v>Observed Flaky Test</v>
      </c>
      <c r="J142" s="53" t="n">
        <v>7.514747</v>
      </c>
      <c r="K142" s="47" t="n">
        <v>0.08304</v>
      </c>
      <c r="L142" s="19" t="n">
        <f aca="false">IFERROR(K142/J142*100,"N/A")</f>
        <v>1.105027221808</v>
      </c>
      <c r="M142" s="18" t="n">
        <v>7.62</v>
      </c>
      <c r="N142" s="18" t="n">
        <v>0</v>
      </c>
      <c r="O142" s="20" t="n">
        <f aca="false">IFERROR(N142/M142*100,"N/A")</f>
        <v>0</v>
      </c>
      <c r="P142" s="77" t="str">
        <f aca="false">IF(AND(G142&gt;0, H142=0), IF(ROUND(K142,8)=0, "Group 9: Only Passed | Without variation (SD Passed = 0)", "Group 10: Only Passed | With variation (SD Passed &gt; 0)"), IF(AND(G142=0, H142&gt;0), IF(ROUND(N142,8)=0, "Group 11: Only Failed | Without variation (SD Failed = 0)", "Group 12: Only Failed | With variation (SD Failed &gt; 0)"), IF(AND(G142&gt;0, H142&gt;0), IF(ROUND(J142,5)&lt;&gt;ROUND(M142,5), IF(AND(ROUND(K142,8)=0, ROUND(N142,8)=0), "Group 1: Flaky | Passed (no variation) AND Failed (no variation) | Different Means", IF(AND(ROUND(K142,8)&gt;0, ROUND(N142,8)&gt;0), "Group 2: Flaky | Passed (with variation) AND Failed (with variation) | Different Means", IF(AND(ROUND(K142,8)=0, ROUND(N142,8)&gt;0), "Group 3: Flaky | Passed (no variation) AND Failed (with variation) | Different Means", "Group 4: Flaky | Passed (with variation) AND Failed (no variation) | Different Means"))), IF(AND(ROUND(K142,8)=0, ROUND(N142,8)=0), "Group 5: Flaky | Passed (no variation) AND Failed (no variation) | Equal Means", IF(AND(ROUND(K142,8)&gt;0, ROUND(N142,8)&gt;0), "Group 6: Flaky | Passed (with variation) AND Failed (with variation) | Equal Means", IF(AND(ROUND(K142,8)=0, ROUND(N142,8)&gt;0),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142" s="22" t="n">
        <v>100</v>
      </c>
      <c r="R142" s="22" t="n">
        <v>0</v>
      </c>
      <c r="S142" s="23" t="str">
        <f aca="false">IF(AND(Q142&gt;0, R142&gt;0), "Observed Flaky Test", "Non-observed Flaky Test")</f>
        <v>Non-observed Flaky Test</v>
      </c>
      <c r="T142" s="22" t="n">
        <v>927385.92</v>
      </c>
      <c r="U142" s="24" t="n">
        <v>129.286205</v>
      </c>
      <c r="V142" s="25" t="n">
        <f aca="false">IFERROR(U142/T142*100,"N/A")</f>
        <v>0.0139409281736777</v>
      </c>
      <c r="W142" s="22" t="n">
        <v>0</v>
      </c>
      <c r="X142" s="22" t="n">
        <v>0</v>
      </c>
      <c r="Y142" s="27" t="str">
        <f aca="false">IFERROR(X142/W142*100,"N/A")</f>
        <v>N/A</v>
      </c>
      <c r="Z142" s="50" t="str">
        <f aca="false">IF(AND(Q142&gt;0, R142=0), IF(IFERROR(ROUND(V142,8),0)=0, "Group 9: Only Passed | Without variation (no var CV = 0)", "Group 10: Only Passed | With variation (with var CV &gt; 0)"), IF(AND(Q142=0, R142&gt;0), IF(IFERROR(ROUND(Y142,8),0)=0, "Group 11: Only Failed | Without variation (no var CV = 0)", "Group 12: Only Failed | With variation (with var CV &gt; 0)"), IF(AND(Q142&gt;0, R142&gt;0), IF(ROUND(T142,5)&lt;&gt;ROUND(W142,5), IF(AND(IFERROR(ROUND(V142,8),0)=0, IFERROR(ROUND(Y142,8),0)=0), "Group 1: Flaky | Passed (no variation: CV = 0) AND Failed (no variation: CV = 0) | Different Means", IF(AND(IFERROR(ROUND(V142,8),0)&gt;0, IFERROR(ROUND(Y142,8),0)&gt;0), "Group 2: Flaky | Passed (with variation: CV &gt; 0) AND Failed (with variation: CV &gt; 0) | Different Means", IF(AND(IFERROR(ROUND(V142,8),0)=0, IFERROR(ROUND(Y142,8),0)&gt;0), "Group 3: Flaky | Passed (no variation: CV = 0) AND Failed (with variation: CV &gt; 0) | Different Means", "Group 4: Flaky | Passed (with variation: CV &gt; 0) AND Failed (no variation: CV = 0) | Different Means"))), IF(AND(IFERROR(ROUND(V142,8),0)=0, IFERROR(ROUND(Y142,8),0)=0), "Group 5: Flaky | Passed (no var CV = 0) AND Failed (no var CV = 0) | Equal Means", IF(AND(IFERROR(ROUND(V142,8),0)&gt;0, IFERROR(ROUND(Y142,8),0)&gt;0), "Group 6: Flaky | Passed (with var CV &gt; 0) AND Failed (with var CV &gt; 0) | Equal Means", IF(AND(IFERROR(ROUND(V142,8),0)=0, IFERROR(ROUND(Y142,8),0)&gt;0),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2" s="29" t="n">
        <v>0.578834</v>
      </c>
      <c r="AB142" s="29" t="n">
        <v>0.009902</v>
      </c>
      <c r="AC142" s="29" t="n">
        <f aca="false">IFERROR(AB142/AA142*100,"N/A")</f>
        <v>1.71068043687828</v>
      </c>
      <c r="AD142" s="29" t="n">
        <v>0</v>
      </c>
      <c r="AE142" s="29" t="n">
        <v>0</v>
      </c>
      <c r="AF142" s="29" t="str">
        <f aca="false">IFERROR(AE142/AD142*100,"N/A")</f>
        <v>N/A</v>
      </c>
      <c r="AG142" s="51" t="str">
        <f aca="false">IF(AND(Q142&gt;0, R142=0), IF(IFERROR(ROUND(AC142,8),0)=0, "Group 9: Only Passed | Without variation (no var CV = 0)", "Group 10: Only Passed | With variation (with var CV &gt; 0)"), IF(AND(Q142=0, R142&gt;0), IF(IFERROR(ROUND(AF142,8),0)=0, "Group 11: Only Failed | Without variation (no var CV = 0)", "Group 12: Only Failed | With variation (with var CV &gt; 0)"), IF(AND(Q142&gt;0, R142&gt;0), IF(ROUND(AA142,5)&lt;&gt;ROUND(AD142,5), IF(AND(IFERROR(ROUND(AC142,8),0)=0, IFERROR(ROUND(AF142,8),0)=0), "Group 1: Flaky | Passed (no variation: CV = 0) AND Failed (no variation: CV = 0) | Different Means", IF(AND(IFERROR(ROUND(AC142,8),0)&gt;0, IFERROR(ROUND(AF142,8),0)&gt;0), "Group 2: Flaky | Passed (with variation: CV &gt; 0) AND Failed (with variation: CV &gt; 0) | Different Means", IF(AND(IFERROR(ROUND(AC142,8),0)=0, IFERROR(ROUND(AF142,8),0)&gt;0), "Group 3: Flaky | Passed (no variation: CV = 0) AND Failed (with variation: CV &gt; 0) | Different Means", "Group 4: Flaky | Passed (with variation: CV &gt; 0) AND Failed (no variation: CV = 0) | Different Means"))), IF(AND(IFERROR(ROUND(AC142,8),0)=0, IFERROR(ROUND(AF142,8),0)=0), "Group 5: Flaky | Passed (no var CV = 0) AND Failed (no var CV = 0) | Equal Means", IF(AND(IFERROR(ROUND(AC142,8),0)&gt;0, IFERROR(ROUND(AF142,8),0)&gt;0), "Group 6: Flaky | Passed (with var CV &gt; 0) AND Failed (with var CV &gt; 0) | Equal Means", IF(AND(IFERROR(ROUND(AC142,8),0)=0, IFERROR(ROUND(AF142,8),0)&gt;0),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2" s="22" t="n">
        <v>94</v>
      </c>
      <c r="AI142" s="17" t="n">
        <v>6</v>
      </c>
      <c r="AJ142" s="39" t="str">
        <f aca="false">IF(AND(AH142&gt;0, AI142&gt;0), "Observed Flaky Test", "Non-observed Flaky Test")</f>
        <v>Observed Flaky Test</v>
      </c>
      <c r="AK142" s="59" t="n">
        <v>1682906.51063829</v>
      </c>
      <c r="AL142" s="57" t="n">
        <v>3762.24329884054</v>
      </c>
      <c r="AM142" s="33" t="n">
        <f aca="false">IFERROR(AL142/AK142*100,"N/A")</f>
        <v>0.223556286404383</v>
      </c>
      <c r="AN142" s="32" t="n">
        <v>1682300.5</v>
      </c>
      <c r="AO142" s="33" t="n">
        <v>2628.9399194352</v>
      </c>
      <c r="AP142" s="35" t="n">
        <f aca="false">IFERROR(AO142/AN142*100,"N/A")</f>
        <v>0.156270530706922</v>
      </c>
      <c r="AQ142" s="63" t="str">
        <f aca="false">IF(AND(AH142&gt;0, AI142&gt;0),
    IF(ROUND(N(AK142),5)&lt;&gt;ROUND(N(AN142),5),
        IF(AND(ROUND(N(AL142),8)=0, ROUND(N(AO142),8)=0), "Group 1: Flaky | Passed (no variation: SD = 0) AND Failed (no variation: SD = 0) | Different Means",
        IF(AND(ROUND(N(AL142),8)&gt;0, ROUND(N(AO142),8)&gt;0), "Group 2: Flaky | Passed (with variation: SD &gt; 0) AND Failed (with variation: SD &gt; 0) | Different Means",
        IF(AND(ROUND(N(AL142),8)=0, ROUND(N(AO142),8)&gt;0), "Group 3: Flaky | Passed (no variation: SD = 0) AND Failed (with variation: SD &gt; 0) | Different Means",
        "Group 4: Flaky | Passed (with variation: SD &gt; 0) AND Failed (no variation: SD = 0) | Different Means"))),
        IF(AND(ROUND(N(AL142),8)=0, ROUND(N(AO142),8)=0), "Group 5: Flaky | Passed (no var SD = 0) AND Failed (no var SD = 0) | Equal Means",
        IF(AND(ROUND(N(AL142),8)&gt;0, ROUND(N(AO142),8)&gt;0), "Group 6: Flaky | Passed (with var SD &gt; 0 ) AND Failed (with var SD &gt; 0) | Equal Means",
        IF(AND(ROUND(N(AL142),8)=0, ROUND(N(AO142),8)&gt;0), "Group 7: Flaky | Passed (no var SD = 0) AND Failed (with var SD &gt; 0) | Equal Means",
        "Group 8: Flaky | Passed (with var SD &gt; 0 ) AND Failed (no var SD = 0) | Equal Means")))
    ),
    IF(AH142&gt;0,
        IF(N(AL142)&gt;0, "Group 10: Only Passed | With variation (with var SD &gt; 0)", "Group 9: Only Passed | Without variation (no var SD = 0)"),
        IF(AI142&gt;0,
            IF(N(AO142)&gt;0,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42" s="42" t="str">
        <f aca="false">IF(OR(F142="Observed Flaky Test", I142="Observed Flaky Test", S142="Observed Flaky Test", AJ142="Observed Flaky Test"), "Observed Flaky Test", "Non-observed Flaky Test")</f>
        <v>Observed Flaky Test</v>
      </c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</row>
    <row r="143" customFormat="false" ht="15.75" hidden="false" customHeight="true" outlineLevel="0" collapsed="false">
      <c r="A143" s="81"/>
      <c r="B143" s="14" t="s">
        <v>321</v>
      </c>
      <c r="C143" s="14" t="s">
        <v>322</v>
      </c>
      <c r="D143" s="15" t="n">
        <v>100</v>
      </c>
      <c r="E143" s="15" t="n">
        <v>0</v>
      </c>
      <c r="F143" s="16" t="str">
        <f aca="false">IF(AND(D143&gt;0, E143&gt;0), "Observed Flaky Test", "Non-observed Flaky Test")</f>
        <v>Non-observed Flaky Test</v>
      </c>
      <c r="G143" s="22" t="n">
        <v>100</v>
      </c>
      <c r="H143" s="22" t="n">
        <v>0</v>
      </c>
      <c r="I143" s="16" t="str">
        <f aca="false">IF(AND(G143&gt;0, H143&gt;0), "Observed Flaky Test", "Non-observed Flaky Test")</f>
        <v>Non-observed Flaky Test</v>
      </c>
      <c r="J143" s="47" t="n">
        <v>7.5958</v>
      </c>
      <c r="K143" s="53" t="n">
        <v>0.083261</v>
      </c>
      <c r="L143" s="19" t="n">
        <f aca="false">IFERROR(K143/J143*100,"N/A")</f>
        <v>1.09614523815793</v>
      </c>
      <c r="M143" s="18" t="n">
        <v>0</v>
      </c>
      <c r="N143" s="18" t="n">
        <v>0</v>
      </c>
      <c r="O143" s="20" t="str">
        <f aca="false">IFERROR(N143/M143*100,"N/A")</f>
        <v>N/A</v>
      </c>
      <c r="P143" s="48" t="str">
        <f aca="false">IF(AND(G143&gt;0, H143=0), IF(ROUND(K143,8)=0, "Group 9: Only Passed | Without variation (SD Passed = 0)", "Group 10: Only Passed | With variation (SD Passed &gt; 0)"), IF(AND(G143=0, H143&gt;0), IF(ROUND(N143,8)=0, "Group 11: Only Failed | Without variation (SD Failed = 0)", "Group 12: Only Failed | With variation (SD Failed &gt; 0)"), IF(AND(G143&gt;0, H143&gt;0), IF(ROUND(J143,5)&lt;&gt;ROUND(M143,5), IF(AND(ROUND(K143,8)=0, ROUND(N143,8)=0), "Group 1: Flaky | Passed (no variation) AND Failed (no variation) | Different Means", IF(AND(ROUND(K143,8)&gt;0, ROUND(N143,8)&gt;0), "Group 2: Flaky | Passed (with variation) AND Failed (with variation) | Different Means", IF(AND(ROUND(K143,8)=0, ROUND(N143,8)&gt;0), "Group 3: Flaky | Passed (no variation) AND Failed (with variation) | Different Means", "Group 4: Flaky | Passed (with variation) AND Failed (no variation) | Different Means"))), IF(AND(ROUND(K143,8)=0, ROUND(N143,8)=0), "Group 5: Flaky | Passed (no variation) AND Failed (no variation) | Equal Means", IF(AND(ROUND(K143,8)&gt;0, ROUND(N143,8)&gt;0), "Group 6: Flaky | Passed (with variation) AND Failed (with variation) | Equal Means", IF(AND(ROUND(K143,8)=0, ROUND(N143,8)&gt;0),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43" s="22" t="n">
        <v>99</v>
      </c>
      <c r="R143" s="22" t="n">
        <v>1</v>
      </c>
      <c r="S143" s="43" t="str">
        <f aca="false">IF(AND(Q143&gt;0, R143&gt;0), "Observed Flaky Test", "Non-observed Flaky Test")</f>
        <v>Observed Flaky Test</v>
      </c>
      <c r="T143" s="24" t="n">
        <v>929178.868687</v>
      </c>
      <c r="U143" s="24" t="n">
        <v>135.952396</v>
      </c>
      <c r="V143" s="25" t="n">
        <f aca="false">IFERROR(U143/T143*100,"N/A")</f>
        <v>0.0146314558565146</v>
      </c>
      <c r="W143" s="55" t="n">
        <v>1072003</v>
      </c>
      <c r="X143" s="22" t="n">
        <v>0</v>
      </c>
      <c r="Y143" s="27" t="n">
        <f aca="false">IFERROR(X143/W143*100,"N/A")</f>
        <v>0</v>
      </c>
      <c r="Z143" s="69" t="str">
        <f aca="false">IF(AND(Q143&gt;0, R143=0), IF(IFERROR(ROUND(V143,8),0)=0, "Group 9: Only Passed | Without variation (no var CV = 0)", "Group 10: Only Passed | With variation (with var CV &gt; 0)"), IF(AND(Q143=0, R143&gt;0), IF(IFERROR(ROUND(Y143,8),0)=0, "Group 11: Only Failed | Without variation (no var CV = 0)", "Group 12: Only Failed | With variation (with var CV &gt; 0)"), IF(AND(Q143&gt;0, R143&gt;0), IF(ROUND(T143,5)&lt;&gt;ROUND(W143,5), IF(AND(IFERROR(ROUND(V143,8),0)=0, IFERROR(ROUND(Y143,8),0)=0), "Group 1: Flaky | Passed (no variation: CV = 0) AND Failed (no variation: CV = 0) | Different Means", IF(AND(IFERROR(ROUND(V143,8),0)&gt;0, IFERROR(ROUND(Y143,8),0)&gt;0), "Group 2: Flaky | Passed (with variation: CV &gt; 0) AND Failed (with variation: CV &gt; 0) | Different Means", IF(AND(IFERROR(ROUND(V143,8),0)=0, IFERROR(ROUND(Y143,8),0)&gt;0), "Group 3: Flaky | Passed (no variation: CV = 0) AND Failed (with variation: CV &gt; 0) | Different Means", "Group 4: Flaky | Passed (with variation: CV &gt; 0) AND Failed (no variation: CV = 0) | Different Means"))), IF(AND(IFERROR(ROUND(V143,8),0)=0, IFERROR(ROUND(Y143,8),0)=0), "Group 5: Flaky | Passed (no var CV = 0) AND Failed (no var CV = 0) | Equal Means", IF(AND(IFERROR(ROUND(V143,8),0)&gt;0, IFERROR(ROUND(Y143,8),0)&gt;0), "Group 6: Flaky | Passed (with var CV &gt; 0) AND Failed (with var CV &gt; 0) | Equal Means", IF(AND(IFERROR(ROUND(V143,8),0)=0, IFERROR(ROUND(Y143,8),0)&gt;0),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43" s="29" t="n">
        <v>0.577578</v>
      </c>
      <c r="AB143" s="29" t="n">
        <v>0.008727</v>
      </c>
      <c r="AC143" s="29" t="n">
        <f aca="false">IFERROR(AB143/AA143*100,"N/A")</f>
        <v>1.51096475281261</v>
      </c>
      <c r="AD143" s="29" t="n">
        <v>0.637527</v>
      </c>
      <c r="AE143" s="29" t="n">
        <v>0</v>
      </c>
      <c r="AF143" s="29" t="n">
        <f aca="false">IFERROR(AE143/AD143*100,"N/A")</f>
        <v>0</v>
      </c>
      <c r="AG143" s="70" t="str">
        <f aca="false">IF(AND(Q143&gt;0, R143=0), IF(IFERROR(ROUND(AC143,8),0)=0, "Group 9: Only Passed | Without variation (no var CV = 0)", "Group 10: Only Passed | With variation (with var CV &gt; 0)"), IF(AND(Q143=0, R143&gt;0), IF(IFERROR(ROUND(AF143,8),0)=0, "Group 11: Only Failed | Without variation (no var CV = 0)", "Group 12: Only Failed | With variation (with var CV &gt; 0)"), IF(AND(Q143&gt;0, R143&gt;0), IF(ROUND(AA143,5)&lt;&gt;ROUND(AD143,5), IF(AND(IFERROR(ROUND(AC143,8),0)=0, IFERROR(ROUND(AF143,8),0)=0), "Group 1: Flaky | Passed (no variation: CV = 0) AND Failed (no variation: CV = 0) | Different Means", IF(AND(IFERROR(ROUND(AC143,8),0)&gt;0, IFERROR(ROUND(AF143,8),0)&gt;0), "Group 2: Flaky | Passed (with variation: CV &gt; 0) AND Failed (with variation: CV &gt; 0) | Different Means", IF(AND(IFERROR(ROUND(AC143,8),0)=0, IFERROR(ROUND(AF143,8),0)&gt;0), "Group 3: Flaky | Passed (no variation: CV = 0) AND Failed (with variation: CV &gt; 0) | Different Means", "Group 4: Flaky | Passed (with variation: CV &gt; 0) AND Failed (no variation: CV = 0) | Different Means"))), IF(AND(IFERROR(ROUND(AC143,8),0)=0, IFERROR(ROUND(AF143,8),0)=0), "Group 5: Flaky | Passed (no var CV = 0) AND Failed (no var CV = 0) | Equal Means", IF(AND(IFERROR(ROUND(AC143,8),0)&gt;0, IFERROR(ROUND(AF143,8),0)&gt;0), "Group 6: Flaky | Passed (with var CV &gt; 0) AND Failed (with var CV &gt; 0) | Equal Means", IF(AND(IFERROR(ROUND(AC143,8),0)=0, IFERROR(ROUND(AF143,8),0)&gt;0),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43" s="22" t="n">
        <v>95</v>
      </c>
      <c r="AI143" s="17" t="n">
        <v>5</v>
      </c>
      <c r="AJ143" s="39" t="str">
        <f aca="false">IF(AND(AH143&gt;0, AI143&gt;0), "Observed Flaky Test", "Non-observed Flaky Test")</f>
        <v>Observed Flaky Test</v>
      </c>
      <c r="AK143" s="32" t="n">
        <v>1768603</v>
      </c>
      <c r="AL143" s="57" t="n">
        <v>3941.03687620078</v>
      </c>
      <c r="AM143" s="33" t="n">
        <f aca="false">IFERROR(AL143/AK143*100,"N/A")</f>
        <v>0.222833325296903</v>
      </c>
      <c r="AN143" s="32" t="n">
        <v>1767236</v>
      </c>
      <c r="AO143" s="57" t="n">
        <v>3797.86341249919</v>
      </c>
      <c r="AP143" s="35" t="n">
        <f aca="false">IFERROR(AO143/AN143*100,"N/A")</f>
        <v>0.214904144805741</v>
      </c>
      <c r="AQ143" s="63" t="str">
        <f aca="false">IF(AND(AH143&gt;0, AI143&gt;0),
    IF(ROUND(N(AK143),5)&lt;&gt;ROUND(N(AN143),5),
        IF(AND(ROUND(N(AL143),8)=0, ROUND(N(AO143),8)=0), "Group 1: Flaky | Passed (no variation: SD = 0) AND Failed (no variation: SD = 0) | Different Means",
        IF(AND(ROUND(N(AL143),8)&gt;0, ROUND(N(AO143),8)&gt;0), "Group 2: Flaky | Passed (with variation: SD &gt; 0) AND Failed (with variation: SD &gt; 0) | Different Means",
        IF(AND(ROUND(N(AL143),8)=0, ROUND(N(AO143),8)&gt;0), "Group 3: Flaky | Passed (no variation: SD = 0) AND Failed (with variation: SD &gt; 0) | Different Means",
        "Group 4: Flaky | Passed (with variation: SD &gt; 0) AND Failed (no variation: SD = 0) | Different Means"))),
        IF(AND(ROUND(N(AL143),8)=0, ROUND(N(AO143),8)=0), "Group 5: Flaky | Passed (no var SD = 0) AND Failed (no var SD = 0) | Equal Means",
        IF(AND(ROUND(N(AL143),8)&gt;0, ROUND(N(AO143),8)&gt;0), "Group 6: Flaky | Passed (with var SD &gt; 0 ) AND Failed (with var SD &gt; 0) | Equal Means",
        IF(AND(ROUND(N(AL143),8)=0, ROUND(N(AO143),8)&gt;0), "Group 7: Flaky | Passed (no var SD = 0) AND Failed (with var SD &gt; 0) | Equal Means",
        "Group 8: Flaky | Passed (with var SD &gt; 0 ) AND Failed (no var SD = 0) | Equal Means")))
    ),
    IF(AH143&gt;0,
        IF(N(AL143)&gt;0, "Group 10: Only Passed | With variation (with var SD &gt; 0)", "Group 9: Only Passed | Without variation (no var SD = 0)"),
        IF(AI143&gt;0,
            IF(N(AO143)&gt;0,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43" s="42" t="str">
        <f aca="false">IF(OR(F143="Observed Flaky Test", I143="Observed Flaky Test", S143="Observed Flaky Test", AJ143="Observed Flaky Test"), "Observed Flaky Test", "Non-observed Flaky Test")</f>
        <v>Observed Flaky Test</v>
      </c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</row>
    <row r="144" customFormat="false" ht="15.75" hidden="false" customHeight="true" outlineLevel="0" collapsed="false">
      <c r="A144" s="81"/>
      <c r="B144" s="14" t="s">
        <v>323</v>
      </c>
      <c r="C144" s="14" t="s">
        <v>324</v>
      </c>
      <c r="D144" s="15" t="n">
        <v>100</v>
      </c>
      <c r="E144" s="15" t="n">
        <v>0</v>
      </c>
      <c r="F144" s="16" t="str">
        <f aca="false">IF(AND(D144&gt;0, E144&gt;0), "Observed Flaky Test", "Non-observed Flaky Test")</f>
        <v>Non-observed Flaky Test</v>
      </c>
      <c r="G144" s="22" t="n">
        <v>99</v>
      </c>
      <c r="H144" s="22" t="n">
        <v>1</v>
      </c>
      <c r="I144" s="61" t="str">
        <f aca="false">IF(AND(G144&gt;0, H144&gt;0), "Observed Flaky Test", "Non-observed Flaky Test")</f>
        <v>Observed Flaky Test</v>
      </c>
      <c r="J144" s="53" t="n">
        <v>7.515455</v>
      </c>
      <c r="K144" s="53" t="n">
        <v>0.082171</v>
      </c>
      <c r="L144" s="19" t="n">
        <f aca="false">IFERROR(K144/J144*100,"N/A")</f>
        <v>1.09336028224505</v>
      </c>
      <c r="M144" s="18" t="n">
        <v>7.64</v>
      </c>
      <c r="N144" s="18" t="n">
        <v>0</v>
      </c>
      <c r="O144" s="20" t="n">
        <f aca="false">IFERROR(N144/M144*100,"N/A")</f>
        <v>0</v>
      </c>
      <c r="P144" s="77" t="str">
        <f aca="false">IF(AND(G144&gt;0, H144=0), IF(ROUND(K144,8)=0, "Group 9: Only Passed | Without variation (SD Passed = 0)", "Group 10: Only Passed | With variation (SD Passed &gt; 0)"), IF(AND(G144=0, H144&gt;0), IF(ROUND(N144,8)=0, "Group 11: Only Failed | Without variation (SD Failed = 0)", "Group 12: Only Failed | With variation (SD Failed &gt; 0)"), IF(AND(G144&gt;0, H144&gt;0), IF(ROUND(J144,5)&lt;&gt;ROUND(M144,5), IF(AND(ROUND(K144,8)=0, ROUND(N144,8)=0), "Group 1: Flaky | Passed (no variation) AND Failed (no variation) | Different Means", IF(AND(ROUND(K144,8)&gt;0, ROUND(N144,8)&gt;0), "Group 2: Flaky | Passed (with variation) AND Failed (with variation) | Different Means", IF(AND(ROUND(K144,8)=0, ROUND(N144,8)&gt;0), "Group 3: Flaky | Passed (no variation) AND Failed (with variation) | Different Means", "Group 4: Flaky | Passed (with variation) AND Failed (no variation) | Different Means"))), IF(AND(ROUND(K144,8)=0, ROUND(N144,8)=0), "Group 5: Flaky | Passed (no variation) AND Failed (no variation) | Equal Means", IF(AND(ROUND(K144,8)&gt;0, ROUND(N144,8)&gt;0), "Group 6: Flaky | Passed (with variation) AND Failed (with variation) | Equal Means", IF(AND(ROUND(K144,8)=0, ROUND(N144,8)&gt;0),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144" s="22" t="n">
        <v>100</v>
      </c>
      <c r="R144" s="22" t="n">
        <v>0</v>
      </c>
      <c r="S144" s="23" t="str">
        <f aca="false">IF(AND(Q144&gt;0, R144&gt;0), "Observed Flaky Test", "Non-observed Flaky Test")</f>
        <v>Non-observed Flaky Test</v>
      </c>
      <c r="T144" s="58" t="n">
        <v>92782803</v>
      </c>
      <c r="U144" s="24" t="n">
        <v>134.479577</v>
      </c>
      <c r="V144" s="25" t="n">
        <f aca="false">IFERROR(U144/T144*100,"N/A")</f>
        <v>0.000144940196514649</v>
      </c>
      <c r="W144" s="22" t="n">
        <v>0</v>
      </c>
      <c r="X144" s="22" t="n">
        <v>0</v>
      </c>
      <c r="Y144" s="27" t="str">
        <f aca="false">IFERROR(X144/W144*100,"N/A")</f>
        <v>N/A</v>
      </c>
      <c r="Z144" s="50" t="str">
        <f aca="false">IF(AND(Q144&gt;0, R144=0), IF(IFERROR(ROUND(V144,8),0)=0, "Group 9: Only Passed | Without variation (no var CV = 0)", "Group 10: Only Passed | With variation (with var CV &gt; 0)"), IF(AND(Q144=0, R144&gt;0), IF(IFERROR(ROUND(Y144,8),0)=0, "Group 11: Only Failed | Without variation (no var CV = 0)", "Group 12: Only Failed | With variation (with var CV &gt; 0)"), IF(AND(Q144&gt;0, R144&gt;0), IF(ROUND(T144,5)&lt;&gt;ROUND(W144,5), IF(AND(IFERROR(ROUND(V144,8),0)=0, IFERROR(ROUND(Y144,8),0)=0), "Group 1: Flaky | Passed (no variation: CV = 0) AND Failed (no variation: CV = 0) | Different Means", IF(AND(IFERROR(ROUND(V144,8),0)&gt;0, IFERROR(ROUND(Y144,8),0)&gt;0), "Group 2: Flaky | Passed (with variation: CV &gt; 0) AND Failed (with variation: CV &gt; 0) | Different Means", IF(AND(IFERROR(ROUND(V144,8),0)=0, IFERROR(ROUND(Y144,8),0)&gt;0), "Group 3: Flaky | Passed (no variation: CV = 0) AND Failed (with variation: CV &gt; 0) | Different Means", "Group 4: Flaky | Passed (with variation: CV &gt; 0) AND Failed (no variation: CV = 0) | Different Means"))), IF(AND(IFERROR(ROUND(V144,8),0)=0, IFERROR(ROUND(Y144,8),0)=0), "Group 5: Flaky | Passed (no var CV = 0) AND Failed (no var CV = 0) | Equal Means", IF(AND(IFERROR(ROUND(V144,8),0)&gt;0, IFERROR(ROUND(Y144,8),0)&gt;0), "Group 6: Flaky | Passed (with var CV &gt; 0) AND Failed (with var CV &gt; 0) | Equal Means", IF(AND(IFERROR(ROUND(V144,8),0)=0, IFERROR(ROUND(Y144,8),0)&gt;0),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4" s="29" t="n">
        <v>0.57965</v>
      </c>
      <c r="AB144" s="29" t="n">
        <v>0.010009</v>
      </c>
      <c r="AC144" s="29" t="n">
        <f aca="false">IFERROR(AB144/AA144*100,"N/A")</f>
        <v>1.72673164840852</v>
      </c>
      <c r="AD144" s="29" t="n">
        <v>0</v>
      </c>
      <c r="AE144" s="29" t="n">
        <v>0</v>
      </c>
      <c r="AF144" s="29" t="str">
        <f aca="false">IFERROR(AE144/AD144*100,"N/A")</f>
        <v>N/A</v>
      </c>
      <c r="AG144" s="51" t="str">
        <f aca="false">IF(AND(Q144&gt;0, R144=0), IF(IFERROR(ROUND(AC144,8),0)=0, "Group 9: Only Passed | Without variation (no var CV = 0)", "Group 10: Only Passed | With variation (with var CV &gt; 0)"), IF(AND(Q144=0, R144&gt;0), IF(IFERROR(ROUND(AF144,8),0)=0, "Group 11: Only Failed | Without variation (no var CV = 0)", "Group 12: Only Failed | With variation (with var CV &gt; 0)"), IF(AND(Q144&gt;0, R144&gt;0), IF(ROUND(AA144,5)&lt;&gt;ROUND(AD144,5), IF(AND(IFERROR(ROUND(AC144,8),0)=0, IFERROR(ROUND(AF144,8),0)=0), "Group 1: Flaky | Passed (no variation: CV = 0) AND Failed (no variation: CV = 0) | Different Means", IF(AND(IFERROR(ROUND(AC144,8),0)&gt;0, IFERROR(ROUND(AF144,8),0)&gt;0), "Group 2: Flaky | Passed (with variation: CV &gt; 0) AND Failed (with variation: CV &gt; 0) | Different Means", IF(AND(IFERROR(ROUND(AC144,8),0)=0, IFERROR(ROUND(AF144,8),0)&gt;0), "Group 3: Flaky | Passed (no variation: CV = 0) AND Failed (with variation: CV &gt; 0) | Different Means", "Group 4: Flaky | Passed (with variation: CV &gt; 0) AND Failed (no variation: CV = 0) | Different Means"))), IF(AND(IFERROR(ROUND(AC144,8),0)=0, IFERROR(ROUND(AF144,8),0)=0), "Group 5: Flaky | Passed (no var CV = 0) AND Failed (no var CV = 0) | Equal Means", IF(AND(IFERROR(ROUND(AC144,8),0)&gt;0, IFERROR(ROUND(AF144,8),0)&gt;0), "Group 6: Flaky | Passed (with var CV &gt; 0) AND Failed (with var CV &gt; 0) | Equal Means", IF(AND(IFERROR(ROUND(AC144,8),0)=0, IFERROR(ROUND(AF144,8),0)&gt;0),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4" s="22" t="n">
        <v>95</v>
      </c>
      <c r="AI144" s="17" t="n">
        <v>5</v>
      </c>
      <c r="AJ144" s="39" t="str">
        <f aca="false">IF(AND(AH144&gt;0, AI144&gt;0), "Observed Flaky Test", "Non-observed Flaky Test")</f>
        <v>Observed Flaky Test</v>
      </c>
      <c r="AK144" s="59" t="n">
        <v>1684520.04210526</v>
      </c>
      <c r="AL144" s="57" t="n">
        <v>3061.10546335515</v>
      </c>
      <c r="AM144" s="33" t="n">
        <f aca="false">IFERROR(AL144/AK144*100,"N/A")</f>
        <v>0.181719741341247</v>
      </c>
      <c r="AN144" s="32" t="n">
        <v>1685415.2</v>
      </c>
      <c r="AO144" s="57" t="n">
        <v>5338.73868062485</v>
      </c>
      <c r="AP144" s="35" t="n">
        <f aca="false">IFERROR(AO144/AN144*100,"N/A")</f>
        <v>0.316761037910709</v>
      </c>
      <c r="AQ144" s="63" t="str">
        <f aca="false">IF(AND(AH144&gt;0, AI144&gt;0),
    IF(ROUND(N(AK144),5)&lt;&gt;ROUND(N(AN144),5),
        IF(AND(ROUND(N(AL144),8)=0, ROUND(N(AO144),8)=0), "Group 1: Flaky | Passed (no variation: SD = 0) AND Failed (no variation: SD = 0) | Different Means",
        IF(AND(ROUND(N(AL144),8)&gt;0, ROUND(N(AO144),8)&gt;0), "Group 2: Flaky | Passed (with variation: SD &gt; 0) AND Failed (with variation: SD &gt; 0) | Different Means",
        IF(AND(ROUND(N(AL144),8)=0, ROUND(N(AO144),8)&gt;0), "Group 3: Flaky | Passed (no variation: SD = 0) AND Failed (with variation: SD &gt; 0) | Different Means",
        "Group 4: Flaky | Passed (with variation: SD &gt; 0) AND Failed (no variation: SD = 0) | Different Means"))),
        IF(AND(ROUND(N(AL144),8)=0, ROUND(N(AO144),8)=0), "Group 5: Flaky | Passed (no var SD = 0) AND Failed (no var SD = 0) | Equal Means",
        IF(AND(ROUND(N(AL144),8)&gt;0, ROUND(N(AO144),8)&gt;0), "Group 6: Flaky | Passed (with var SD &gt; 0 ) AND Failed (with var SD &gt; 0) | Equal Means",
        IF(AND(ROUND(N(AL144),8)=0, ROUND(N(AO144),8)&gt;0), "Group 7: Flaky | Passed (no var SD = 0) AND Failed (with var SD &gt; 0) | Equal Means",
        "Group 8: Flaky | Passed (with var SD &gt; 0 ) AND Failed (no var SD = 0) | Equal Means")))
    ),
    IF(AH144&gt;0,
        IF(N(AL144)&gt;0, "Group 10: Only Passed | With variation (with var SD &gt; 0)", "Group 9: Only Passed | Without variation (no var SD = 0)"),
        IF(AI144&gt;0,
            IF(N(AO144)&gt;0,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44" s="42" t="str">
        <f aca="false">IF(OR(F144="Observed Flaky Test", I144="Observed Flaky Test", S144="Observed Flaky Test", AJ144="Observed Flaky Test"), "Observed Flaky Test", "Non-observed Flaky Test")</f>
        <v>Observed Flaky Test</v>
      </c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</row>
    <row r="145" customFormat="false" ht="15.75" hidden="false" customHeight="true" outlineLevel="0" collapsed="false">
      <c r="A145" s="81"/>
      <c r="B145" s="14" t="s">
        <v>325</v>
      </c>
      <c r="C145" s="14" t="s">
        <v>326</v>
      </c>
      <c r="D145" s="15" t="n">
        <v>100</v>
      </c>
      <c r="E145" s="15" t="n">
        <v>0</v>
      </c>
      <c r="F145" s="16" t="str">
        <f aca="false">IF(AND(D145&gt;0, E145&gt;0), "Observed Flaky Test", "Non-observed Flaky Test")</f>
        <v>Non-observed Flaky Test</v>
      </c>
      <c r="G145" s="22" t="n">
        <v>94</v>
      </c>
      <c r="H145" s="22" t="n">
        <v>6</v>
      </c>
      <c r="I145" s="61" t="str">
        <f aca="false">IF(AND(G145&gt;0, H145&gt;0), "Observed Flaky Test", "Non-observed Flaky Test")</f>
        <v>Observed Flaky Test</v>
      </c>
      <c r="J145" s="53" t="n">
        <v>19.778404</v>
      </c>
      <c r="K145" s="53" t="n">
        <v>0.003662</v>
      </c>
      <c r="L145" s="19" t="n">
        <f aca="false">IFERROR(K145/J145*100,"N/A")</f>
        <v>0.0185151440935275</v>
      </c>
      <c r="M145" s="18" t="n">
        <v>19.73</v>
      </c>
      <c r="N145" s="53" t="n">
        <v>0.005774</v>
      </c>
      <c r="O145" s="20" t="n">
        <f aca="false">IFERROR(N145/M145*100,"N/A")</f>
        <v>0.0292650785605677</v>
      </c>
      <c r="P145" s="62" t="str">
        <f aca="false">IF(AND(G145&gt;0, H145=0), IF(ROUND(K145,8)=0, "Group 9: Only Passed | Without variation (SD Passed = 0)", "Group 10: Only Passed | With variation (SD Passed &gt; 0)"), IF(AND(G145=0, H145&gt;0), IF(ROUND(N145,8)=0, "Group 11: Only Failed | Without variation (SD Failed = 0)", "Group 12: Only Failed | With variation (SD Failed &gt; 0)"), IF(AND(G145&gt;0, H145&gt;0), IF(ROUND(J145,5)&lt;&gt;ROUND(M145,5), IF(AND(ROUND(K145,8)=0, ROUND(N145,8)=0), "Group 1: Flaky | Passed (no variation) AND Failed (no variation) | Different Means", IF(AND(ROUND(K145,8)&gt;0, ROUND(N145,8)&gt;0), "Group 2: Flaky | Passed (with variation) AND Failed (with variation) | Different Means", IF(AND(ROUND(K145,8)=0, ROUND(N145,8)&gt;0), "Group 3: Flaky | Passed (no variation) AND Failed (with variation) | Different Means", "Group 4: Flaky | Passed (with variation) AND Failed (no variation) | Different Means"))), IF(AND(ROUND(K145,8)=0, ROUND(N145,8)=0), "Group 5: Flaky | Passed (no variation) AND Failed (no variation) | Equal Means", IF(AND(ROUND(K145,8)&gt;0, ROUND(N145,8)&gt;0), "Group 6: Flaky | Passed (with variation) AND Failed (with variation) | Equal Means", IF(AND(ROUND(K145,8)=0, ROUND(N145,8)&gt;0),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45" s="22" t="n">
        <v>99</v>
      </c>
      <c r="R145" s="22" t="n">
        <v>1</v>
      </c>
      <c r="S145" s="43" t="str">
        <f aca="false">IF(AND(Q145&gt;0, R145&gt;0), "Observed Flaky Test", "Non-observed Flaky Test")</f>
        <v>Observed Flaky Test</v>
      </c>
      <c r="T145" s="24" t="n">
        <v>881459.020202</v>
      </c>
      <c r="U145" s="24" t="n">
        <v>142.233207</v>
      </c>
      <c r="V145" s="25" t="n">
        <f aca="false">IFERROR(U145/T145*100,"N/A")</f>
        <v>0.0161361111226027</v>
      </c>
      <c r="W145" s="58" t="n">
        <v>1043350</v>
      </c>
      <c r="X145" s="22" t="n">
        <v>0</v>
      </c>
      <c r="Y145" s="27" t="n">
        <f aca="false">IFERROR(X145/W145*100,"N/A")</f>
        <v>0</v>
      </c>
      <c r="Z145" s="69" t="str">
        <f aca="false">IF(AND(Q145&gt;0, R145=0), IF(IFERROR(ROUND(V145,8),0)=0, "Group 9: Only Passed | Without variation (no var CV = 0)", "Group 10: Only Passed | With variation (with var CV &gt; 0)"), IF(AND(Q145=0, R145&gt;0), IF(IFERROR(ROUND(Y145,8),0)=0, "Group 11: Only Failed | Without variation (no var CV = 0)", "Group 12: Only Failed | With variation (with var CV &gt; 0)"), IF(AND(Q145&gt;0, R145&gt;0), IF(ROUND(T145,5)&lt;&gt;ROUND(W145,5), IF(AND(IFERROR(ROUND(V145,8),0)=0, IFERROR(ROUND(Y145,8),0)=0), "Group 1: Flaky | Passed (no variation: CV = 0) AND Failed (no variation: CV = 0) | Different Means", IF(AND(IFERROR(ROUND(V145,8),0)&gt;0, IFERROR(ROUND(Y145,8),0)&gt;0), "Group 2: Flaky | Passed (with variation: CV &gt; 0) AND Failed (with variation: CV &gt; 0) | Different Means", IF(AND(IFERROR(ROUND(V145,8),0)=0, IFERROR(ROUND(Y145,8),0)&gt;0), "Group 3: Flaky | Passed (no variation: CV = 0) AND Failed (with variation: CV &gt; 0) | Different Means", "Group 4: Flaky | Passed (with variation: CV &gt; 0) AND Failed (no variation: CV = 0) | Different Means"))), IF(AND(IFERROR(ROUND(V145,8),0)=0, IFERROR(ROUND(Y145,8),0)=0), "Group 5: Flaky | Passed (no var CV = 0) AND Failed (no var CV = 0) | Equal Means", IF(AND(IFERROR(ROUND(V145,8),0)&gt;0, IFERROR(ROUND(Y145,8),0)&gt;0), "Group 6: Flaky | Passed (with var CV &gt; 0) AND Failed (with var CV &gt; 0) | Equal Means", IF(AND(IFERROR(ROUND(V145,8),0)=0, IFERROR(ROUND(Y145,8),0)&gt;0),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45" s="29" t="n">
        <v>0.711347</v>
      </c>
      <c r="AB145" s="29" t="n">
        <v>0.014431</v>
      </c>
      <c r="AC145" s="29" t="n">
        <f aca="false">IFERROR(AB145/AA145*100,"N/A")</f>
        <v>2.02868642167606</v>
      </c>
      <c r="AD145" s="29" t="n">
        <v>0.744851</v>
      </c>
      <c r="AE145" s="29" t="n">
        <v>0</v>
      </c>
      <c r="AF145" s="29" t="n">
        <f aca="false">IFERROR(AE145/AD145*100,"N/A")</f>
        <v>0</v>
      </c>
      <c r="AG145" s="70" t="str">
        <f aca="false">IF(AND(Q145&gt;0, R145=0), IF(IFERROR(ROUND(AC145,8),0)=0, "Group 9: Only Passed | Without variation (no var CV = 0)", "Group 10: Only Passed | With variation (with var CV &gt; 0)"), IF(AND(Q145=0, R145&gt;0), IF(IFERROR(ROUND(AF145,8),0)=0, "Group 11: Only Failed | Without variation (no var CV = 0)", "Group 12: Only Failed | With variation (with var CV &gt; 0)"), IF(AND(Q145&gt;0, R145&gt;0), IF(ROUND(AA145,5)&lt;&gt;ROUND(AD145,5), IF(AND(IFERROR(ROUND(AC145,8),0)=0, IFERROR(ROUND(AF145,8),0)=0), "Group 1: Flaky | Passed (no variation: CV = 0) AND Failed (no variation: CV = 0) | Different Means", IF(AND(IFERROR(ROUND(AC145,8),0)&gt;0, IFERROR(ROUND(AF145,8),0)&gt;0), "Group 2: Flaky | Passed (with variation: CV &gt; 0) AND Failed (with variation: CV &gt; 0) | Different Means", IF(AND(IFERROR(ROUND(AC145,8),0)=0, IFERROR(ROUND(AF145,8),0)&gt;0), "Group 3: Flaky | Passed (no variation: CV = 0) AND Failed (with variation: CV &gt; 0) | Different Means", "Group 4: Flaky | Passed (with variation: CV &gt; 0) AND Failed (no variation: CV = 0) | Different Means"))), IF(AND(IFERROR(ROUND(AC145,8),0)=0, IFERROR(ROUND(AF145,8),0)=0), "Group 5: Flaky | Passed (no var CV = 0) AND Failed (no var CV = 0) | Equal Means", IF(AND(IFERROR(ROUND(AC145,8),0)&gt;0, IFERROR(ROUND(AF145,8),0)&gt;0), "Group 6: Flaky | Passed (with var CV &gt; 0) AND Failed (with var CV &gt; 0) | Equal Means", IF(AND(IFERROR(ROUND(AC145,8),0)=0, IFERROR(ROUND(AF145,8),0)&gt;0),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45" s="22" t="n">
        <v>100</v>
      </c>
      <c r="AI145" s="17" t="n">
        <v>0</v>
      </c>
      <c r="AJ145" s="31" t="str">
        <f aca="false">IF(AND(AH145&gt;0, AI145&gt;0), "Observed Flaky Test", "Non-observed Flaky Test")</f>
        <v>Non-observed Flaky Test</v>
      </c>
      <c r="AK145" s="32" t="n">
        <v>262</v>
      </c>
      <c r="AL145" s="32" t="n">
        <v>0</v>
      </c>
      <c r="AM145" s="33" t="n">
        <f aca="false">IFERROR(AL145/AK145*100,"N/A")</f>
        <v>0</v>
      </c>
      <c r="AN145" s="32" t="n">
        <v>0</v>
      </c>
      <c r="AO145" s="32" t="n">
        <v>0</v>
      </c>
      <c r="AP145" s="35" t="str">
        <f aca="false">IFERROR(AO145/AN145*100,"N/A")</f>
        <v>N/A</v>
      </c>
      <c r="AQ145" s="45" t="str">
        <f aca="false">IF(AND(AH145&gt;0, AI145&gt;0),
    IF(ROUND(N(AK145),5)&lt;&gt;ROUND(N(AN145),5),
        IF(AND(ROUND(N(AL145),8)=0, ROUND(N(AO145),8)=0), "Group 1: Flaky | Passed (no variation: SD = 0) AND Failed (no variation: SD = 0) | Different Means",
        IF(AND(ROUND(N(AL145),8)&gt;0, ROUND(N(AO145),8)&gt;0), "Group 2: Flaky | Passed (with variation: SD &gt; 0) AND Failed (with variation: SD &gt; 0) | Different Means",
        IF(AND(ROUND(N(AL145),8)=0, ROUND(N(AO145),8)&gt;0), "Group 3: Flaky | Passed (no variation: SD = 0) AND Failed (with variation: SD &gt; 0) | Different Means",
        "Group 4: Flaky | Passed (with variation: SD &gt; 0) AND Failed (no variation: SD = 0) | Different Means"))),
        IF(AND(ROUND(N(AL145),8)=0, ROUND(N(AO145),8)=0), "Group 5: Flaky | Passed (no var SD = 0) AND Failed (no var SD = 0) | Equal Means",
        IF(AND(ROUND(N(AL145),8)&gt;0, ROUND(N(AO145),8)&gt;0), "Group 6: Flaky | Passed (with var SD &gt; 0 ) AND Failed (with var SD &gt; 0) | Equal Means",
        IF(AND(ROUND(N(AL145),8)=0, ROUND(N(AO145),8)&gt;0), "Group 7: Flaky | Passed (no var SD = 0) AND Failed (with var SD &gt; 0) | Equal Means",
        "Group 8: Flaky | Passed (with var SD &gt; 0 ) AND Failed (no var SD = 0) | Equal Means")))
    ),
    IF(AH145&gt;0,
        IF(N(AL145)&gt;0, "Group 10: Only Passed | With variation (with var SD &gt; 0)", "Group 9: Only Passed | Without variation (no var SD = 0)"),
        IF(AI145&gt;0,
            IF(N(AO145)&gt;0,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45" s="42" t="str">
        <f aca="false">IF(OR(F145="Observed Flaky Test", I145="Observed Flaky Test", S145="Observed Flaky Test", AJ145="Observed Flaky Test"), "Observed Flaky Test", "Non-observed Flaky Test")</f>
        <v>Observed Flaky Test</v>
      </c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</row>
    <row r="146" customFormat="false" ht="15.75" hidden="false" customHeight="true" outlineLevel="0" collapsed="false">
      <c r="A146" s="81"/>
      <c r="B146" s="14" t="s">
        <v>327</v>
      </c>
      <c r="C146" s="14" t="s">
        <v>328</v>
      </c>
      <c r="D146" s="15" t="n">
        <v>100</v>
      </c>
      <c r="E146" s="15" t="n">
        <v>0</v>
      </c>
      <c r="F146" s="16" t="str">
        <f aca="false">IF(AND(D146&gt;0, E146&gt;0), "Observed Flaky Test", "Non-observed Flaky Test")</f>
        <v>Non-observed Flaky Test</v>
      </c>
      <c r="G146" s="22" t="n">
        <v>99</v>
      </c>
      <c r="H146" s="22" t="n">
        <v>1</v>
      </c>
      <c r="I146" s="61" t="str">
        <f aca="false">IF(AND(G146&gt;0, H146&gt;0), "Observed Flaky Test", "Non-observed Flaky Test")</f>
        <v>Observed Flaky Test</v>
      </c>
      <c r="J146" s="18" t="n">
        <v>20.04</v>
      </c>
      <c r="K146" s="18" t="n">
        <v>0</v>
      </c>
      <c r="L146" s="19" t="n">
        <f aca="false">IFERROR(K146/J146*100,"N/A")</f>
        <v>0</v>
      </c>
      <c r="M146" s="18" t="n">
        <v>20.03</v>
      </c>
      <c r="N146" s="18" t="n">
        <v>0</v>
      </c>
      <c r="O146" s="20" t="n">
        <f aca="false">IFERROR(N146/M146*100,"N/A")</f>
        <v>0</v>
      </c>
      <c r="P146" s="78" t="str">
        <f aca="false">IF(AND(G146&gt;0, H146=0), IF(ROUND(K146,8)=0, "Group 9: Only Passed | Without variation (SD Passed = 0)", "Group 10: Only Passed | With variation (SD Passed &gt; 0)"), IF(AND(G146=0, H146&gt;0), IF(ROUND(N146,8)=0, "Group 11: Only Failed | Without variation (SD Failed = 0)", "Group 12: Only Failed | With variation (SD Failed &gt; 0)"), IF(AND(G146&gt;0, H146&gt;0), IF(ROUND(J146,5)&lt;&gt;ROUND(M146,5), IF(AND(ROUND(K146,8)=0, ROUND(N146,8)=0), "Group 1: Flaky | Passed (no variation) AND Failed (no variation) | Different Means", IF(AND(ROUND(K146,8)&gt;0, ROUND(N146,8)&gt;0), "Group 2: Flaky | Passed (with variation) AND Failed (with variation) | Different Means", IF(AND(ROUND(K146,8)=0, ROUND(N146,8)&gt;0), "Group 3: Flaky | Passed (no variation) AND Failed (with variation) | Different Means", "Group 4: Flaky | Passed (with variation) AND Failed (no variation) | Different Means"))), IF(AND(ROUND(K146,8)=0, ROUND(N146,8)=0), "Group 5: Flaky | Passed (no variation) AND Failed (no variation) | Equal Means", IF(AND(ROUND(K146,8)&gt;0, ROUND(N146,8)&gt;0), "Group 6: Flaky | Passed (with variation) AND Failed (with variation) | Equal Means", IF(AND(ROUND(K146,8)=0, ROUND(N146,8)&gt;0),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46" s="22" t="n">
        <v>100</v>
      </c>
      <c r="R146" s="22" t="n">
        <v>0</v>
      </c>
      <c r="S146" s="23" t="str">
        <f aca="false">IF(AND(Q146&gt;0, R146&gt;0), "Observed Flaky Test", "Non-observed Flaky Test")</f>
        <v>Non-observed Flaky Test</v>
      </c>
      <c r="T146" s="22" t="n">
        <v>881458.42</v>
      </c>
      <c r="U146" s="24" t="n">
        <v>134.026093</v>
      </c>
      <c r="V146" s="25" t="n">
        <f aca="false">IFERROR(U146/T146*100,"N/A")</f>
        <v>0.0152050385995519</v>
      </c>
      <c r="W146" s="22" t="n">
        <v>0</v>
      </c>
      <c r="X146" s="22" t="n">
        <v>0</v>
      </c>
      <c r="Y146" s="27" t="str">
        <f aca="false">IFERROR(X146/W146*100,"N/A")</f>
        <v>N/A</v>
      </c>
      <c r="Z146" s="50" t="str">
        <f aca="false">IF(AND(Q146&gt;0, R146=0), IF(IFERROR(ROUND(V146,8),0)=0, "Group 9: Only Passed | Without variation (no var CV = 0)", "Group 10: Only Passed | With variation (with var CV &gt; 0)"), IF(AND(Q146=0, R146&gt;0), IF(IFERROR(ROUND(Y146,8),0)=0, "Group 11: Only Failed | Without variation (no var CV = 0)", "Group 12: Only Failed | With variation (with var CV &gt; 0)"), IF(AND(Q146&gt;0, R146&gt;0), IF(ROUND(T146,5)&lt;&gt;ROUND(W146,5), IF(AND(IFERROR(ROUND(V146,8),0)=0, IFERROR(ROUND(Y146,8),0)=0), "Group 1: Flaky | Passed (no variation: CV = 0) AND Failed (no variation: CV = 0) | Different Means", IF(AND(IFERROR(ROUND(V146,8),0)&gt;0, IFERROR(ROUND(Y146,8),0)&gt;0), "Group 2: Flaky | Passed (with variation: CV &gt; 0) AND Failed (with variation: CV &gt; 0) | Different Means", IF(AND(IFERROR(ROUND(V146,8),0)=0, IFERROR(ROUND(Y146,8),0)&gt;0), "Group 3: Flaky | Passed (no variation: CV = 0) AND Failed (with variation: CV &gt; 0) | Different Means", "Group 4: Flaky | Passed (with variation: CV &gt; 0) AND Failed (no variation: CV = 0) | Different Means"))), IF(AND(IFERROR(ROUND(V146,8),0)=0, IFERROR(ROUND(Y146,8),0)=0), "Group 5: Flaky | Passed (no var CV = 0) AND Failed (no var CV = 0) | Equal Means", IF(AND(IFERROR(ROUND(V146,8),0)&gt;0, IFERROR(ROUND(Y146,8),0)&gt;0), "Group 6: Flaky | Passed (with var CV &gt; 0) AND Failed (with var CV &gt; 0) | Equal Means", IF(AND(IFERROR(ROUND(V146,8),0)=0, IFERROR(ROUND(Y146,8),0)&gt;0),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6" s="29" t="n">
        <v>0.722969</v>
      </c>
      <c r="AB146" s="29" t="n">
        <v>0.021272</v>
      </c>
      <c r="AC146" s="29" t="n">
        <f aca="false">IFERROR(AB146/AA146*100,"N/A")</f>
        <v>2.94231149606691</v>
      </c>
      <c r="AD146" s="29" t="n">
        <v>0</v>
      </c>
      <c r="AE146" s="29" t="n">
        <v>0</v>
      </c>
      <c r="AF146" s="29" t="str">
        <f aca="false">IFERROR(AE146/AD146*100,"N/A")</f>
        <v>N/A</v>
      </c>
      <c r="AG146" s="51" t="str">
        <f aca="false">IF(AND(Q146&gt;0, R146=0), IF(IFERROR(ROUND(AC146,8),0)=0, "Group 9: Only Passed | Without variation (no var CV = 0)", "Group 10: Only Passed | With variation (with var CV &gt; 0)"), IF(AND(Q146=0, R146&gt;0), IF(IFERROR(ROUND(AF146,8),0)=0, "Group 11: Only Failed | Without variation (no var CV = 0)", "Group 12: Only Failed | With variation (with var CV &gt; 0)"), IF(AND(Q146&gt;0, R146&gt;0), IF(ROUND(AA146,5)&lt;&gt;ROUND(AD146,5), IF(AND(IFERROR(ROUND(AC146,8),0)=0, IFERROR(ROUND(AF146,8),0)=0), "Group 1: Flaky | Passed (no variation: CV = 0) AND Failed (no variation: CV = 0) | Different Means", IF(AND(IFERROR(ROUND(AC146,8),0)&gt;0, IFERROR(ROUND(AF146,8),0)&gt;0), "Group 2: Flaky | Passed (with variation: CV &gt; 0) AND Failed (with variation: CV &gt; 0) | Different Means", IF(AND(IFERROR(ROUND(AC146,8),0)=0, IFERROR(ROUND(AF146,8),0)&gt;0), "Group 3: Flaky | Passed (no variation: CV = 0) AND Failed (with variation: CV &gt; 0) | Different Means", "Group 4: Flaky | Passed (with variation: CV &gt; 0) AND Failed (no variation: CV = 0) | Different Means"))), IF(AND(IFERROR(ROUND(AC146,8),0)=0, IFERROR(ROUND(AF146,8),0)=0), "Group 5: Flaky | Passed (no var CV = 0) AND Failed (no var CV = 0) | Equal Means", IF(AND(IFERROR(ROUND(AC146,8),0)&gt;0, IFERROR(ROUND(AF146,8),0)&gt;0), "Group 6: Flaky | Passed (with var CV &gt; 0) AND Failed (with var CV &gt; 0) | Equal Means", IF(AND(IFERROR(ROUND(AC146,8),0)=0, IFERROR(ROUND(AF146,8),0)&gt;0),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6" s="22" t="n">
        <v>100</v>
      </c>
      <c r="AI146" s="17" t="n">
        <v>0</v>
      </c>
      <c r="AJ146" s="31" t="str">
        <f aca="false">IF(AND(AH146&gt;0, AI146&gt;0), "Observed Flaky Test", "Non-observed Flaky Test")</f>
        <v>Non-observed Flaky Test</v>
      </c>
      <c r="AK146" s="32" t="n">
        <v>264</v>
      </c>
      <c r="AL146" s="32" t="n">
        <v>0</v>
      </c>
      <c r="AM146" s="33" t="n">
        <f aca="false">IFERROR(AL146/AK146*100,"N/A")</f>
        <v>0</v>
      </c>
      <c r="AN146" s="32" t="n">
        <v>0</v>
      </c>
      <c r="AO146" s="32" t="n">
        <v>0</v>
      </c>
      <c r="AP146" s="35" t="str">
        <f aca="false">IFERROR(AO146/AN146*100,"N/A")</f>
        <v>N/A</v>
      </c>
      <c r="AQ146" s="45" t="str">
        <f aca="false">IF(AND(AH146&gt;0, AI146&gt;0),
    IF(ROUND(N(AK146),5)&lt;&gt;ROUND(N(AN146),5),
        IF(AND(ROUND(N(AL146),8)=0, ROUND(N(AO146),8)=0), "Group 1: Flaky | Passed (no variation: SD = 0) AND Failed (no variation: SD = 0) | Different Means",
        IF(AND(ROUND(N(AL146),8)&gt;0, ROUND(N(AO146),8)&gt;0), "Group 2: Flaky | Passed (with variation: SD &gt; 0) AND Failed (with variation: SD &gt; 0) | Different Means",
        IF(AND(ROUND(N(AL146),8)=0, ROUND(N(AO146),8)&gt;0), "Group 3: Flaky | Passed (no variation: SD = 0) AND Failed (with variation: SD &gt; 0) | Different Means",
        "Group 4: Flaky | Passed (with variation: SD &gt; 0) AND Failed (no variation: SD = 0) | Different Means"))),
        IF(AND(ROUND(N(AL146),8)=0, ROUND(N(AO146),8)=0), "Group 5: Flaky | Passed (no var SD = 0) AND Failed (no var SD = 0) | Equal Means",
        IF(AND(ROUND(N(AL146),8)&gt;0, ROUND(N(AO146),8)&gt;0), "Group 6: Flaky | Passed (with var SD &gt; 0 ) AND Failed (with var SD &gt; 0) | Equal Means",
        IF(AND(ROUND(N(AL146),8)=0, ROUND(N(AO146),8)&gt;0), "Group 7: Flaky | Passed (no var SD = 0) AND Failed (with var SD &gt; 0) | Equal Means",
        "Group 8: Flaky | Passed (with var SD &gt; 0 ) AND Failed (no var SD = 0) | Equal Means")))
    ),
    IF(AH146&gt;0,
        IF(N(AL146)&gt;0, "Group 10: Only Passed | With variation (with var SD &gt; 0)", "Group 9: Only Passed | Without variation (no var SD = 0)"),
        IF(AI146&gt;0,
            IF(N(AO146)&gt;0,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46" s="42" t="str">
        <f aca="false">IF(OR(F146="Observed Flaky Test", I146="Observed Flaky Test", S146="Observed Flaky Test", AJ146="Observed Flaky Test"), "Observed Flaky Test", "Non-observed Flaky Test")</f>
        <v>Observed Flaky Test</v>
      </c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</row>
    <row r="147" customFormat="false" ht="15.75" hidden="false" customHeight="true" outlineLevel="0" collapsed="false">
      <c r="A147" s="81"/>
      <c r="B147" s="14" t="s">
        <v>329</v>
      </c>
      <c r="C147" s="14" t="s">
        <v>330</v>
      </c>
      <c r="D147" s="15" t="n">
        <v>100</v>
      </c>
      <c r="E147" s="15" t="n">
        <v>0</v>
      </c>
      <c r="F147" s="16" t="str">
        <f aca="false">IF(AND(D147&gt;0, E147&gt;0), "Observed Flaky Test", "Non-observed Flaky Test")</f>
        <v>Non-observed Flaky Test</v>
      </c>
      <c r="G147" s="22" t="n">
        <v>100</v>
      </c>
      <c r="H147" s="22" t="n">
        <v>0</v>
      </c>
      <c r="I147" s="16" t="str">
        <f aca="false">IF(AND(G147&gt;0, H147&gt;0), "Observed Flaky Test", "Non-observed Flaky Test")</f>
        <v>Non-observed Flaky Test</v>
      </c>
      <c r="J147" s="46" t="n">
        <v>4.9009</v>
      </c>
      <c r="K147" s="53" t="n">
        <v>0.020644</v>
      </c>
      <c r="L147" s="19" t="n">
        <f aca="false">IFERROR(K147/J147*100,"N/A")</f>
        <v>0.421228753902344</v>
      </c>
      <c r="M147" s="18" t="n">
        <v>0</v>
      </c>
      <c r="N147" s="18" t="n">
        <v>0</v>
      </c>
      <c r="O147" s="20" t="str">
        <f aca="false">IFERROR(N147/M147*100,"N/A")</f>
        <v>N/A</v>
      </c>
      <c r="P147" s="48" t="str">
        <f aca="false">IF(AND(G147&gt;0, H147=0), IF(ROUND(K147,8)=0, "Group 9: Only Passed | Without variation (SD Passed = 0)", "Group 10: Only Passed | With variation (SD Passed &gt; 0)"), IF(AND(G147=0, H147&gt;0), IF(ROUND(N147,8)=0, "Group 11: Only Failed | Without variation (SD Failed = 0)", "Group 12: Only Failed | With variation (SD Failed &gt; 0)"), IF(AND(G147&gt;0, H147&gt;0), IF(ROUND(J147,5)&lt;&gt;ROUND(M147,5), IF(AND(ROUND(K147,8)=0, ROUND(N147,8)=0), "Group 1: Flaky | Passed (no variation) AND Failed (no variation) | Different Means", IF(AND(ROUND(K147,8)&gt;0, ROUND(N147,8)&gt;0), "Group 2: Flaky | Passed (with variation) AND Failed (with variation) | Different Means", IF(AND(ROUND(K147,8)=0, ROUND(N147,8)&gt;0), "Group 3: Flaky | Passed (no variation) AND Failed (with variation) | Different Means", "Group 4: Flaky | Passed (with variation) AND Failed (no variation) | Different Means"))), IF(AND(ROUND(K147,8)=0, ROUND(N147,8)=0), "Group 5: Flaky | Passed (no variation) AND Failed (no variation) | Equal Means", IF(AND(ROUND(K147,8)&gt;0, ROUND(N147,8)&gt;0), "Group 6: Flaky | Passed (with variation) AND Failed (with variation) | Equal Means", IF(AND(ROUND(K147,8)=0, ROUND(N147,8)&gt;0),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47" s="22" t="n">
        <v>100</v>
      </c>
      <c r="R147" s="22" t="n">
        <v>0</v>
      </c>
      <c r="S147" s="23" t="str">
        <f aca="false">IF(AND(Q147&gt;0, R147&gt;0), "Observed Flaky Test", "Non-observed Flaky Test")</f>
        <v>Non-observed Flaky Test</v>
      </c>
      <c r="T147" s="22" t="n">
        <v>903504.32</v>
      </c>
      <c r="U147" s="24" t="n">
        <v>133.206522</v>
      </c>
      <c r="V147" s="25" t="n">
        <f aca="false">IFERROR(U147/T147*100,"N/A")</f>
        <v>0.0147433187701859</v>
      </c>
      <c r="W147" s="22" t="n">
        <v>0</v>
      </c>
      <c r="X147" s="22" t="n">
        <v>0</v>
      </c>
      <c r="Y147" s="27" t="str">
        <f aca="false">IFERROR(X147/W147*100,"N/A")</f>
        <v>N/A</v>
      </c>
      <c r="Z147" s="50" t="str">
        <f aca="false">IF(AND(Q147&gt;0, R147=0), IF(IFERROR(ROUND(V147,8),0)=0, "Group 9: Only Passed | Without variation (no var CV = 0)", "Group 10: Only Passed | With variation (with var CV &gt; 0)"), IF(AND(Q147=0, R147&gt;0), IF(IFERROR(ROUND(Y147,8),0)=0, "Group 11: Only Failed | Without variation (no var CV = 0)", "Group 12: Only Failed | With variation (with var CV &gt; 0)"), IF(AND(Q147&gt;0, R147&gt;0), IF(ROUND(T147,5)&lt;&gt;ROUND(W147,5), IF(AND(IFERROR(ROUND(V147,8),0)=0, IFERROR(ROUND(Y147,8),0)=0), "Group 1: Flaky | Passed (no variation: CV = 0) AND Failed (no variation: CV = 0) | Different Means", IF(AND(IFERROR(ROUND(V147,8),0)&gt;0, IFERROR(ROUND(Y147,8),0)&gt;0), "Group 2: Flaky | Passed (with variation: CV &gt; 0) AND Failed (with variation: CV &gt; 0) | Different Means", IF(AND(IFERROR(ROUND(V147,8),0)=0, IFERROR(ROUND(Y147,8),0)&gt;0), "Group 3: Flaky | Passed (no variation: CV = 0) AND Failed (with variation: CV &gt; 0) | Different Means", "Group 4: Flaky | Passed (with variation: CV &gt; 0) AND Failed (no variation: CV = 0) | Different Means"))), IF(AND(IFERROR(ROUND(V147,8),0)=0, IFERROR(ROUND(Y147,8),0)=0), "Group 5: Flaky | Passed (no var CV = 0) AND Failed (no var CV = 0) | Equal Means", IF(AND(IFERROR(ROUND(V147,8),0)&gt;0, IFERROR(ROUND(Y147,8),0)&gt;0), "Group 6: Flaky | Passed (with var CV &gt; 0) AND Failed (with var CV &gt; 0) | Equal Means", IF(AND(IFERROR(ROUND(V147,8),0)=0, IFERROR(ROUND(Y147,8),0)&gt;0),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7" s="29" t="n">
        <v>0.613677</v>
      </c>
      <c r="AB147" s="29" t="n">
        <v>0.033108</v>
      </c>
      <c r="AC147" s="29" t="n">
        <f aca="false">IFERROR(AB147/AA147*100,"N/A")</f>
        <v>5.39502050753083</v>
      </c>
      <c r="AD147" s="29" t="n">
        <v>0</v>
      </c>
      <c r="AE147" s="29" t="n">
        <v>0</v>
      </c>
      <c r="AF147" s="29" t="str">
        <f aca="false">IFERROR(AE147/AD147*100,"N/A")</f>
        <v>N/A</v>
      </c>
      <c r="AG147" s="51" t="str">
        <f aca="false">IF(AND(Q147&gt;0, R147=0), IF(IFERROR(ROUND(AC147,8),0)=0, "Group 9: Only Passed | Without variation (no var CV = 0)", "Group 10: Only Passed | With variation (with var CV &gt; 0)"), IF(AND(Q147=0, R147&gt;0), IF(IFERROR(ROUND(AF147,8),0)=0, "Group 11: Only Failed | Without variation (no var CV = 0)", "Group 12: Only Failed | With variation (with var CV &gt; 0)"), IF(AND(Q147&gt;0, R147&gt;0), IF(ROUND(AA147,5)&lt;&gt;ROUND(AD147,5), IF(AND(IFERROR(ROUND(AC147,8),0)=0, IFERROR(ROUND(AF147,8),0)=0), "Group 1: Flaky | Passed (no variation: CV = 0) AND Failed (no variation: CV = 0) | Different Means", IF(AND(IFERROR(ROUND(AC147,8),0)&gt;0, IFERROR(ROUND(AF147,8),0)&gt;0), "Group 2: Flaky | Passed (with variation: CV &gt; 0) AND Failed (with variation: CV &gt; 0) | Different Means", IF(AND(IFERROR(ROUND(AC147,8),0)=0, IFERROR(ROUND(AF147,8),0)&gt;0), "Group 3: Flaky | Passed (no variation: CV = 0) AND Failed (with variation: CV &gt; 0) | Different Means", "Group 4: Flaky | Passed (with variation: CV &gt; 0) AND Failed (no variation: CV = 0) | Different Means"))), IF(AND(IFERROR(ROUND(AC147,8),0)=0, IFERROR(ROUND(AF147,8),0)=0), "Group 5: Flaky | Passed (no var CV = 0) AND Failed (no var CV = 0) | Equal Means", IF(AND(IFERROR(ROUND(AC147,8),0)&gt;0, IFERROR(ROUND(AF147,8),0)&gt;0), "Group 6: Flaky | Passed (with var CV &gt; 0) AND Failed (with var CV &gt; 0) | Equal Means", IF(AND(IFERROR(ROUND(AC147,8),0)=0, IFERROR(ROUND(AF147,8),0)&gt;0),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7" s="22" t="n">
        <v>100</v>
      </c>
      <c r="AI147" s="17" t="n">
        <v>0</v>
      </c>
      <c r="AJ147" s="31" t="str">
        <f aca="false">IF(AND(AH147&gt;0, AI147&gt;0), "Observed Flaky Test", "Non-observed Flaky Test")</f>
        <v>Non-observed Flaky Test</v>
      </c>
      <c r="AK147" s="32" t="n">
        <v>1429033.01</v>
      </c>
      <c r="AL147" s="57" t="n">
        <v>4394.75833673284</v>
      </c>
      <c r="AM147" s="33" t="n">
        <f aca="false">IFERROR(AL147/AK147*100,"N/A")</f>
        <v>0.307533717274511</v>
      </c>
      <c r="AN147" s="32" t="n">
        <v>0</v>
      </c>
      <c r="AO147" s="32" t="n">
        <v>0</v>
      </c>
      <c r="AP147" s="35" t="str">
        <f aca="false">IFERROR(AO147/AN147*100,"N/A")</f>
        <v>N/A</v>
      </c>
      <c r="AQ147" s="52" t="str">
        <f aca="false">IF(AND(AH147&gt;0, AI147&gt;0),
    IF(ROUND(N(AK147),5)&lt;&gt;ROUND(N(AN147),5),
        IF(AND(ROUND(N(AL147),8)=0, ROUND(N(AO147),8)=0), "Group 1: Flaky | Passed (no variation: SD = 0) AND Failed (no variation: SD = 0) | Different Means",
        IF(AND(ROUND(N(AL147),8)&gt;0, ROUND(N(AO147),8)&gt;0), "Group 2: Flaky | Passed (with variation: SD &gt; 0) AND Failed (with variation: SD &gt; 0) | Different Means",
        IF(AND(ROUND(N(AL147),8)=0, ROUND(N(AO147),8)&gt;0), "Group 3: Flaky | Passed (no variation: SD = 0) AND Failed (with variation: SD &gt; 0) | Different Means",
        "Group 4: Flaky | Passed (with variation: SD &gt; 0) AND Failed (no variation: SD = 0) | Different Means"))),
        IF(AND(ROUND(N(AL147),8)=0, ROUND(N(AO147),8)=0), "Group 5: Flaky | Passed (no var SD = 0) AND Failed (no var SD = 0) | Equal Means",
        IF(AND(ROUND(N(AL147),8)&gt;0, ROUND(N(AO147),8)&gt;0), "Group 6: Flaky | Passed (with var SD &gt; 0 ) AND Failed (with var SD &gt; 0) | Equal Means",
        IF(AND(ROUND(N(AL147),8)=0, ROUND(N(AO147),8)&gt;0), "Group 7: Flaky | Passed (no var SD = 0) AND Failed (with var SD &gt; 0) | Equal Means",
        "Group 8: Flaky | Passed (with var SD &gt; 0 ) AND Failed (no var SD = 0) | Equal Means")))
    ),
    IF(AH147&gt;0,
        IF(N(AL147)&gt;0, "Group 10: Only Passed | With variation (with var SD &gt; 0)", "Group 9: Only Passed | Without variation (no var SD = 0)"),
        IF(AI147&gt;0,
            IF(N(AO147)&gt;0,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47" s="37" t="str">
        <f aca="false">IF(OR(F147="Observed Flaky Test", I147="Observed Flaky Test", S147="Observed Flaky Test", AJ147="Observed Flaky Test"), "Observed Flaky Test", "Non-observed Flaky Test")</f>
        <v>Non-observed Flaky Test</v>
      </c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</row>
    <row r="148" customFormat="false" ht="15.75" hidden="false" customHeight="true" outlineLevel="0" collapsed="false">
      <c r="A148" s="81" t="s">
        <v>331</v>
      </c>
      <c r="B148" s="14" t="s">
        <v>332</v>
      </c>
      <c r="C148" s="14" t="s">
        <v>333</v>
      </c>
      <c r="D148" s="15" t="n">
        <v>0</v>
      </c>
      <c r="E148" s="15" t="n">
        <v>100</v>
      </c>
      <c r="F148" s="16" t="str">
        <f aca="false">IF(AND(D148&gt;0, E148&gt;0), "Observed Flaky Test", "Non-observed Flaky Test")</f>
        <v>Non-observed Flaky Test</v>
      </c>
      <c r="G148" s="22" t="n">
        <v>0</v>
      </c>
      <c r="H148" s="22" t="n">
        <v>100</v>
      </c>
      <c r="I148" s="16" t="str">
        <f aca="false">IF(AND(G148&gt;0, H148&gt;0), "Observed Flaky Test", "Non-observed Flaky Test")</f>
        <v>Non-observed Flaky Test</v>
      </c>
      <c r="J148" s="18" t="n">
        <v>0</v>
      </c>
      <c r="K148" s="18" t="n">
        <v>0</v>
      </c>
      <c r="L148" s="19" t="str">
        <f aca="false">IFERROR(K148/J148*100,"N/A")</f>
        <v>N/A</v>
      </c>
      <c r="M148" s="18" t="n">
        <v>32.53</v>
      </c>
      <c r="N148" s="18" t="n">
        <v>0</v>
      </c>
      <c r="O148" s="20" t="n">
        <f aca="false">IFERROR(N148/M148*100,"N/A")</f>
        <v>0</v>
      </c>
      <c r="P148" s="21" t="str">
        <f aca="false">IF(AND(G148&gt;0, H148=0), IF(ROUND(K148,8)=0, "Group 9: Only Passed | Without variation (SD Passed = 0)", "Group 10: Only Passed | With variation (SD Passed &gt; 0)"), IF(AND(G148=0, H148&gt;0), IF(ROUND(N148,8)=0, "Group 11: Only Failed | Without variation (SD Failed = 0)", "Group 12: Only Failed | With variation (SD Failed &gt; 0)"), IF(AND(G148&gt;0, H148&gt;0), IF(ROUND(J148,5)&lt;&gt;ROUND(M148,5), IF(AND(ROUND(K148,8)=0, ROUND(N148,8)=0), "Group 1: Flaky | Passed (no variation) AND Failed (no variation) | Different Means", IF(AND(ROUND(K148,8)&gt;0, ROUND(N148,8)&gt;0), "Group 2: Flaky | Passed (with variation) AND Failed (with variation) | Different Means", IF(AND(ROUND(K148,8)=0, ROUND(N148,8)&gt;0), "Group 3: Flaky | Passed (no variation) AND Failed (with variation) | Different Means", "Group 4: Flaky | Passed (with variation) AND Failed (no variation) | Different Means"))), IF(AND(ROUND(K148,8)=0, ROUND(N148,8)=0), "Group 5: Flaky | Passed (no variation) AND Failed (no variation) | Equal Means", IF(AND(ROUND(K148,8)&gt;0, ROUND(N148,8)&gt;0), "Group 6: Flaky | Passed (with variation) AND Failed (with variation) | Equal Means", IF(AND(ROUND(K148,8)=0, ROUND(N148,8)&gt;0),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148" s="22" t="n">
        <v>100</v>
      </c>
      <c r="R148" s="22" t="n">
        <v>0</v>
      </c>
      <c r="S148" s="23" t="str">
        <f aca="false">IF(AND(Q148&gt;0, R148&gt;0), "Observed Flaky Test", "Non-observed Flaky Test")</f>
        <v>Non-observed Flaky Test</v>
      </c>
      <c r="T148" s="22" t="n">
        <v>890529.52</v>
      </c>
      <c r="U148" s="24" t="n">
        <v>180694.545295</v>
      </c>
      <c r="V148" s="25" t="n">
        <f aca="false">IFERROR(U148/T148*100,"N/A")</f>
        <v>20.2906856243238</v>
      </c>
      <c r="W148" s="22" t="n">
        <v>0</v>
      </c>
      <c r="X148" s="22" t="n">
        <v>0</v>
      </c>
      <c r="Y148" s="27" t="str">
        <f aca="false">IFERROR(X148/W148*100,"N/A")</f>
        <v>N/A</v>
      </c>
      <c r="Z148" s="50" t="str">
        <f aca="false">IF(AND(Q148&gt;0, R148=0), IF(IFERROR(ROUND(V148,8),0)=0, "Group 9: Only Passed | Without variation (no var CV = 0)", "Group 10: Only Passed | With variation (with var CV &gt; 0)"), IF(AND(Q148=0, R148&gt;0), IF(IFERROR(ROUND(Y148,8),0)=0, "Group 11: Only Failed | Without variation (no var CV = 0)", "Group 12: Only Failed | With variation (with var CV &gt; 0)"), IF(AND(Q148&gt;0, R148&gt;0), IF(ROUND(T148,5)&lt;&gt;ROUND(W148,5), IF(AND(IFERROR(ROUND(V148,8),0)=0, IFERROR(ROUND(Y148,8),0)=0), "Group 1: Flaky | Passed (no variation: CV = 0) AND Failed (no variation: CV = 0) | Different Means", IF(AND(IFERROR(ROUND(V148,8),0)&gt;0, IFERROR(ROUND(Y148,8),0)&gt;0), "Group 2: Flaky | Passed (with variation: CV &gt; 0) AND Failed (with variation: CV &gt; 0) | Different Means", IF(AND(IFERROR(ROUND(V148,8),0)=0, IFERROR(ROUND(Y148,8),0)&gt;0), "Group 3: Flaky | Passed (no variation: CV = 0) AND Failed (with variation: CV &gt; 0) | Different Means", "Group 4: Flaky | Passed (with variation: CV &gt; 0) AND Failed (no variation: CV = 0) | Different Means"))), IF(AND(IFERROR(ROUND(V148,8),0)=0, IFERROR(ROUND(Y148,8),0)=0), "Group 5: Flaky | Passed (no var CV = 0) AND Failed (no var CV = 0) | Equal Means", IF(AND(IFERROR(ROUND(V148,8),0)&gt;0, IFERROR(ROUND(Y148,8),0)&gt;0), "Group 6: Flaky | Passed (with var CV &gt; 0) AND Failed (with var CV &gt; 0) | Equal Means", IF(AND(IFERROR(ROUND(V148,8),0)=0, IFERROR(ROUND(Y148,8),0)&gt;0),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8" s="29" t="n">
        <v>2.490262</v>
      </c>
      <c r="AB148" s="29" t="n">
        <v>4.174343</v>
      </c>
      <c r="AC148" s="29" t="n">
        <f aca="false">IFERROR(AB148/AA148*100,"N/A")</f>
        <v>167.626659363553</v>
      </c>
      <c r="AD148" s="29" t="n">
        <v>0</v>
      </c>
      <c r="AE148" s="29" t="n">
        <v>0</v>
      </c>
      <c r="AF148" s="29" t="str">
        <f aca="false">IFERROR(AE148/AD148*100,"N/A")</f>
        <v>N/A</v>
      </c>
      <c r="AG148" s="51" t="str">
        <f aca="false">IF(AND(Q148&gt;0, R148=0), IF(IFERROR(ROUND(AC148,8),0)=0, "Group 9: Only Passed | Without variation (no var CV = 0)", "Group 10: Only Passed | With variation (with var CV &gt; 0)"), IF(AND(Q148=0, R148&gt;0), IF(IFERROR(ROUND(AF148,8),0)=0, "Group 11: Only Failed | Without variation (no var CV = 0)", "Group 12: Only Failed | With variation (with var CV &gt; 0)"), IF(AND(Q148&gt;0, R148&gt;0), IF(ROUND(AA148,5)&lt;&gt;ROUND(AD148,5), IF(AND(IFERROR(ROUND(AC148,8),0)=0, IFERROR(ROUND(AF148,8),0)=0), "Group 1: Flaky | Passed (no variation: CV = 0) AND Failed (no variation: CV = 0) | Different Means", IF(AND(IFERROR(ROUND(AC148,8),0)&gt;0, IFERROR(ROUND(AF148,8),0)&gt;0), "Group 2: Flaky | Passed (with variation: CV &gt; 0) AND Failed (with variation: CV &gt; 0) | Different Means", IF(AND(IFERROR(ROUND(AC148,8),0)=0, IFERROR(ROUND(AF148,8),0)&gt;0), "Group 3: Flaky | Passed (no variation: CV = 0) AND Failed (with variation: CV &gt; 0) | Different Means", "Group 4: Flaky | Passed (with variation: CV &gt; 0) AND Failed (no variation: CV = 0) | Different Means"))), IF(AND(IFERROR(ROUND(AC148,8),0)=0, IFERROR(ROUND(AF148,8),0)=0), "Group 5: Flaky | Passed (no var CV = 0) AND Failed (no var CV = 0) | Equal Means", IF(AND(IFERROR(ROUND(AC148,8),0)&gt;0, IFERROR(ROUND(AF148,8),0)&gt;0), "Group 6: Flaky | Passed (with var CV &gt; 0) AND Failed (with var CV &gt; 0) | Equal Means", IF(AND(IFERROR(ROUND(AC148,8),0)=0, IFERROR(ROUND(AF148,8),0)&gt;0),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8" s="22" t="n">
        <v>100</v>
      </c>
      <c r="AI148" s="17" t="n">
        <v>0</v>
      </c>
      <c r="AJ148" s="31" t="str">
        <f aca="false">IF(AND(AH148&gt;0, AI148&gt;0), "Observed Flaky Test", "Non-observed Flaky Test")</f>
        <v>Non-observed Flaky Test</v>
      </c>
      <c r="AK148" s="90" t="n">
        <v>2204</v>
      </c>
      <c r="AL148" s="90" t="n">
        <v>0</v>
      </c>
      <c r="AM148" s="33" t="n">
        <f aca="false">IFERROR(AL148/AK148*100,"N/A")</f>
        <v>0</v>
      </c>
      <c r="AN148" s="90" t="n">
        <v>0</v>
      </c>
      <c r="AO148" s="90" t="n">
        <v>0</v>
      </c>
      <c r="AP148" s="35" t="str">
        <f aca="false">IFERROR(AO148/AN148*100,"N/A")</f>
        <v>N/A</v>
      </c>
      <c r="AQ148" s="45" t="str">
        <f aca="false">IF(AND(AH148&gt;0, AI148&gt;0),
    IF(ROUND(N(AK148),5)&lt;&gt;ROUND(N(AN148),5),
        IF(AND(ROUND(N(AL148),8)=0, ROUND(N(AO148),8)=0), "Group 1: Flaky | Passed (no variation: SD = 0) AND Failed (no variation: SD = 0) | Different Means",
        IF(AND(ROUND(N(AL148),8)&gt;0, ROUND(N(AO148),8)&gt;0), "Group 2: Flaky | Passed (with variation: SD &gt; 0) AND Failed (with variation: SD &gt; 0) | Different Means",
        IF(AND(ROUND(N(AL148),8)=0, ROUND(N(AO148),8)&gt;0), "Group 3: Flaky | Passed (no variation: SD = 0) AND Failed (with variation: SD &gt; 0) | Different Means",
        "Group 4: Flaky | Passed (with variation: SD &gt; 0) AND Failed (no variation: SD = 0) | Different Means"))),
        IF(AND(ROUND(N(AL148),8)=0, ROUND(N(AO148),8)=0), "Group 5: Flaky | Passed (no var SD = 0) AND Failed (no var SD = 0) | Equal Means",
        IF(AND(ROUND(N(AL148),8)&gt;0, ROUND(N(AO148),8)&gt;0), "Group 6: Flaky | Passed (with var SD &gt; 0 ) AND Failed (with var SD &gt; 0) | Equal Means",
        IF(AND(ROUND(N(AL148),8)=0, ROUND(N(AO148),8)&gt;0), "Group 7: Flaky | Passed (no var SD = 0) AND Failed (with var SD &gt; 0) | Equal Means",
        "Group 8: Flaky | Passed (with var SD &gt; 0 ) AND Failed (no var SD = 0) | Equal Means")))
    ),
    IF(AH148&gt;0,
        IF(N(AL148)&gt;0, "Group 10: Only Passed | With variation (with var SD &gt; 0)", "Group 9: Only Passed | Without variation (no var SD = 0)"),
        IF(AI148&gt;0,
            IF(N(AO148)&gt;0,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48" s="37" t="str">
        <f aca="false">IF(OR(F148="Observed Flaky Test", I148="Observed Flaky Test", S148="Observed Flaky Test", AJ148="Observed Flaky Test"), "Observed Flaky Test", "Non-observed Flaky Test")</f>
        <v>Non-observed Flaky Test</v>
      </c>
    </row>
    <row r="149" customFormat="false" ht="15.75" hidden="false" customHeight="true" outlineLevel="0" collapsed="false">
      <c r="A149" s="91" t="s">
        <v>334</v>
      </c>
      <c r="B149" s="14" t="s">
        <v>335</v>
      </c>
      <c r="C149" s="14" t="s">
        <v>336</v>
      </c>
      <c r="D149" s="15" t="n">
        <v>100</v>
      </c>
      <c r="E149" s="15" t="n">
        <v>0</v>
      </c>
      <c r="F149" s="16" t="str">
        <f aca="false">IF(AND(D149&gt;0, E149&gt;0), "Observed Flaky Test", "Non-observed Flaky Test")</f>
        <v>Non-observed Flaky Test</v>
      </c>
      <c r="G149" s="22" t="n">
        <v>100</v>
      </c>
      <c r="H149" s="22" t="n">
        <v>0</v>
      </c>
      <c r="I149" s="16" t="str">
        <f aca="false">IF(AND(G149&gt;0, H149&gt;0), "Observed Flaky Test", "Non-observed Flaky Test")</f>
        <v>Non-observed Flaky Test</v>
      </c>
      <c r="J149" s="46" t="n">
        <v>37.6101</v>
      </c>
      <c r="K149" s="53" t="n">
        <v>0.098504</v>
      </c>
      <c r="L149" s="19" t="n">
        <f aca="false">IFERROR(K149/J149*100,"N/A")</f>
        <v>0.261908370357962</v>
      </c>
      <c r="M149" s="18" t="n">
        <v>0</v>
      </c>
      <c r="N149" s="18" t="n">
        <v>0</v>
      </c>
      <c r="O149" s="20" t="str">
        <f aca="false">IFERROR(N149/M149*100,"N/A")</f>
        <v>N/A</v>
      </c>
      <c r="P149" s="48" t="str">
        <f aca="false">IF(AND(G149&gt;0, H149=0), IF(ROUND(K149,8)=0, "Group 9: Only Passed | Without variation (SD Passed = 0)", "Group 10: Only Passed | With variation (SD Passed &gt; 0)"), IF(AND(G149=0, H149&gt;0), IF(ROUND(N149,8)=0, "Group 11: Only Failed | Without variation (SD Failed = 0)", "Group 12: Only Failed | With variation (SD Failed &gt; 0)"), IF(AND(G149&gt;0, H149&gt;0), IF(ROUND(J149,5)&lt;&gt;ROUND(M149,5), IF(AND(ROUND(K149,8)=0, ROUND(N149,8)=0), "Group 1: Flaky | Passed (no variation) AND Failed (no variation) | Different Means", IF(AND(ROUND(K149,8)&gt;0, ROUND(N149,8)&gt;0), "Group 2: Flaky | Passed (with variation) AND Failed (with variation) | Different Means", IF(AND(ROUND(K149,8)=0, ROUND(N149,8)&gt;0), "Group 3: Flaky | Passed (no variation) AND Failed (with variation) | Different Means", "Group 4: Flaky | Passed (with variation) AND Failed (no variation) | Different Means"))), IF(AND(ROUND(K149,8)=0, ROUND(N149,8)=0), "Group 5: Flaky | Passed (no variation) AND Failed (no variation) | Equal Means", IF(AND(ROUND(K149,8)&gt;0, ROUND(N149,8)&gt;0), "Group 6: Flaky | Passed (with variation) AND Failed (with variation) | Equal Means", IF(AND(ROUND(K149,8)=0, ROUND(N149,8)&gt;0),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49" s="22" t="n">
        <v>100</v>
      </c>
      <c r="R149" s="22" t="n">
        <v>0</v>
      </c>
      <c r="S149" s="23" t="str">
        <f aca="false">IF(AND(Q149&gt;0, R149&gt;0), "Observed Flaky Test", "Non-observed Flaky Test")</f>
        <v>Non-observed Flaky Test</v>
      </c>
      <c r="T149" s="22" t="n">
        <v>717229.43</v>
      </c>
      <c r="U149" s="24" t="n">
        <v>4245.897988</v>
      </c>
      <c r="V149" s="25" t="n">
        <f aca="false">IFERROR(U149/T149*100,"N/A")</f>
        <v>0.591986024332549</v>
      </c>
      <c r="W149" s="22" t="n">
        <v>0</v>
      </c>
      <c r="X149" s="22" t="n">
        <v>0</v>
      </c>
      <c r="Y149" s="27" t="str">
        <f aca="false">IFERROR(X149/W149*100,"N/A")</f>
        <v>N/A</v>
      </c>
      <c r="Z149" s="50" t="str">
        <f aca="false">IF(AND(Q149&gt;0, R149=0), IF(IFERROR(ROUND(V149,8),0)=0, "Group 9: Only Passed | Without variation (no var CV = 0)", "Group 10: Only Passed | With variation (with var CV &gt; 0)"), IF(AND(Q149=0, R149&gt;0), IF(IFERROR(ROUND(Y149,8),0)=0, "Group 11: Only Failed | Without variation (no var CV = 0)", "Group 12: Only Failed | With variation (with var CV &gt; 0)"), IF(AND(Q149&gt;0, R149&gt;0), IF(ROUND(T149,5)&lt;&gt;ROUND(W149,5), IF(AND(IFERROR(ROUND(V149,8),0)=0, IFERROR(ROUND(Y149,8),0)=0), "Group 1: Flaky | Passed (no variation: CV = 0) AND Failed (no variation: CV = 0) | Different Means", IF(AND(IFERROR(ROUND(V149,8),0)&gt;0, IFERROR(ROUND(Y149,8),0)&gt;0), "Group 2: Flaky | Passed (with variation: CV &gt; 0) AND Failed (with variation: CV &gt; 0) | Different Means", IF(AND(IFERROR(ROUND(V149,8),0)=0, IFERROR(ROUND(Y149,8),0)&gt;0), "Group 3: Flaky | Passed (no variation: CV = 0) AND Failed (with variation: CV &gt; 0) | Different Means", "Group 4: Flaky | Passed (with variation: CV &gt; 0) AND Failed (no variation: CV = 0) | Different Means"))), IF(AND(IFERROR(ROUND(V149,8),0)=0, IFERROR(ROUND(Y149,8),0)=0), "Group 5: Flaky | Passed (no var CV = 0) AND Failed (no var CV = 0) | Equal Means", IF(AND(IFERROR(ROUND(V149,8),0)&gt;0, IFERROR(ROUND(Y149,8),0)&gt;0), "Group 6: Flaky | Passed (with var CV &gt; 0) AND Failed (with var CV &gt; 0) | Equal Means", IF(AND(IFERROR(ROUND(V149,8),0)=0, IFERROR(ROUND(Y149,8),0)&gt;0),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49" s="29" t="n">
        <v>48.327925</v>
      </c>
      <c r="AB149" s="29" t="n">
        <v>18.254707</v>
      </c>
      <c r="AC149" s="29" t="n">
        <f aca="false">IFERROR(AB149/AA149*100,"N/A")</f>
        <v>37.7725859324604</v>
      </c>
      <c r="AD149" s="29" t="n">
        <v>0</v>
      </c>
      <c r="AE149" s="29" t="n">
        <v>0</v>
      </c>
      <c r="AF149" s="29" t="str">
        <f aca="false">IFERROR(AE149/AD149*100,"N/A")</f>
        <v>N/A</v>
      </c>
      <c r="AG149" s="51" t="str">
        <f aca="false">IF(AND(Q149&gt;0, R149=0), IF(IFERROR(ROUND(AC149,8),0)=0, "Group 9: Only Passed | Without variation (no var CV = 0)", "Group 10: Only Passed | With variation (with var CV &gt; 0)"), IF(AND(Q149=0, R149&gt;0), IF(IFERROR(ROUND(AF149,8),0)=0, "Group 11: Only Failed | Without variation (no var CV = 0)", "Group 12: Only Failed | With variation (with var CV &gt; 0)"), IF(AND(Q149&gt;0, R149&gt;0), IF(ROUND(AA149,5)&lt;&gt;ROUND(AD149,5), IF(AND(IFERROR(ROUND(AC149,8),0)=0, IFERROR(ROUND(AF149,8),0)=0), "Group 1: Flaky | Passed (no variation: CV = 0) AND Failed (no variation: CV = 0) | Different Means", IF(AND(IFERROR(ROUND(AC149,8),0)&gt;0, IFERROR(ROUND(AF149,8),0)&gt;0), "Group 2: Flaky | Passed (with variation: CV &gt; 0) AND Failed (with variation: CV &gt; 0) | Different Means", IF(AND(IFERROR(ROUND(AC149,8),0)=0, IFERROR(ROUND(AF149,8),0)&gt;0), "Group 3: Flaky | Passed (no variation: CV = 0) AND Failed (with variation: CV &gt; 0) | Different Means", "Group 4: Flaky | Passed (with variation: CV &gt; 0) AND Failed (no variation: CV = 0) | Different Means"))), IF(AND(IFERROR(ROUND(AC149,8),0)=0, IFERROR(ROUND(AF149,8),0)=0), "Group 5: Flaky | Passed (no var CV = 0) AND Failed (no var CV = 0) | Equal Means", IF(AND(IFERROR(ROUND(AC149,8),0)&gt;0, IFERROR(ROUND(AF149,8),0)&gt;0), "Group 6: Flaky | Passed (with var CV &gt; 0) AND Failed (with var CV &gt; 0) | Equal Means", IF(AND(IFERROR(ROUND(AC149,8),0)=0, IFERROR(ROUND(AF149,8),0)&gt;0),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49" s="22" t="n">
        <v>97</v>
      </c>
      <c r="AI149" s="17" t="n">
        <v>3</v>
      </c>
      <c r="AJ149" s="39" t="str">
        <f aca="false">IF(AND(AH149&gt;0, AI149&gt;0), "Observed Flaky Test", "Non-observed Flaky Test")</f>
        <v>Observed Flaky Test</v>
      </c>
      <c r="AK149" s="90" t="n">
        <v>448</v>
      </c>
      <c r="AL149" s="90" t="n">
        <v>0</v>
      </c>
      <c r="AM149" s="33" t="n">
        <f aca="false">IFERROR(AL149/AK149*100,"N/A")</f>
        <v>0</v>
      </c>
      <c r="AN149" s="90" t="n">
        <v>430</v>
      </c>
      <c r="AO149" s="90" t="n">
        <v>0</v>
      </c>
      <c r="AP149" s="35" t="n">
        <f aca="false">IFERROR(AO149/AN149*100,"N/A")</f>
        <v>0</v>
      </c>
      <c r="AQ149" s="85" t="str">
        <f aca="false">IF(AND(AH149&gt;0, AI149&gt;0),
    IF(ROUND(N(AK149),5)&lt;&gt;ROUND(N(AN149),5),
        IF(AND(ROUND(N(AL149),8)=0, ROUND(N(AO149),8)=0), "Group 1: Flaky | Passed (no variation: SD = 0) AND Failed (no variation: SD = 0) | Different Means",
        IF(AND(ROUND(N(AL149),8)&gt;0, ROUND(N(AO149),8)&gt;0), "Group 2: Flaky | Passed (with variation: SD &gt; 0) AND Failed (with variation: SD &gt; 0) | Different Means",
        IF(AND(ROUND(N(AL149),8)=0, ROUND(N(AO149),8)&gt;0), "Group 3: Flaky | Passed (no variation: SD = 0) AND Failed (with variation: SD &gt; 0) | Different Means",
        "Group 4: Flaky | Passed (with variation: SD &gt; 0) AND Failed (no variation: SD = 0) | Different Means"))),
        IF(AND(ROUND(N(AL149),8)=0, ROUND(N(AO149),8)=0), "Group 5: Flaky | Passed (no var SD = 0) AND Failed (no var SD = 0) | Equal Means",
        IF(AND(ROUND(N(AL149),8)&gt;0, ROUND(N(AO149),8)&gt;0), "Group 6: Flaky | Passed (with var SD &gt; 0 ) AND Failed (with var SD &gt; 0) | Equal Means",
        IF(AND(ROUND(N(AL149),8)=0, ROUND(N(AO149),8)&gt;0), "Group 7: Flaky | Passed (no var SD = 0) AND Failed (with var SD &gt; 0) | Equal Means",
        "Group 8: Flaky | Passed (with var SD &gt; 0 ) AND Failed (no var SD = 0) | Equal Means")))
    ),
    IF(AH149&gt;0,
        IF(N(AL149)&gt;0, "Group 10: Only Passed | With variation (with var SD &gt; 0)", "Group 9: Only Passed | Without variation (no var SD = 0)"),
        IF(AI149&gt;0,
            IF(N(AO149)&gt;0,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49" s="42" t="str">
        <f aca="false">IF(OR(F149="Observed Flaky Test", I149="Observed Flaky Test", S149="Observed Flaky Test", AJ149="Observed Flaky Test"), "Observed Flaky Test", "Non-observed Flaky Test")</f>
        <v>Observed Flaky Test</v>
      </c>
    </row>
    <row r="150" customFormat="false" ht="39" hidden="false" customHeight="true" outlineLevel="0" collapsed="false">
      <c r="A150" s="81" t="s">
        <v>337</v>
      </c>
      <c r="B150" s="14" t="s">
        <v>338</v>
      </c>
      <c r="C150" s="14" t="s">
        <v>339</v>
      </c>
      <c r="D150" s="89" t="n">
        <v>100</v>
      </c>
      <c r="E150" s="89" t="n">
        <v>0</v>
      </c>
      <c r="F150" s="16" t="str">
        <f aca="false">IF(AND(D150&gt;0, E150&gt;0), "Observed Flaky Test", "Non-observed Flaky Test")</f>
        <v>Non-observed Flaky Test</v>
      </c>
      <c r="G150" s="22" t="n">
        <v>100</v>
      </c>
      <c r="H150" s="22" t="n">
        <v>0</v>
      </c>
      <c r="I150" s="16" t="str">
        <f aca="false">IF(AND(G150&gt;0, H150&gt;0), "Observed Flaky Test", "Non-observed Flaky Test")</f>
        <v>Non-observed Flaky Test</v>
      </c>
      <c r="J150" s="18" t="n">
        <v>32.92</v>
      </c>
      <c r="K150" s="18" t="n">
        <v>0</v>
      </c>
      <c r="L150" s="19" t="n">
        <f aca="false">IFERROR(K150/J150*100,"N/A")</f>
        <v>0</v>
      </c>
      <c r="M150" s="18" t="n">
        <v>0</v>
      </c>
      <c r="N150" s="18" t="n">
        <v>0</v>
      </c>
      <c r="O150" s="20" t="str">
        <f aca="false">IFERROR(N150/M150*100,"N/A")</f>
        <v>N/A</v>
      </c>
      <c r="P150" s="56" t="str">
        <f aca="false">IF(AND(G150&gt;0, H150=0), IF(ROUND(K150,8)=0, "Group 9: Only Passed | Without variation (SD Passed = 0)", "Group 10: Only Passed | With variation (SD Passed &gt; 0)"), IF(AND(G150=0, H150&gt;0), IF(ROUND(N150,8)=0, "Group 11: Only Failed | Without variation (SD Failed = 0)", "Group 12: Only Failed | With variation (SD Failed &gt; 0)"), IF(AND(G150&gt;0, H150&gt;0), IF(ROUND(J150,5)&lt;&gt;ROUND(M150,5), IF(AND(ROUND(K150,8)=0, ROUND(N150,8)=0), "Group 1: Flaky | Passed (no variation) AND Failed (no variation) | Different Means", IF(AND(ROUND(K150,8)&gt;0, ROUND(N150,8)&gt;0), "Group 2: Flaky | Passed (with variation) AND Failed (with variation) | Different Means", IF(AND(ROUND(K150,8)=0, ROUND(N150,8)&gt;0), "Group 3: Flaky | Passed (no variation) AND Failed (with variation) | Different Means", "Group 4: Flaky | Passed (with variation) AND Failed (no variation) | Different Means"))), IF(AND(ROUND(K150,8)=0, ROUND(N150,8)=0), "Group 5: Flaky | Passed (no variation) AND Failed (no variation) | Equal Means", IF(AND(ROUND(K150,8)&gt;0, ROUND(N150,8)&gt;0), "Group 6: Flaky | Passed (with variation) AND Failed (with variation) | Equal Means", IF(AND(ROUND(K150,8)=0, ROUND(N150,8)&gt;0),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50" s="22" t="n">
        <v>100</v>
      </c>
      <c r="R150" s="22" t="n">
        <v>0</v>
      </c>
      <c r="S150" s="23" t="str">
        <f aca="false">IF(AND(Q150&gt;0, R150&gt;0), "Observed Flaky Test", "Non-observed Flaky Test")</f>
        <v>Non-observed Flaky Test</v>
      </c>
      <c r="T150" s="22" t="n">
        <v>399748.17</v>
      </c>
      <c r="U150" s="24" t="n">
        <v>7.777272</v>
      </c>
      <c r="V150" s="25" t="n">
        <f aca="false">IFERROR(U150/T150*100,"N/A")</f>
        <v>0.00194554286514933</v>
      </c>
      <c r="W150" s="22" t="n">
        <v>0</v>
      </c>
      <c r="X150" s="22" t="n">
        <v>0</v>
      </c>
      <c r="Y150" s="27" t="str">
        <f aca="false">IFERROR(X150/W150*100,"N/A")</f>
        <v>N/A</v>
      </c>
      <c r="Z150" s="50" t="str">
        <f aca="false">IF(AND(Q150&gt;0, R150=0), IF(IFERROR(ROUND(V150,8),0)=0, "Group 9: Only Passed | Without variation (no var CV = 0)", "Group 10: Only Passed | With variation (with var CV &gt; 0)"), IF(AND(Q150=0, R150&gt;0), IF(IFERROR(ROUND(Y150,8),0)=0, "Group 11: Only Failed | Without variation (no var CV = 0)", "Group 12: Only Failed | With variation (with var CV &gt; 0)"), IF(AND(Q150&gt;0, R150&gt;0), IF(ROUND(T150,5)&lt;&gt;ROUND(W150,5), IF(AND(IFERROR(ROUND(V150,8),0)=0, IFERROR(ROUND(Y150,8),0)=0), "Group 1: Flaky | Passed (no variation: CV = 0) AND Failed (no variation: CV = 0) | Different Means", IF(AND(IFERROR(ROUND(V150,8),0)&gt;0, IFERROR(ROUND(Y150,8),0)&gt;0), "Group 2: Flaky | Passed (with variation: CV &gt; 0) AND Failed (with variation: CV &gt; 0) | Different Means", IF(AND(IFERROR(ROUND(V150,8),0)=0, IFERROR(ROUND(Y150,8),0)&gt;0), "Group 3: Flaky | Passed (no variation: CV = 0) AND Failed (with variation: CV &gt; 0) | Different Means", "Group 4: Flaky | Passed (with variation: CV &gt; 0) AND Failed (no variation: CV = 0) | Different Means"))), IF(AND(IFERROR(ROUND(V150,8),0)=0, IFERROR(ROUND(Y150,8),0)=0), "Group 5: Flaky | Passed (no var CV = 0) AND Failed (no var CV = 0) | Equal Means", IF(AND(IFERROR(ROUND(V150,8),0)&gt;0, IFERROR(ROUND(Y150,8),0)&gt;0), "Group 6: Flaky | Passed (with var CV &gt; 0) AND Failed (with var CV &gt; 0) | Equal Means", IF(AND(IFERROR(ROUND(V150,8),0)=0, IFERROR(ROUND(Y150,8),0)&gt;0),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50" s="29" t="n">
        <v>0.414099</v>
      </c>
      <c r="AB150" s="29" t="n">
        <v>0.058084</v>
      </c>
      <c r="AC150" s="29" t="n">
        <f aca="false">IFERROR(AB150/AA150*100,"N/A")</f>
        <v>14.0265975044615</v>
      </c>
      <c r="AD150" s="29" t="n">
        <v>0</v>
      </c>
      <c r="AE150" s="29" t="n">
        <v>0</v>
      </c>
      <c r="AF150" s="29" t="str">
        <f aca="false">IFERROR(AE150/AD150*100,"N/A")</f>
        <v>N/A</v>
      </c>
      <c r="AG150" s="51" t="str">
        <f aca="false">IF(AND(Q150&gt;0, R150=0), IF(IFERROR(ROUND(AC150,8),0)=0, "Group 9: Only Passed | Without variation (no var CV = 0)", "Group 10: Only Passed | With variation (with var CV &gt; 0)"), IF(AND(Q150=0, R150&gt;0), IF(IFERROR(ROUND(AF150,8),0)=0, "Group 11: Only Failed | Without variation (no var CV = 0)", "Group 12: Only Failed | With variation (with var CV &gt; 0)"), IF(AND(Q150&gt;0, R150&gt;0), IF(ROUND(AA150,5)&lt;&gt;ROUND(AD150,5), IF(AND(IFERROR(ROUND(AC150,8),0)=0, IFERROR(ROUND(AF150,8),0)=0), "Group 1: Flaky | Passed (no variation: CV = 0) AND Failed (no variation: CV = 0) | Different Means", IF(AND(IFERROR(ROUND(AC150,8),0)&gt;0, IFERROR(ROUND(AF150,8),0)&gt;0), "Group 2: Flaky | Passed (with variation: CV &gt; 0) AND Failed (with variation: CV &gt; 0) | Different Means", IF(AND(IFERROR(ROUND(AC150,8),0)=0, IFERROR(ROUND(AF150,8),0)&gt;0), "Group 3: Flaky | Passed (no variation: CV = 0) AND Failed (with variation: CV &gt; 0) | Different Means", "Group 4: Flaky | Passed (with variation: CV &gt; 0) AND Failed (no variation: CV = 0) | Different Means"))), IF(AND(IFERROR(ROUND(AC150,8),0)=0, IFERROR(ROUND(AF150,8),0)=0), "Group 5: Flaky | Passed (no var CV = 0) AND Failed (no var CV = 0) | Equal Means", IF(AND(IFERROR(ROUND(AC150,8),0)&gt;0, IFERROR(ROUND(AF150,8),0)&gt;0), "Group 6: Flaky | Passed (with var CV &gt; 0) AND Failed (with var CV &gt; 0) | Equal Means", IF(AND(IFERROR(ROUND(AC150,8),0)=0, IFERROR(ROUND(AF150,8),0)&gt;0),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50" s="22" t="n">
        <v>100</v>
      </c>
      <c r="AI150" s="17" t="n">
        <v>0</v>
      </c>
      <c r="AJ150" s="31" t="str">
        <f aca="false">IF(AND(AH150&gt;0, AI150&gt;0), "Observed Flaky Test", "Non-observed Flaky Test")</f>
        <v>Non-observed Flaky Test</v>
      </c>
      <c r="AK150" s="90" t="n">
        <v>955</v>
      </c>
      <c r="AL150" s="90" t="n">
        <v>0</v>
      </c>
      <c r="AM150" s="33" t="n">
        <f aca="false">IFERROR(AL150/AK150*100,"N/A")</f>
        <v>0</v>
      </c>
      <c r="AN150" s="90" t="n">
        <v>0</v>
      </c>
      <c r="AO150" s="90" t="n">
        <v>0</v>
      </c>
      <c r="AP150" s="35" t="str">
        <f aca="false">IFERROR(AO150/AN150*100,"N/A")</f>
        <v>N/A</v>
      </c>
      <c r="AQ150" s="45" t="str">
        <f aca="false">IF(AND(AH150&gt;0, AI150&gt;0),
    IF(ROUND(N(AK150),5)&lt;&gt;ROUND(N(AN150),5),
        IF(AND(ROUND(N(AL150),8)=0, ROUND(N(AO150),8)=0), "Group 1: Flaky | Passed (no variation: SD = 0) AND Failed (no variation: SD = 0) | Different Means",
        IF(AND(ROUND(N(AL150),8)&gt;0, ROUND(N(AO150),8)&gt;0), "Group 2: Flaky | Passed (with variation: SD &gt; 0) AND Failed (with variation: SD &gt; 0) | Different Means",
        IF(AND(ROUND(N(AL150),8)=0, ROUND(N(AO150),8)&gt;0), "Group 3: Flaky | Passed (no variation: SD = 0) AND Failed (with variation: SD &gt; 0) | Different Means",
        "Group 4: Flaky | Passed (with variation: SD &gt; 0) AND Failed (no variation: SD = 0) | Different Means"))),
        IF(AND(ROUND(N(AL150),8)=0, ROUND(N(AO150),8)=0), "Group 5: Flaky | Passed (no var SD = 0) AND Failed (no var SD = 0) | Equal Means",
        IF(AND(ROUND(N(AL150),8)&gt;0, ROUND(N(AO150),8)&gt;0), "Group 6: Flaky | Passed (with var SD &gt; 0 ) AND Failed (with var SD &gt; 0) | Equal Means",
        IF(AND(ROUND(N(AL150),8)=0, ROUND(N(AO150),8)&gt;0), "Group 7: Flaky | Passed (no var SD = 0) AND Failed (with var SD &gt; 0) | Equal Means",
        "Group 8: Flaky | Passed (with var SD &gt; 0 ) AND Failed (no var SD = 0) | Equal Means")))
    ),
    IF(AH150&gt;0,
        IF(N(AL150)&gt;0, "Group 10: Only Passed | With variation (with var SD &gt; 0)", "Group 9: Only Passed | Without variation (no var SD = 0)"),
        IF(AI150&gt;0,
            IF(N(AO150)&gt;0,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50" s="37" t="str">
        <f aca="false">IF(OR(F150="Observed Flaky Test", I150="Observed Flaky Test", S150="Observed Flaky Test", AJ150="Observed Flaky Test"), "Observed Flaky Test", "Non-observed Flaky Test")</f>
        <v>Non-observed Flaky Test</v>
      </c>
    </row>
    <row r="151" customFormat="false" ht="15.75" hidden="false" customHeight="true" outlineLevel="0" collapsed="false">
      <c r="A151" s="81"/>
      <c r="B151" s="14" t="s">
        <v>340</v>
      </c>
      <c r="C151" s="14" t="s">
        <v>341</v>
      </c>
      <c r="D151" s="89" t="n">
        <v>98</v>
      </c>
      <c r="E151" s="89" t="n">
        <v>2</v>
      </c>
      <c r="F151" s="61" t="str">
        <f aca="false">IF(AND(D151&gt;0, E151&gt;0), "Observed Flaky Test", "Non-observed Flaky Test")</f>
        <v>Observed Flaky Test</v>
      </c>
      <c r="G151" s="22" t="n">
        <v>98</v>
      </c>
      <c r="H151" s="22" t="n">
        <v>2</v>
      </c>
      <c r="I151" s="61" t="str">
        <f aca="false">IF(AND(G151&gt;0, H151&gt;0), "Observed Flaky Test", "Non-observed Flaky Test")</f>
        <v>Observed Flaky Test</v>
      </c>
      <c r="J151" s="18" t="n">
        <v>34.16</v>
      </c>
      <c r="K151" s="18" t="n">
        <v>0</v>
      </c>
      <c r="L151" s="19" t="n">
        <f aca="false">IFERROR(K151/J151*100,"N/A")</f>
        <v>0</v>
      </c>
      <c r="M151" s="18" t="n">
        <v>34.16</v>
      </c>
      <c r="N151" s="18" t="n">
        <v>0</v>
      </c>
      <c r="O151" s="20" t="n">
        <f aca="false">IFERROR(N151/M151*100,"N/A")</f>
        <v>0</v>
      </c>
      <c r="P151" s="92" t="str">
        <f aca="false">IF(AND(G151&gt;0, H151=0), IF(ROUND(K151,8)=0, "Group 9: Only Passed | Without variation (SD Passed = 0)", "Group 10: Only Passed | With variation (SD Passed &gt; 0)"), IF(AND(G151=0, H151&gt;0), IF(ROUND(N151,8)=0, "Group 11: Only Failed | Without variation (SD Failed = 0)", "Group 12: Only Failed | With variation (SD Failed &gt; 0)"), IF(AND(G151&gt;0, H151&gt;0), IF(ROUND(J151,5)&lt;&gt;ROUND(M151,5), IF(AND(ROUND(K151,8)=0, ROUND(N151,8)=0), "Group 1: Flaky | Passed (no variation) AND Failed (no variation) | Different Means", IF(AND(ROUND(K151,8)&gt;0, ROUND(N151,8)&gt;0), "Group 2: Flaky | Passed (with variation) AND Failed (with variation) | Different Means", IF(AND(ROUND(K151,8)=0, ROUND(N151,8)&gt;0), "Group 3: Flaky | Passed (no variation) AND Failed (with variation) | Different Means", "Group 4: Flaky | Passed (with variation) AND Failed (no variation) | Different Means"))), IF(AND(ROUND(K151,8)=0, ROUND(N151,8)=0), "Group 5: Flaky | Passed (no variation) AND Failed (no variation) | Equal Means", IF(AND(ROUND(K151,8)&gt;0, ROUND(N151,8)&gt;0), "Group 6: Flaky | Passed (with variation) AND Failed (with variation) | Equal Means", IF(AND(ROUND(K151,8)=0, ROUND(N151,8)&gt;0),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51" s="22" t="n">
        <v>99</v>
      </c>
      <c r="R151" s="22" t="n">
        <v>1</v>
      </c>
      <c r="S151" s="43" t="str">
        <f aca="false">IF(AND(Q151&gt;0, R151&gt;0), "Observed Flaky Test", "Non-observed Flaky Test")</f>
        <v>Observed Flaky Test</v>
      </c>
      <c r="T151" s="24" t="n">
        <v>399786.636364</v>
      </c>
      <c r="U151" s="24" t="n">
        <v>13.447141</v>
      </c>
      <c r="V151" s="25" t="n">
        <f aca="false">IFERROR(U151/T151*100,"N/A")</f>
        <v>0.00336357941383428</v>
      </c>
      <c r="W151" s="58" t="n">
        <v>506529</v>
      </c>
      <c r="X151" s="22" t="n">
        <v>0</v>
      </c>
      <c r="Y151" s="27" t="n">
        <f aca="false">IFERROR(X151/W151*100,"N/A")</f>
        <v>0</v>
      </c>
      <c r="Z151" s="69" t="str">
        <f aca="false">IF(AND(Q151&gt;0, R151=0), IF(IFERROR(ROUND(V151,8),0)=0, "Group 9: Only Passed | Without variation (no var CV = 0)", "Group 10: Only Passed | With variation (with var CV &gt; 0)"), IF(AND(Q151=0, R151&gt;0), IF(IFERROR(ROUND(Y151,8),0)=0, "Group 11: Only Failed | Without variation (no var CV = 0)", "Group 12: Only Failed | With variation (with var CV &gt; 0)"), IF(AND(Q151&gt;0, R151&gt;0), IF(ROUND(T151,5)&lt;&gt;ROUND(W151,5), IF(AND(IFERROR(ROUND(V151,8),0)=0, IFERROR(ROUND(Y151,8),0)=0), "Group 1: Flaky | Passed (no variation: CV = 0) AND Failed (no variation: CV = 0) | Different Means", IF(AND(IFERROR(ROUND(V151,8),0)&gt;0, IFERROR(ROUND(Y151,8),0)&gt;0), "Group 2: Flaky | Passed (with variation: CV &gt; 0) AND Failed (with variation: CV &gt; 0) | Different Means", IF(AND(IFERROR(ROUND(V151,8),0)=0, IFERROR(ROUND(Y151,8),0)&gt;0), "Group 3: Flaky | Passed (no variation: CV = 0) AND Failed (with variation: CV &gt; 0) | Different Means", "Group 4: Flaky | Passed (with variation: CV &gt; 0) AND Failed (no variation: CV = 0) | Different Means"))), IF(AND(IFERROR(ROUND(V151,8),0)=0, IFERROR(ROUND(Y151,8),0)=0), "Group 5: Flaky | Passed (no var CV = 0) AND Failed (no var CV = 0) | Equal Means", IF(AND(IFERROR(ROUND(V151,8),0)&gt;0, IFERROR(ROUND(Y151,8),0)&gt;0), "Group 6: Flaky | Passed (with var CV &gt; 0) AND Failed (with var CV &gt; 0) | Equal Means", IF(AND(IFERROR(ROUND(V151,8),0)=0, IFERROR(ROUND(Y151,8),0)&gt;0),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51" s="29" t="n">
        <v>0.398996</v>
      </c>
      <c r="AB151" s="29" t="n">
        <v>0.064999</v>
      </c>
      <c r="AC151" s="29" t="n">
        <f aca="false">IFERROR(AB151/AA151*100,"N/A")</f>
        <v>16.2906395051579</v>
      </c>
      <c r="AD151" s="29" t="n">
        <v>0.3515</v>
      </c>
      <c r="AE151" s="29" t="n">
        <v>0</v>
      </c>
      <c r="AF151" s="29" t="n">
        <f aca="false">IFERROR(AE151/AD151*100,"N/A")</f>
        <v>0</v>
      </c>
      <c r="AG151" s="70" t="str">
        <f aca="false">IF(AND(Q151&gt;0, R151=0), IF(IFERROR(ROUND(AC151,8),0)=0, "Group 9: Only Passed | Without variation (no var CV = 0)", "Group 10: Only Passed | With variation (with var CV &gt; 0)"), IF(AND(Q151=0, R151&gt;0), IF(IFERROR(ROUND(AF151,8),0)=0, "Group 11: Only Failed | Without variation (no var CV = 0)", "Group 12: Only Failed | With variation (with var CV &gt; 0)"), IF(AND(Q151&gt;0, R151&gt;0), IF(ROUND(AA151,5)&lt;&gt;ROUND(AD151,5), IF(AND(IFERROR(ROUND(AC151,8),0)=0, IFERROR(ROUND(AF151,8),0)=0), "Group 1: Flaky | Passed (no variation: CV = 0) AND Failed (no variation: CV = 0) | Different Means", IF(AND(IFERROR(ROUND(AC151,8),0)&gt;0, IFERROR(ROUND(AF151,8),0)&gt;0), "Group 2: Flaky | Passed (with variation: CV &gt; 0) AND Failed (with variation: CV &gt; 0) | Different Means", IF(AND(IFERROR(ROUND(AC151,8),0)=0, IFERROR(ROUND(AF151,8),0)&gt;0), "Group 3: Flaky | Passed (no variation: CV = 0) AND Failed (with variation: CV &gt; 0) | Different Means", "Group 4: Flaky | Passed (with variation: CV &gt; 0) AND Failed (no variation: CV = 0) | Different Means"))), IF(AND(IFERROR(ROUND(AC151,8),0)=0, IFERROR(ROUND(AF151,8),0)=0), "Group 5: Flaky | Passed (no var CV = 0) AND Failed (no var CV = 0) | Equal Means", IF(AND(IFERROR(ROUND(AC151,8),0)&gt;0, IFERROR(ROUND(AF151,8),0)&gt;0), "Group 6: Flaky | Passed (with var CV &gt; 0) AND Failed (with var CV &gt; 0) | Equal Means", IF(AND(IFERROR(ROUND(AC151,8),0)=0, IFERROR(ROUND(AF151,8),0)&gt;0),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51" s="22" t="n">
        <v>99</v>
      </c>
      <c r="AI151" s="17" t="n">
        <v>1</v>
      </c>
      <c r="AJ151" s="39" t="str">
        <f aca="false">IF(AND(AH151&gt;0, AI151&gt;0), "Observed Flaky Test", "Non-observed Flaky Test")</f>
        <v>Observed Flaky Test</v>
      </c>
      <c r="AK151" s="90" t="n">
        <v>949</v>
      </c>
      <c r="AL151" s="90" t="n">
        <v>0</v>
      </c>
      <c r="AM151" s="33" t="n">
        <f aca="false">IFERROR(AL151/AK151*100,"N/A")</f>
        <v>0</v>
      </c>
      <c r="AN151" s="90" t="n">
        <v>949</v>
      </c>
      <c r="AO151" s="90" t="n">
        <v>0</v>
      </c>
      <c r="AP151" s="35" t="n">
        <f aca="false">IFERROR(AO151/AN151*100,"N/A")</f>
        <v>0</v>
      </c>
      <c r="AQ151" s="51" t="str">
        <f aca="false">IF(AND(AH151&gt;0, AI151&gt;0),
    IF(ROUND(N(AK151),5)&lt;&gt;ROUND(N(AN151),5),
        IF(AND(ROUND(N(AL151),8)=0, ROUND(N(AO151),8)=0), "Group 1: Flaky | Passed (no variation: SD = 0) AND Failed (no variation: SD = 0) | Different Means",
        IF(AND(ROUND(N(AL151),8)&gt;0, ROUND(N(AO151),8)&gt;0), "Group 2: Flaky | Passed (with variation: SD &gt; 0) AND Failed (with variation: SD &gt; 0) | Different Means",
        IF(AND(ROUND(N(AL151),8)=0, ROUND(N(AO151),8)&gt;0), "Group 3: Flaky | Passed (no variation: SD = 0) AND Failed (with variation: SD &gt; 0) | Different Means",
        "Group 4: Flaky | Passed (with variation: SD &gt; 0) AND Failed (no variation: SD = 0) | Different Means"))),
        IF(AND(ROUND(N(AL151),8)=0, ROUND(N(AO151),8)=0), "Group 5: Flaky | Passed (no var SD = 0) AND Failed (no var SD = 0) | Equal Means",
        IF(AND(ROUND(N(AL151),8)&gt;0, ROUND(N(AO151),8)&gt;0), "Group 6: Flaky | Passed (with var SD &gt; 0 ) AND Failed (with var SD &gt; 0) | Equal Means",
        IF(AND(ROUND(N(AL151),8)=0, ROUND(N(AO151),8)&gt;0), "Group 7: Flaky | Passed (no var SD = 0) AND Failed (with var SD &gt; 0) | Equal Means",
        "Group 8: Flaky | Passed (with var SD &gt; 0 ) AND Failed (no var SD = 0) | Equal Means")))
    ),
    IF(AH151&gt;0,
        IF(N(AL151)&gt;0, "Group 10: Only Passed | With variation (with var SD &gt; 0)", "Group 9: Only Passed | Without variation (no var SD = 0)"),
        IF(AI151&gt;0,
            IF(N(AO151)&gt;0,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151" s="42" t="str">
        <f aca="false">IF(OR(F151="Observed Flaky Test", I151="Observed Flaky Test", S151="Observed Flaky Test", AJ151="Observed Flaky Test"), "Observed Flaky Test", "Non-observed Flaky Test")</f>
        <v>Observed Flaky Test</v>
      </c>
    </row>
    <row r="152" customFormat="false" ht="15.75" hidden="false" customHeight="true" outlineLevel="0" collapsed="false">
      <c r="A152" s="81" t="s">
        <v>342</v>
      </c>
      <c r="B152" s="14" t="s">
        <v>343</v>
      </c>
      <c r="C152" s="14" t="s">
        <v>344</v>
      </c>
      <c r="D152" s="15" t="n">
        <v>66</v>
      </c>
      <c r="E152" s="15" t="n">
        <v>34</v>
      </c>
      <c r="F152" s="61" t="str">
        <f aca="false">IF(AND(D152&gt;0, E152&gt;0), "Observed Flaky Test", "Non-observed Flaky Test")</f>
        <v>Observed Flaky Test</v>
      </c>
      <c r="G152" s="22" t="n">
        <v>76</v>
      </c>
      <c r="H152" s="22" t="n">
        <v>24</v>
      </c>
      <c r="I152" s="61" t="str">
        <f aca="false">IF(AND(G152&gt;0, H152&gt;0), "Observed Flaky Test", "Non-observed Flaky Test")</f>
        <v>Observed Flaky Test</v>
      </c>
      <c r="J152" s="18" t="n">
        <v>48.05</v>
      </c>
      <c r="K152" s="18" t="n">
        <v>0</v>
      </c>
      <c r="L152" s="19" t="n">
        <f aca="false">IFERROR(K152/J152*100,"N/A")</f>
        <v>0</v>
      </c>
      <c r="M152" s="18" t="n">
        <v>48.92</v>
      </c>
      <c r="N152" s="18" t="n">
        <v>0</v>
      </c>
      <c r="O152" s="20" t="n">
        <f aca="false">IFERROR(N152/M152*100,"N/A")</f>
        <v>0</v>
      </c>
      <c r="P152" s="78" t="str">
        <f aca="false">IF(AND(G152&gt;0, H152=0), IF(ROUND(K152,8)=0, "Group 9: Only Passed | Without variation (SD Passed = 0)", "Group 10: Only Passed | With variation (SD Passed &gt; 0)"), IF(AND(G152=0, H152&gt;0), IF(ROUND(N152,8)=0, "Group 11: Only Failed | Without variation (SD Failed = 0)", "Group 12: Only Failed | With variation (SD Failed &gt; 0)"), IF(AND(G152&gt;0, H152&gt;0), IF(ROUND(J152,5)&lt;&gt;ROUND(M152,5), IF(AND(ROUND(K152,8)=0, ROUND(N152,8)=0), "Group 1: Flaky | Passed (no variation) AND Failed (no variation) | Different Means", IF(AND(ROUND(K152,8)&gt;0, ROUND(N152,8)&gt;0), "Group 2: Flaky | Passed (with variation) AND Failed (with variation) | Different Means", IF(AND(ROUND(K152,8)=0, ROUND(N152,8)&gt;0), "Group 3: Flaky | Passed (no variation) AND Failed (with variation) | Different Means", "Group 4: Flaky | Passed (with variation) AND Failed (no variation) | Different Means"))), IF(AND(ROUND(K152,8)=0, ROUND(N152,8)=0), "Group 5: Flaky | Passed (no variation) AND Failed (no variation) | Equal Means", IF(AND(ROUND(K152,8)&gt;0, ROUND(N152,8)&gt;0), "Group 6: Flaky | Passed (with variation) AND Failed (with variation) | Equal Means", IF(AND(ROUND(K152,8)=0, ROUND(N152,8)&gt;0),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52" s="22" t="n">
        <v>70</v>
      </c>
      <c r="R152" s="22" t="n">
        <v>30</v>
      </c>
      <c r="S152" s="43" t="str">
        <f aca="false">IF(AND(Q152&gt;0, R152&gt;0), "Observed Flaky Test", "Non-observed Flaky Test")</f>
        <v>Observed Flaky Test</v>
      </c>
      <c r="T152" s="24" t="n">
        <v>351977.214286</v>
      </c>
      <c r="U152" s="24" t="n">
        <v>54.650641</v>
      </c>
      <c r="V152" s="25" t="n">
        <f aca="false">IFERROR(U152/T152*100,"N/A")</f>
        <v>0.0155267553642247</v>
      </c>
      <c r="W152" s="24" t="n">
        <v>428610.733333</v>
      </c>
      <c r="X152" s="24" t="n">
        <v>46.61133</v>
      </c>
      <c r="Y152" s="27" t="n">
        <f aca="false">IFERROR(X152/W152*100,"N/A")</f>
        <v>0.010874979643542</v>
      </c>
      <c r="Z152" s="68" t="str">
        <f aca="false">IF(AND(Q152&gt;0, R152=0), IF(IFERROR(ROUND(V152,8),0)=0, "Group 9: Only Passed | Without variation (no var CV = 0)", "Group 10: Only Passed | With variation (with var CV &gt; 0)"), IF(AND(Q152=0, R152&gt;0), IF(IFERROR(ROUND(Y152,8),0)=0, "Group 11: Only Failed | Without variation (no var CV = 0)", "Group 12: Only Failed | With variation (with var CV &gt; 0)"), IF(AND(Q152&gt;0, R152&gt;0), IF(ROUND(T152,5)&lt;&gt;ROUND(W152,5), IF(AND(IFERROR(ROUND(V152,8),0)=0, IFERROR(ROUND(Y152,8),0)=0), "Group 1: Flaky | Passed (no variation: CV = 0) AND Failed (no variation: CV = 0) | Different Means", IF(AND(IFERROR(ROUND(V152,8),0)&gt;0, IFERROR(ROUND(Y152,8),0)&gt;0), "Group 2: Flaky | Passed (with variation: CV &gt; 0) AND Failed (with variation: CV &gt; 0) | Different Means", IF(AND(IFERROR(ROUND(V152,8),0)=0, IFERROR(ROUND(Y152,8),0)&gt;0), "Group 3: Flaky | Passed (no variation: CV = 0) AND Failed (with variation: CV &gt; 0) | Different Means", "Group 4: Flaky | Passed (with variation: CV &gt; 0) AND Failed (no variation: CV = 0) | Different Means"))), IF(AND(IFERROR(ROUND(V152,8),0)=0, IFERROR(ROUND(Y152,8),0)=0), "Group 5: Flaky | Passed (no var CV = 0) AND Failed (no var CV = 0) | Equal Means", IF(AND(IFERROR(ROUND(V152,8),0)&gt;0, IFERROR(ROUND(Y152,8),0)&gt;0), "Group 6: Flaky | Passed (with var CV &gt; 0) AND Failed (with var CV &gt; 0) | Equal Means", IF(AND(IFERROR(ROUND(V152,8),0)=0, IFERROR(ROUND(Y152,8),0)&gt;0),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2" s="29" t="n">
        <v>0.231919</v>
      </c>
      <c r="AB152" s="29" t="n">
        <v>0.047995</v>
      </c>
      <c r="AC152" s="29" t="n">
        <f aca="false">IFERROR(AB152/AA152*100,"N/A")</f>
        <v>20.6947253135793</v>
      </c>
      <c r="AD152" s="29" t="n">
        <v>0.219441</v>
      </c>
      <c r="AE152" s="29" t="n">
        <v>0.005446</v>
      </c>
      <c r="AF152" s="29" t="n">
        <f aca="false">IFERROR(AE152/AD152*100,"N/A")</f>
        <v>2.48176047320236</v>
      </c>
      <c r="AG152" s="36" t="str">
        <f aca="false">IF(AND(Q152&gt;0, R152=0), IF(IFERROR(ROUND(AC152,8),0)=0, "Group 9: Only Passed | Without variation (no var CV = 0)", "Group 10: Only Passed | With variation (with var CV &gt; 0)"), IF(AND(Q152=0, R152&gt;0), IF(IFERROR(ROUND(AF152,8),0)=0, "Group 11: Only Failed | Without variation (no var CV = 0)", "Group 12: Only Failed | With variation (with var CV &gt; 0)"), IF(AND(Q152&gt;0, R152&gt;0), IF(ROUND(AA152,5)&lt;&gt;ROUND(AD152,5), IF(AND(IFERROR(ROUND(AC152,8),0)=0, IFERROR(ROUND(AF152,8),0)=0), "Group 1: Flaky | Passed (no variation: CV = 0) AND Failed (no variation: CV = 0) | Different Means", IF(AND(IFERROR(ROUND(AC152,8),0)&gt;0, IFERROR(ROUND(AF152,8),0)&gt;0), "Group 2: Flaky | Passed (with variation: CV &gt; 0) AND Failed (with variation: CV &gt; 0) | Different Means", IF(AND(IFERROR(ROUND(AC152,8),0)=0, IFERROR(ROUND(AF152,8),0)&gt;0), "Group 3: Flaky | Passed (no variation: CV = 0) AND Failed (with variation: CV &gt; 0) | Different Means", "Group 4: Flaky | Passed (with variation: CV &gt; 0) AND Failed (no variation: CV = 0) | Different Means"))), IF(AND(IFERROR(ROUND(AC152,8),0)=0, IFERROR(ROUND(AF152,8),0)=0), "Group 5: Flaky | Passed (no var CV = 0) AND Failed (no var CV = 0) | Equal Means", IF(AND(IFERROR(ROUND(AC152,8),0)&gt;0, IFERROR(ROUND(AF152,8),0)&gt;0), "Group 6: Flaky | Passed (with var CV &gt; 0) AND Failed (with var CV &gt; 0) | Equal Means", IF(AND(IFERROR(ROUND(AC152,8),0)=0, IFERROR(ROUND(AF152,8),0)&gt;0),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2" s="22" t="n">
        <v>67</v>
      </c>
      <c r="AI152" s="17" t="n">
        <v>33</v>
      </c>
      <c r="AJ152" s="39" t="str">
        <f aca="false">IF(AND(AH152&gt;0, AI152&gt;0), "Observed Flaky Test", "Non-observed Flaky Test")</f>
        <v>Observed Flaky Test</v>
      </c>
      <c r="AK152" s="93" t="n">
        <v>328861.611940298</v>
      </c>
      <c r="AL152" s="94" t="n">
        <v>117.368876575531</v>
      </c>
      <c r="AM152" s="33" t="n">
        <f aca="false">IFERROR(AL152/AK152*100,"N/A")</f>
        <v>0.0356894427060214</v>
      </c>
      <c r="AN152" s="20" t="n">
        <v>27404.2424242424</v>
      </c>
      <c r="AO152" s="94" t="n">
        <v>289.313090602446</v>
      </c>
      <c r="AP152" s="35" t="n">
        <f aca="false">IFERROR(AO152/AN152*100,"N/A")</f>
        <v>1.05572373110564</v>
      </c>
      <c r="AQ152" s="63" t="str">
        <f aca="false">IF(AND(AH152&gt;0, AI152&gt;0),
    IF(ROUND(N(AK152),5)&lt;&gt;ROUND(N(AN152),5),
        IF(AND(ROUND(N(AL152),8)=0, ROUND(N(AO152),8)=0), "Group 1: Flaky | Passed (no variation: SD = 0) AND Failed (no variation: SD = 0) | Different Means",
        IF(AND(ROUND(N(AL152),8)&gt;0, ROUND(N(AO152),8)&gt;0), "Group 2: Flaky | Passed (with variation: SD &gt; 0) AND Failed (with variation: SD &gt; 0) | Different Means",
        IF(AND(ROUND(N(AL152),8)=0, ROUND(N(AO152),8)&gt;0), "Group 3: Flaky | Passed (no variation: SD = 0) AND Failed (with variation: SD &gt; 0) | Different Means",
        "Group 4: Flaky | Passed (with variation: SD &gt; 0) AND Failed (no variation: SD = 0) | Different Means"))),
        IF(AND(ROUND(N(AL152),8)=0, ROUND(N(AO152),8)=0), "Group 5: Flaky | Passed (no var SD = 0) AND Failed (no var SD = 0) | Equal Means",
        IF(AND(ROUND(N(AL152),8)&gt;0, ROUND(N(AO152),8)&gt;0), "Group 6: Flaky | Passed (with var SD &gt; 0 ) AND Failed (with var SD &gt; 0) | Equal Means",
        IF(AND(ROUND(N(AL152),8)=0, ROUND(N(AO152),8)&gt;0), "Group 7: Flaky | Passed (no var SD = 0) AND Failed (with var SD &gt; 0) | Equal Means",
        "Group 8: Flaky | Passed (with var SD &gt; 0 ) AND Failed (no var SD = 0) | Equal Means")))
    ),
    IF(AH152&gt;0,
        IF(N(AL152)&gt;0, "Group 10: Only Passed | With variation (with var SD &gt; 0)", "Group 9: Only Passed | Without variation (no var SD = 0)"),
        IF(AI152&gt;0,
            IF(N(AO152)&gt;0,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2" s="42" t="str">
        <f aca="false">IF(OR(F152="Observed Flaky Test", I152="Observed Flaky Test", S152="Observed Flaky Test", AJ152="Observed Flaky Test"), "Observed Flaky Test", "Non-observed Flaky Test")</f>
        <v>Observed Flaky Test</v>
      </c>
    </row>
    <row r="153" customFormat="false" ht="39" hidden="false" customHeight="true" outlineLevel="0" collapsed="false">
      <c r="A153" s="81" t="s">
        <v>345</v>
      </c>
      <c r="B153" s="14" t="s">
        <v>346</v>
      </c>
      <c r="C153" s="14" t="s">
        <v>347</v>
      </c>
      <c r="D153" s="15" t="n">
        <v>100</v>
      </c>
      <c r="E153" s="15" t="n">
        <v>0</v>
      </c>
      <c r="F153" s="16" t="str">
        <f aca="false">IF(AND(D153&gt;0, E153&gt;0), "Observed Flaky Test", "Non-observed Flaky Test")</f>
        <v>Non-observed Flaky Test</v>
      </c>
      <c r="G153" s="22" t="n">
        <v>100</v>
      </c>
      <c r="H153" s="22" t="n">
        <v>0</v>
      </c>
      <c r="I153" s="16" t="str">
        <f aca="false">IF(AND(G153&gt;0, H153&gt;0), "Observed Flaky Test", "Non-observed Flaky Test")</f>
        <v>Non-observed Flaky Test</v>
      </c>
      <c r="J153" s="18" t="n">
        <v>30.39</v>
      </c>
      <c r="K153" s="18" t="n">
        <v>0</v>
      </c>
      <c r="L153" s="19" t="n">
        <f aca="false">IFERROR(K153/J153*100,"N/A")</f>
        <v>0</v>
      </c>
      <c r="M153" s="18" t="n">
        <v>0</v>
      </c>
      <c r="N153" s="18" t="n">
        <v>0</v>
      </c>
      <c r="O153" s="20" t="str">
        <f aca="false">IFERROR(N153/M153*100,"N/A")</f>
        <v>N/A</v>
      </c>
      <c r="P153" s="56" t="str">
        <f aca="false">IF(AND(G153&gt;0, H153=0), IF(ROUND(K153,8)=0, "Group 9: Only Passed | Without variation (SD Passed = 0)", "Group 10: Only Passed | With variation (SD Passed &gt; 0)"), IF(AND(G153=0, H153&gt;0), IF(ROUND(N153,8)=0, "Group 11: Only Failed | Without variation (SD Failed = 0)", "Group 12: Only Failed | With variation (SD Failed &gt; 0)"), IF(AND(G153&gt;0, H153&gt;0), IF(ROUND(J153,5)&lt;&gt;ROUND(M153,5), IF(AND(ROUND(K153,8)=0, ROUND(N153,8)=0), "Group 1: Flaky | Passed (no variation) AND Failed (no variation) | Different Means", IF(AND(ROUND(K153,8)&gt;0, ROUND(N153,8)&gt;0), "Group 2: Flaky | Passed (with variation) AND Failed (with variation) | Different Means", IF(AND(ROUND(K153,8)=0, ROUND(N153,8)&gt;0), "Group 3: Flaky | Passed (no variation) AND Failed (with variation) | Different Means", "Group 4: Flaky | Passed (with variation) AND Failed (no variation) | Different Means"))), IF(AND(ROUND(K153,8)=0, ROUND(N153,8)=0), "Group 5: Flaky | Passed (no variation) AND Failed (no variation) | Equal Means", IF(AND(ROUND(K153,8)&gt;0, ROUND(N153,8)&gt;0), "Group 6: Flaky | Passed (with variation) AND Failed (with variation) | Equal Means", IF(AND(ROUND(K153,8)=0, ROUND(N153,8)&gt;0),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53" s="22" t="n">
        <v>100</v>
      </c>
      <c r="R153" s="22" t="n">
        <v>0</v>
      </c>
      <c r="S153" s="23" t="str">
        <f aca="false">IF(AND(Q153&gt;0, R153&gt;0), "Observed Flaky Test", "Non-observed Flaky Test")</f>
        <v>Non-observed Flaky Test</v>
      </c>
      <c r="T153" s="55" t="n">
        <v>31273317.5</v>
      </c>
      <c r="U153" s="24" t="n">
        <v>427352.018362</v>
      </c>
      <c r="V153" s="25" t="n">
        <f aca="false">IFERROR(U153/T153*100,"N/A")</f>
        <v>1.36650682602509</v>
      </c>
      <c r="W153" s="22" t="n">
        <v>0</v>
      </c>
      <c r="X153" s="22" t="n">
        <v>0</v>
      </c>
      <c r="Y153" s="27" t="str">
        <f aca="false">IFERROR(X153/W153*100,"N/A")</f>
        <v>N/A</v>
      </c>
      <c r="Z153" s="50" t="str">
        <f aca="false">IF(AND(Q153&gt;0, R153=0), IF(IFERROR(ROUND(V153,8),0)=0, "Group 9: Only Passed | Without variation (no var CV = 0)", "Group 10: Only Passed | With variation (with var CV &gt; 0)"), IF(AND(Q153=0, R153&gt;0), IF(IFERROR(ROUND(Y153,8),0)=0, "Group 11: Only Failed | Without variation (no var CV = 0)", "Group 12: Only Failed | With variation (with var CV &gt; 0)"), IF(AND(Q153&gt;0, R153&gt;0), IF(ROUND(T153,5)&lt;&gt;ROUND(W153,5), IF(AND(IFERROR(ROUND(V153,8),0)=0, IFERROR(ROUND(Y153,8),0)=0), "Group 1: Flaky | Passed (no variation: CV = 0) AND Failed (no variation: CV = 0) | Different Means", IF(AND(IFERROR(ROUND(V153,8),0)&gt;0, IFERROR(ROUND(Y153,8),0)&gt;0), "Group 2: Flaky | Passed (with variation: CV &gt; 0) AND Failed (with variation: CV &gt; 0) | Different Means", IF(AND(IFERROR(ROUND(V153,8),0)=0, IFERROR(ROUND(Y153,8),0)&gt;0), "Group 3: Flaky | Passed (no variation: CV = 0) AND Failed (with variation: CV &gt; 0) | Different Means", "Group 4: Flaky | Passed (with variation: CV &gt; 0) AND Failed (no variation: CV = 0) | Different Means"))), IF(AND(IFERROR(ROUND(V153,8),0)=0, IFERROR(ROUND(Y153,8),0)=0), "Group 5: Flaky | Passed (no var CV = 0) AND Failed (no var CV = 0) | Equal Means", IF(AND(IFERROR(ROUND(V153,8),0)&gt;0, IFERROR(ROUND(Y153,8),0)&gt;0), "Group 6: Flaky | Passed (with var CV &gt; 0) AND Failed (with var CV &gt; 0) | Equal Means", IF(AND(IFERROR(ROUND(V153,8),0)=0, IFERROR(ROUND(Y153,8),0)&gt;0),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53" s="29" t="n">
        <v>28.249243</v>
      </c>
      <c r="AB153" s="29" t="n">
        <v>0.797816</v>
      </c>
      <c r="AC153" s="29" t="n">
        <f aca="false">IFERROR(AB153/AA153*100,"N/A")</f>
        <v>2.82420311227455</v>
      </c>
      <c r="AD153" s="29" t="n">
        <v>0</v>
      </c>
      <c r="AE153" s="29" t="n">
        <v>0</v>
      </c>
      <c r="AF153" s="29" t="str">
        <f aca="false">IFERROR(AE153/AD153*100,"N/A")</f>
        <v>N/A</v>
      </c>
      <c r="AG153" s="51" t="str">
        <f aca="false">IF(AND(Q153&gt;0, R153=0), IF(IFERROR(ROUND(AC153,8),0)=0, "Group 9: Only Passed | Without variation (no var CV = 0)", "Group 10: Only Passed | With variation (with var CV &gt; 0)"), IF(AND(Q153=0, R153&gt;0), IF(IFERROR(ROUND(AF153,8),0)=0, "Group 11: Only Failed | Without variation (no var CV = 0)", "Group 12: Only Failed | With variation (with var CV &gt; 0)"), IF(AND(Q153&gt;0, R153&gt;0), IF(ROUND(AA153,5)&lt;&gt;ROUND(AD153,5), IF(AND(IFERROR(ROUND(AC153,8),0)=0, IFERROR(ROUND(AF153,8),0)=0), "Group 1: Flaky | Passed (no variation: CV = 0) AND Failed (no variation: CV = 0) | Different Means", IF(AND(IFERROR(ROUND(AC153,8),0)&gt;0, IFERROR(ROUND(AF153,8),0)&gt;0), "Group 2: Flaky | Passed (with variation: CV &gt; 0) AND Failed (with variation: CV &gt; 0) | Different Means", IF(AND(IFERROR(ROUND(AC153,8),0)=0, IFERROR(ROUND(AF153,8),0)&gt;0), "Group 3: Flaky | Passed (no variation: CV = 0) AND Failed (with variation: CV &gt; 0) | Different Means", "Group 4: Flaky | Passed (with variation: CV &gt; 0) AND Failed (no variation: CV = 0) | Different Means"))), IF(AND(IFERROR(ROUND(AC153,8),0)=0, IFERROR(ROUND(AF153,8),0)=0), "Group 5: Flaky | Passed (no var CV = 0) AND Failed (no var CV = 0) | Equal Means", IF(AND(IFERROR(ROUND(AC153,8),0)&gt;0, IFERROR(ROUND(AF153,8),0)&gt;0), "Group 6: Flaky | Passed (with var CV &gt; 0) AND Failed (with var CV &gt; 0) | Equal Means", IF(AND(IFERROR(ROUND(AC153,8),0)=0, IFERROR(ROUND(AF153,8),0)&gt;0),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53" s="22" t="n">
        <v>99</v>
      </c>
      <c r="AI153" s="17" t="n">
        <v>1</v>
      </c>
      <c r="AJ153" s="39" t="str">
        <f aca="false">IF(AND(AH153&gt;0, AI153&gt;0), "Observed Flaky Test", "Non-observed Flaky Test")</f>
        <v>Observed Flaky Test</v>
      </c>
      <c r="AK153" s="95" t="n">
        <v>3353283376.37373</v>
      </c>
      <c r="AL153" s="35" t="n">
        <v>55603706.2243393</v>
      </c>
      <c r="AM153" s="33" t="n">
        <f aca="false">IFERROR(AL153/AK153*100,"N/A")</f>
        <v>1.65818691662348</v>
      </c>
      <c r="AN153" s="90" t="n">
        <v>138142664</v>
      </c>
      <c r="AO153" s="90" t="n">
        <v>0</v>
      </c>
      <c r="AP153" s="35" t="n">
        <f aca="false">IFERROR(AO153/AN153*100,"N/A")</f>
        <v>0</v>
      </c>
      <c r="AQ153" s="60" t="str">
        <f aca="false">IF(AND(AH153&gt;0, AI153&gt;0),
    IF(ROUND(N(AK153),5)&lt;&gt;ROUND(N(AN153),5),
        IF(AND(ROUND(N(AL153),8)=0, ROUND(N(AO153),8)=0), "Group 1: Flaky | Passed (no variation: SD = 0) AND Failed (no variation: SD = 0) | Different Means",
        IF(AND(ROUND(N(AL153),8)&gt;0, ROUND(N(AO153),8)&gt;0), "Group 2: Flaky | Passed (with variation: SD &gt; 0) AND Failed (with variation: SD &gt; 0) | Different Means",
        IF(AND(ROUND(N(AL153),8)=0, ROUND(N(AO153),8)&gt;0), "Group 3: Flaky | Passed (no variation: SD = 0) AND Failed (with variation: SD &gt; 0) | Different Means",
        "Group 4: Flaky | Passed (with variation: SD &gt; 0) AND Failed (no variation: SD = 0) | Different Means"))),
        IF(AND(ROUND(N(AL153),8)=0, ROUND(N(AO153),8)=0), "Group 5: Flaky | Passed (no var SD = 0) AND Failed (no var SD = 0) | Equal Means",
        IF(AND(ROUND(N(AL153),8)&gt;0, ROUND(N(AO153),8)&gt;0), "Group 6: Flaky | Passed (with var SD &gt; 0 ) AND Failed (with var SD &gt; 0) | Equal Means",
        IF(AND(ROUND(N(AL153),8)=0, ROUND(N(AO153),8)&gt;0), "Group 7: Flaky | Passed (no var SD = 0) AND Failed (with var SD &gt; 0) | Equal Means",
        "Group 8: Flaky | Passed (with var SD &gt; 0 ) AND Failed (no var SD = 0) | Equal Means")))
    ),
    IF(AH153&gt;0,
        IF(N(AL153)&gt;0, "Group 10: Only Passed | With variation (with var SD &gt; 0)", "Group 9: Only Passed | Without variation (no var SD = 0)"),
        IF(AI153&gt;0,
            IF(N(AO153)&gt;0,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53" s="42" t="str">
        <f aca="false">IF(OR(F153="Observed Flaky Test", I153="Observed Flaky Test", S153="Observed Flaky Test", AJ153="Observed Flaky Test"), "Observed Flaky Test", "Non-observed Flaky Test")</f>
        <v>Observed Flaky Test</v>
      </c>
    </row>
    <row r="154" customFormat="false" ht="15.75" hidden="false" customHeight="true" outlineLevel="0" collapsed="false">
      <c r="A154" s="81"/>
      <c r="B154" s="14" t="s">
        <v>348</v>
      </c>
      <c r="C154" s="14" t="s">
        <v>349</v>
      </c>
      <c r="D154" s="15" t="n">
        <v>89</v>
      </c>
      <c r="E154" s="15" t="n">
        <v>11</v>
      </c>
      <c r="F154" s="61" t="str">
        <f aca="false">IF(AND(D154&gt;0, E154&gt;0), "Observed Flaky Test", "Non-observed Flaky Test")</f>
        <v>Observed Flaky Test</v>
      </c>
      <c r="G154" s="22" t="n">
        <v>87</v>
      </c>
      <c r="H154" s="22" t="n">
        <v>13</v>
      </c>
      <c r="I154" s="61" t="str">
        <f aca="false">IF(AND(G154&gt;0, H154&gt;0), "Observed Flaky Test", "Non-observed Flaky Test")</f>
        <v>Observed Flaky Test</v>
      </c>
      <c r="J154" s="18" t="n">
        <v>29.22</v>
      </c>
      <c r="K154" s="18" t="n">
        <v>0</v>
      </c>
      <c r="L154" s="19" t="n">
        <f aca="false">IFERROR(K154/J154*100,"N/A")</f>
        <v>0</v>
      </c>
      <c r="M154" s="18" t="n">
        <v>29.46</v>
      </c>
      <c r="N154" s="18" t="n">
        <v>0</v>
      </c>
      <c r="O154" s="20" t="n">
        <f aca="false">IFERROR(N154/M154*100,"N/A")</f>
        <v>0</v>
      </c>
      <c r="P154" s="78" t="str">
        <f aca="false">IF(AND(G154&gt;0, H154=0), IF(ROUND(K154,8)=0, "Group 9: Only Passed | Without variation (SD Passed = 0)", "Group 10: Only Passed | With variation (SD Passed &gt; 0)"), IF(AND(G154=0, H154&gt;0), IF(ROUND(N154,8)=0, "Group 11: Only Failed | Without variation (SD Failed = 0)", "Group 12: Only Failed | With variation (SD Failed &gt; 0)"), IF(AND(G154&gt;0, H154&gt;0), IF(ROUND(J154,5)&lt;&gt;ROUND(M154,5), IF(AND(ROUND(K154,8)=0, ROUND(N154,8)=0), "Group 1: Flaky | Passed (no variation) AND Failed (no variation) | Different Means", IF(AND(ROUND(K154,8)&gt;0, ROUND(N154,8)&gt;0), "Group 2: Flaky | Passed (with variation) AND Failed (with variation) | Different Means", IF(AND(ROUND(K154,8)=0, ROUND(N154,8)&gt;0), "Group 3: Flaky | Passed (no variation) AND Failed (with variation) | Different Means", "Group 4: Flaky | Passed (with variation) AND Failed (no variation) | Different Means"))), IF(AND(ROUND(K154,8)=0, ROUND(N154,8)=0), "Group 5: Flaky | Passed (no variation) AND Failed (no variation) | Equal Means", IF(AND(ROUND(K154,8)&gt;0, ROUND(N154,8)&gt;0), "Group 6: Flaky | Passed (with variation) AND Failed (with variation) | Equal Means", IF(AND(ROUND(K154,8)=0, ROUND(N154,8)&gt;0),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54" s="22" t="n">
        <v>89</v>
      </c>
      <c r="R154" s="22" t="n">
        <v>11</v>
      </c>
      <c r="S154" s="43" t="str">
        <f aca="false">IF(AND(Q154&gt;0, R154&gt;0), "Observed Flaky Test", "Non-observed Flaky Test")</f>
        <v>Observed Flaky Test</v>
      </c>
      <c r="T154" s="24" t="n">
        <v>23760656.617978</v>
      </c>
      <c r="U154" s="24" t="n">
        <v>559928.471324</v>
      </c>
      <c r="V154" s="25" t="n">
        <f aca="false">IFERROR(U154/T154*100,"N/A")</f>
        <v>2.35653618637939</v>
      </c>
      <c r="W154" s="24" t="n">
        <v>11810025.545455</v>
      </c>
      <c r="X154" s="24" t="n">
        <v>6917824.658022</v>
      </c>
      <c r="Y154" s="27" t="n">
        <f aca="false">IFERROR(X154/W154*100,"N/A")</f>
        <v>58.5758653221904</v>
      </c>
      <c r="Z154" s="68" t="str">
        <f aca="false">IF(AND(Q154&gt;0, R154=0), IF(IFERROR(ROUND(V154,8),0)=0, "Group 9: Only Passed | Without variation (no var CV = 0)", "Group 10: Only Passed | With variation (with var CV &gt; 0)"), IF(AND(Q154=0, R154&gt;0), IF(IFERROR(ROUND(Y154,8),0)=0, "Group 11: Only Failed | Without variation (no var CV = 0)", "Group 12: Only Failed | With variation (with var CV &gt; 0)"), IF(AND(Q154&gt;0, R154&gt;0), IF(ROUND(T154,5)&lt;&gt;ROUND(W154,5), IF(AND(IFERROR(ROUND(V154,8),0)=0, IFERROR(ROUND(Y154,8),0)=0), "Group 1: Flaky | Passed (no variation: CV = 0) AND Failed (no variation: CV = 0) | Different Means", IF(AND(IFERROR(ROUND(V154,8),0)&gt;0, IFERROR(ROUND(Y154,8),0)&gt;0), "Group 2: Flaky | Passed (with variation: CV &gt; 0) AND Failed (with variation: CV &gt; 0) | Different Means", IF(AND(IFERROR(ROUND(V154,8),0)=0, IFERROR(ROUND(Y154,8),0)&gt;0), "Group 3: Flaky | Passed (no variation: CV = 0) AND Failed (with variation: CV &gt; 0) | Different Means", "Group 4: Flaky | Passed (with variation: CV &gt; 0) AND Failed (no variation: CV = 0) | Different Means"))), IF(AND(IFERROR(ROUND(V154,8),0)=0, IFERROR(ROUND(Y154,8),0)=0), "Group 5: Flaky | Passed (no var CV = 0) AND Failed (no var CV = 0) | Equal Means", IF(AND(IFERROR(ROUND(V154,8),0)&gt;0, IFERROR(ROUND(Y154,8),0)&gt;0), "Group 6: Flaky | Passed (with var CV &gt; 0) AND Failed (with var CV &gt; 0) | Equal Means", IF(AND(IFERROR(ROUND(V154,8),0)=0, IFERROR(ROUND(Y154,8),0)&gt;0),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4" s="29" t="n">
        <v>23.572254</v>
      </c>
      <c r="AB154" s="29" t="n">
        <v>0.594939</v>
      </c>
      <c r="AC154" s="29" t="n">
        <f aca="false">IFERROR(AB154/AA154*100,"N/A")</f>
        <v>2.52389525414074</v>
      </c>
      <c r="AD154" s="29" t="n">
        <v>11.451226</v>
      </c>
      <c r="AE154" s="29" t="n">
        <v>6.825154</v>
      </c>
      <c r="AF154" s="29" t="n">
        <f aca="false">IFERROR(AE154/AD154*100,"N/A")</f>
        <v>59.6019500444756</v>
      </c>
      <c r="AG154" s="36" t="str">
        <f aca="false">IF(AND(Q154&gt;0, R154=0), IF(IFERROR(ROUND(AC154,8),0)=0, "Group 9: Only Passed | Without variation (no var CV = 0)", "Group 10: Only Passed | With variation (with var CV &gt; 0)"), IF(AND(Q154=0, R154&gt;0), IF(IFERROR(ROUND(AF154,8),0)=0, "Group 11: Only Failed | Without variation (no var CV = 0)", "Group 12: Only Failed | With variation (with var CV &gt; 0)"), IF(AND(Q154&gt;0, R154&gt;0), IF(ROUND(AA154,5)&lt;&gt;ROUND(AD154,5), IF(AND(IFERROR(ROUND(AC154,8),0)=0, IFERROR(ROUND(AF154,8),0)=0), "Group 1: Flaky | Passed (no variation: CV = 0) AND Failed (no variation: CV = 0) | Different Means", IF(AND(IFERROR(ROUND(AC154,8),0)&gt;0, IFERROR(ROUND(AF154,8),0)&gt;0), "Group 2: Flaky | Passed (with variation: CV &gt; 0) AND Failed (with variation: CV &gt; 0) | Different Means", IF(AND(IFERROR(ROUND(AC154,8),0)=0, IFERROR(ROUND(AF154,8),0)&gt;0), "Group 3: Flaky | Passed (no variation: CV = 0) AND Failed (with variation: CV &gt; 0) | Different Means", "Group 4: Flaky | Passed (with variation: CV &gt; 0) AND Failed (no variation: CV = 0) | Different Means"))), IF(AND(IFERROR(ROUND(AC154,8),0)=0, IFERROR(ROUND(AF154,8),0)=0), "Group 5: Flaky | Passed (no var CV = 0) AND Failed (no var CV = 0) | Equal Means", IF(AND(IFERROR(ROUND(AC154,8),0)&gt;0, IFERROR(ROUND(AF154,8),0)&gt;0), "Group 6: Flaky | Passed (with var CV &gt; 0) AND Failed (with var CV &gt; 0) | Equal Means", IF(AND(IFERROR(ROUND(AC154,8),0)=0, IFERROR(ROUND(AF154,8),0)&gt;0),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4" s="22" t="n">
        <v>94</v>
      </c>
      <c r="AI154" s="17" t="n">
        <v>6</v>
      </c>
      <c r="AJ154" s="39" t="str">
        <f aca="false">IF(AND(AH154&gt;0, AI154&gt;0), "Observed Flaky Test", "Non-observed Flaky Test")</f>
        <v>Observed Flaky Test</v>
      </c>
      <c r="AK154" s="95" t="n">
        <v>2816061208.04255</v>
      </c>
      <c r="AL154" s="35" t="n">
        <v>69444713.0183696</v>
      </c>
      <c r="AM154" s="33" t="n">
        <f aca="false">IFERROR(AL154/AK154*100,"N/A")</f>
        <v>2.4660228556126</v>
      </c>
      <c r="AN154" s="96" t="n">
        <v>728564950.666666</v>
      </c>
      <c r="AO154" s="95" t="n">
        <v>608912312.42778</v>
      </c>
      <c r="AP154" s="35" t="n">
        <f aca="false">IFERROR(AO154/AN154*100,"N/A")</f>
        <v>83.5769428477998</v>
      </c>
      <c r="AQ154" s="63" t="str">
        <f aca="false">IF(AND(AH154&gt;0, AI154&gt;0),
    IF(ROUND(N(AK154),5)&lt;&gt;ROUND(N(AN154),5),
        IF(AND(ROUND(N(AL154),8)=0, ROUND(N(AO154),8)=0), "Group 1: Flaky | Passed (no variation: SD = 0) AND Failed (no variation: SD = 0) | Different Means",
        IF(AND(ROUND(N(AL154),8)&gt;0, ROUND(N(AO154),8)&gt;0), "Group 2: Flaky | Passed (with variation: SD &gt; 0) AND Failed (with variation: SD &gt; 0) | Different Means",
        IF(AND(ROUND(N(AL154),8)=0, ROUND(N(AO154),8)&gt;0), "Group 3: Flaky | Passed (no variation: SD = 0) AND Failed (with variation: SD &gt; 0) | Different Means",
        "Group 4: Flaky | Passed (with variation: SD &gt; 0) AND Failed (no variation: SD = 0) | Different Means"))),
        IF(AND(ROUND(N(AL154),8)=0, ROUND(N(AO154),8)=0), "Group 5: Flaky | Passed (no var SD = 0) AND Failed (no var SD = 0) | Equal Means",
        IF(AND(ROUND(N(AL154),8)&gt;0, ROUND(N(AO154),8)&gt;0), "Group 6: Flaky | Passed (with var SD &gt; 0 ) AND Failed (with var SD &gt; 0) | Equal Means",
        IF(AND(ROUND(N(AL154),8)=0, ROUND(N(AO154),8)&gt;0), "Group 7: Flaky | Passed (no var SD = 0) AND Failed (with var SD &gt; 0) | Equal Means",
        "Group 8: Flaky | Passed (with var SD &gt; 0 ) AND Failed (no var SD = 0) | Equal Means")))
    ),
    IF(AH154&gt;0,
        IF(N(AL154)&gt;0, "Group 10: Only Passed | With variation (with var SD &gt; 0)", "Group 9: Only Passed | Without variation (no var SD = 0)"),
        IF(AI154&gt;0,
            IF(N(AO154)&gt;0,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4" s="42" t="str">
        <f aca="false">IF(OR(F154="Observed Flaky Test", I154="Observed Flaky Test", S154="Observed Flaky Test", AJ154="Observed Flaky Test"), "Observed Flaky Test", "Non-observed Flaky Test")</f>
        <v>Observed Flaky Test</v>
      </c>
    </row>
    <row r="155" customFormat="false" ht="15.75" hidden="false" customHeight="true" outlineLevel="0" collapsed="false">
      <c r="A155" s="81" t="s">
        <v>350</v>
      </c>
      <c r="B155" s="14" t="s">
        <v>351</v>
      </c>
      <c r="C155" s="14" t="s">
        <v>352</v>
      </c>
      <c r="D155" s="15" t="n">
        <v>97</v>
      </c>
      <c r="E155" s="15" t="n">
        <v>3</v>
      </c>
      <c r="F155" s="61" t="str">
        <f aca="false">IF(AND(D155&gt;0, E155&gt;0), "Observed Flaky Test", "Non-observed Flaky Test")</f>
        <v>Observed Flaky Test</v>
      </c>
      <c r="G155" s="22" t="n">
        <v>100</v>
      </c>
      <c r="H155" s="22" t="n">
        <v>0</v>
      </c>
      <c r="I155" s="16" t="str">
        <f aca="false">IF(AND(G155&gt;0, H155&gt;0), "Observed Flaky Test", "Non-observed Flaky Test")</f>
        <v>Non-observed Flaky Test</v>
      </c>
      <c r="J155" s="18" t="n">
        <v>39.89</v>
      </c>
      <c r="K155" s="18" t="n">
        <v>0</v>
      </c>
      <c r="L155" s="19" t="n">
        <f aca="false">IFERROR(K155/J155*100,"N/A")</f>
        <v>0</v>
      </c>
      <c r="M155" s="18" t="n">
        <v>0</v>
      </c>
      <c r="N155" s="18" t="n">
        <v>0</v>
      </c>
      <c r="O155" s="20" t="str">
        <f aca="false">IFERROR(N155/M155*100,"N/A")</f>
        <v>N/A</v>
      </c>
      <c r="P155" s="56" t="str">
        <f aca="false">IF(AND(G155&gt;0, H155=0), IF(ROUND(K155,8)=0, "Group 9: Only Passed | Without variation (SD Passed = 0)", "Group 10: Only Passed | With variation (SD Passed &gt; 0)"), IF(AND(G155=0, H155&gt;0), IF(ROUND(N155,8)=0, "Group 11: Only Failed | Without variation (SD Failed = 0)", "Group 12: Only Failed | With variation (SD Failed &gt; 0)"), IF(AND(G155&gt;0, H155&gt;0), IF(ROUND(J155,5)&lt;&gt;ROUND(M155,5), IF(AND(ROUND(K155,8)=0, ROUND(N155,8)=0), "Group 1: Flaky | Passed (no variation) AND Failed (no variation) | Different Means", IF(AND(ROUND(K155,8)&gt;0, ROUND(N155,8)&gt;0), "Group 2: Flaky | Passed (with variation) AND Failed (with variation) | Different Means", IF(AND(ROUND(K155,8)=0, ROUND(N155,8)&gt;0), "Group 3: Flaky | Passed (no variation) AND Failed (with variation) | Different Means", "Group 4: Flaky | Passed (with variation) AND Failed (no variation) | Different Means"))), IF(AND(ROUND(K155,8)=0, ROUND(N155,8)=0), "Group 5: Flaky | Passed (no variation) AND Failed (no variation) | Equal Means", IF(AND(ROUND(K155,8)&gt;0, ROUND(N155,8)&gt;0), "Group 6: Flaky | Passed (with variation) AND Failed (with variation) | Equal Means", IF(AND(ROUND(K155,8)=0, ROUND(N155,8)&gt;0),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55" s="22" t="n">
        <v>99</v>
      </c>
      <c r="R155" s="22" t="n">
        <v>1</v>
      </c>
      <c r="S155" s="43" t="str">
        <f aca="false">IF(AND(Q155&gt;0, R155&gt;0), "Observed Flaky Test", "Non-observed Flaky Test")</f>
        <v>Observed Flaky Test</v>
      </c>
      <c r="T155" s="24" t="n">
        <v>525859.626263</v>
      </c>
      <c r="U155" s="24" t="n">
        <v>65.258917</v>
      </c>
      <c r="V155" s="25" t="n">
        <f aca="false">IFERROR(U155/T155*100,"N/A")</f>
        <v>0.0124099500590604</v>
      </c>
      <c r="W155" s="58" t="n">
        <v>504357</v>
      </c>
      <c r="X155" s="22" t="n">
        <v>0</v>
      </c>
      <c r="Y155" s="27" t="n">
        <f aca="false">IFERROR(X155/W155*100,"N/A")</f>
        <v>0</v>
      </c>
      <c r="Z155" s="69" t="str">
        <f aca="false">IF(AND(Q155&gt;0, R155=0), IF(IFERROR(ROUND(V155,8),0)=0, "Group 9: Only Passed | Without variation (no var CV = 0)", "Group 10: Only Passed | With variation (with var CV &gt; 0)"), IF(AND(Q155=0, R155&gt;0), IF(IFERROR(ROUND(Y155,8),0)=0, "Group 11: Only Failed | Without variation (no var CV = 0)", "Group 12: Only Failed | With variation (with var CV &gt; 0)"), IF(AND(Q155&gt;0, R155&gt;0), IF(ROUND(T155,5)&lt;&gt;ROUND(W155,5), IF(AND(IFERROR(ROUND(V155,8),0)=0, IFERROR(ROUND(Y155,8),0)=0), "Group 1: Flaky | Passed (no variation: CV = 0) AND Failed (no variation: CV = 0) | Different Means", IF(AND(IFERROR(ROUND(V155,8),0)&gt;0, IFERROR(ROUND(Y155,8),0)&gt;0), "Group 2: Flaky | Passed (with variation: CV &gt; 0) AND Failed (with variation: CV &gt; 0) | Different Means", IF(AND(IFERROR(ROUND(V155,8),0)=0, IFERROR(ROUND(Y155,8),0)&gt;0), "Group 3: Flaky | Passed (no variation: CV = 0) AND Failed (with variation: CV &gt; 0) | Different Means", "Group 4: Flaky | Passed (with variation: CV &gt; 0) AND Failed (no variation: CV = 0) | Different Means"))), IF(AND(IFERROR(ROUND(V155,8),0)=0, IFERROR(ROUND(Y155,8),0)=0), "Group 5: Flaky | Passed (no var CV = 0) AND Failed (no var CV = 0) | Equal Means", IF(AND(IFERROR(ROUND(V155,8),0)&gt;0, IFERROR(ROUND(Y155,8),0)&gt;0), "Group 6: Flaky | Passed (with var CV &gt; 0) AND Failed (with var CV &gt; 0) | Equal Means", IF(AND(IFERROR(ROUND(V155,8),0)=0, IFERROR(ROUND(Y155,8),0)&gt;0),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55" s="29" t="n">
        <v>0.257152</v>
      </c>
      <c r="AB155" s="29" t="n">
        <v>0.015179</v>
      </c>
      <c r="AC155" s="29" t="n">
        <f aca="false">IFERROR(AB155/AA155*100,"N/A")</f>
        <v>5.90273456943753</v>
      </c>
      <c r="AD155" s="29" t="n">
        <v>0.239668</v>
      </c>
      <c r="AE155" s="29" t="n">
        <v>0</v>
      </c>
      <c r="AF155" s="29" t="n">
        <f aca="false">IFERROR(AE155/AD155*100,"N/A")</f>
        <v>0</v>
      </c>
      <c r="AG155" s="70" t="str">
        <f aca="false">IF(AND(Q155&gt;0, R155=0), IF(IFERROR(ROUND(AC155,8),0)=0, "Group 9: Only Passed | Without variation (no var CV = 0)", "Group 10: Only Passed | With variation (with var CV &gt; 0)"), IF(AND(Q155=0, R155&gt;0), IF(IFERROR(ROUND(AF155,8),0)=0, "Group 11: Only Failed | Without variation (no var CV = 0)", "Group 12: Only Failed | With variation (with var CV &gt; 0)"), IF(AND(Q155&gt;0, R155&gt;0), IF(ROUND(AA155,5)&lt;&gt;ROUND(AD155,5), IF(AND(IFERROR(ROUND(AC155,8),0)=0, IFERROR(ROUND(AF155,8),0)=0), "Group 1: Flaky | Passed (no variation: CV = 0) AND Failed (no variation: CV = 0) | Different Means", IF(AND(IFERROR(ROUND(AC155,8),0)&gt;0, IFERROR(ROUND(AF155,8),0)&gt;0), "Group 2: Flaky | Passed (with variation: CV &gt; 0) AND Failed (with variation: CV &gt; 0) | Different Means", IF(AND(IFERROR(ROUND(AC155,8),0)=0, IFERROR(ROUND(AF155,8),0)&gt;0), "Group 3: Flaky | Passed (no variation: CV = 0) AND Failed (with variation: CV &gt; 0) | Different Means", "Group 4: Flaky | Passed (with variation: CV &gt; 0) AND Failed (no variation: CV = 0) | Different Means"))), IF(AND(IFERROR(ROUND(AC155,8),0)=0, IFERROR(ROUND(AF155,8),0)=0), "Group 5: Flaky | Passed (no var CV = 0) AND Failed (no var CV = 0) | Equal Means", IF(AND(IFERROR(ROUND(AC155,8),0)&gt;0, IFERROR(ROUND(AF155,8),0)&gt;0), "Group 6: Flaky | Passed (with var CV &gt; 0) AND Failed (with var CV &gt; 0) | Equal Means", IF(AND(IFERROR(ROUND(AC155,8),0)=0, IFERROR(ROUND(AF155,8),0)&gt;0),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55" s="22" t="n">
        <v>99</v>
      </c>
      <c r="AI155" s="17" t="n">
        <v>1</v>
      </c>
      <c r="AJ155" s="39" t="str">
        <f aca="false">IF(AND(AH155&gt;0, AI155&gt;0), "Observed Flaky Test", "Non-observed Flaky Test")</f>
        <v>Observed Flaky Test</v>
      </c>
      <c r="AK155" s="35" t="n">
        <v>12284012.6363636</v>
      </c>
      <c r="AL155" s="97" t="n">
        <v>94.8849415533396</v>
      </c>
      <c r="AM155" s="33" t="n">
        <f aca="false">IFERROR(AL155/AK155*100,"N/A")</f>
        <v>0.000772426277651796</v>
      </c>
      <c r="AN155" s="90" t="n">
        <v>6142100</v>
      </c>
      <c r="AO155" s="90" t="n">
        <v>0</v>
      </c>
      <c r="AP155" s="35" t="n">
        <f aca="false">IFERROR(AO155/AN155*100,"N/A")</f>
        <v>0</v>
      </c>
      <c r="AQ155" s="60" t="str">
        <f aca="false">IF(AND(AH155&gt;0, AI155&gt;0),
    IF(ROUND(N(AK155),5)&lt;&gt;ROUND(N(AN155),5),
        IF(AND(ROUND(N(AL155),8)=0, ROUND(N(AO155),8)=0), "Group 1: Flaky | Passed (no variation: SD = 0) AND Failed (no variation: SD = 0) | Different Means",
        IF(AND(ROUND(N(AL155),8)&gt;0, ROUND(N(AO155),8)&gt;0), "Group 2: Flaky | Passed (with variation: SD &gt; 0) AND Failed (with variation: SD &gt; 0) | Different Means",
        IF(AND(ROUND(N(AL155),8)=0, ROUND(N(AO155),8)&gt;0), "Group 3: Flaky | Passed (no variation: SD = 0) AND Failed (with variation: SD &gt; 0) | Different Means",
        "Group 4: Flaky | Passed (with variation: SD &gt; 0) AND Failed (no variation: SD = 0) | Different Means"))),
        IF(AND(ROUND(N(AL155),8)=0, ROUND(N(AO155),8)=0), "Group 5: Flaky | Passed (no var SD = 0) AND Failed (no var SD = 0) | Equal Means",
        IF(AND(ROUND(N(AL155),8)&gt;0, ROUND(N(AO155),8)&gt;0), "Group 6: Flaky | Passed (with var SD &gt; 0 ) AND Failed (with var SD &gt; 0) | Equal Means",
        IF(AND(ROUND(N(AL155),8)=0, ROUND(N(AO155),8)&gt;0), "Group 7: Flaky | Passed (no var SD = 0) AND Failed (with var SD &gt; 0) | Equal Means",
        "Group 8: Flaky | Passed (with var SD &gt; 0 ) AND Failed (no var SD = 0) | Equal Means")))
    ),
    IF(AH155&gt;0,
        IF(N(AL155)&gt;0, "Group 10: Only Passed | With variation (with var SD &gt; 0)", "Group 9: Only Passed | Without variation (no var SD = 0)"),
        IF(AI155&gt;0,
            IF(N(AO155)&gt;0,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55" s="42" t="str">
        <f aca="false">IF(OR(F155="Observed Flaky Test", I155="Observed Flaky Test", S155="Observed Flaky Test", AJ155="Observed Flaky Test"), "Observed Flaky Test", "Non-observed Flaky Test")</f>
        <v>Observed Flaky Test</v>
      </c>
    </row>
    <row r="156" customFormat="false" ht="51.75" hidden="false" customHeight="true" outlineLevel="0" collapsed="false">
      <c r="A156" s="81" t="s">
        <v>353</v>
      </c>
      <c r="B156" s="14" t="s">
        <v>354</v>
      </c>
      <c r="C156" s="14" t="s">
        <v>355</v>
      </c>
      <c r="D156" s="15" t="n">
        <v>21</v>
      </c>
      <c r="E156" s="15" t="n">
        <v>79</v>
      </c>
      <c r="F156" s="61" t="str">
        <f aca="false">IF(AND(D156&gt;0, E156&gt;0), "Observed Flaky Test", "Non-observed Flaky Test")</f>
        <v>Observed Flaky Test</v>
      </c>
      <c r="G156" s="22" t="n">
        <v>30</v>
      </c>
      <c r="H156" s="22" t="n">
        <v>70</v>
      </c>
      <c r="I156" s="61" t="str">
        <f aca="false">IF(AND(G156&gt;0, H156&gt;0), "Observed Flaky Test", "Non-observed Flaky Test")</f>
        <v>Observed Flaky Test</v>
      </c>
      <c r="J156" s="18" t="n">
        <v>70.58</v>
      </c>
      <c r="K156" s="18" t="n">
        <v>0</v>
      </c>
      <c r="L156" s="19" t="n">
        <f aca="false">IFERROR(K156/J156*100,"N/A")</f>
        <v>0</v>
      </c>
      <c r="M156" s="53" t="n">
        <v>69.769429</v>
      </c>
      <c r="N156" s="53" t="n">
        <v>3.388757</v>
      </c>
      <c r="O156" s="20" t="n">
        <f aca="false">IFERROR(N156/M156*100,"N/A")</f>
        <v>4.85708002569435</v>
      </c>
      <c r="P156" s="67" t="str">
        <f aca="false">IF(AND(G156&gt;0, H156=0), IF(ROUND(K156,8)=0, "Group 9: Only Passed | Without variation (SD Passed = 0)", "Group 10: Only Passed | With variation (SD Passed &gt; 0)"), IF(AND(G156=0, H156&gt;0), IF(ROUND(N156,8)=0, "Group 11: Only Failed | Without variation (SD Failed = 0)", "Group 12: Only Failed | With variation (SD Failed &gt; 0)"), IF(AND(G156&gt;0, H156&gt;0), IF(ROUND(J156,5)&lt;&gt;ROUND(M156,5), IF(AND(ROUND(K156,8)=0, ROUND(N156,8)=0), "Group 1: Flaky | Passed (no variation) AND Failed (no variation) | Different Means", IF(AND(ROUND(K156,8)&gt;0, ROUND(N156,8)&gt;0), "Group 2: Flaky | Passed (with variation) AND Failed (with variation) | Different Means", IF(AND(ROUND(K156,8)=0, ROUND(N156,8)&gt;0), "Group 3: Flaky | Passed (no variation) AND Failed (with variation) | Different Means", "Group 4: Flaky | Passed (with variation) AND Failed (no variation) | Different Means"))), IF(AND(ROUND(K156,8)=0, ROUND(N156,8)=0), "Group 5: Flaky | Passed (no variation) AND Failed (no variation) | Equal Means", IF(AND(ROUND(K156,8)&gt;0, ROUND(N156,8)&gt;0), "Group 6: Flaky | Passed (with variation) AND Failed (with variation) | Equal Means", IF(AND(ROUND(K156,8)=0, ROUND(N156,8)&gt;0),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56" s="22" t="n">
        <v>16</v>
      </c>
      <c r="R156" s="22" t="n">
        <v>84</v>
      </c>
      <c r="S156" s="43" t="str">
        <f aca="false">IF(AND(Q156&gt;0, R156&gt;0), "Observed Flaky Test", "Non-observed Flaky Test")</f>
        <v>Observed Flaky Test</v>
      </c>
      <c r="T156" s="58" t="n">
        <v>426567875</v>
      </c>
      <c r="U156" s="24" t="n">
        <v>53.789559</v>
      </c>
      <c r="V156" s="25" t="n">
        <f aca="false">IFERROR(U156/T156*100,"N/A")</f>
        <v>1.26098476121766E-005</v>
      </c>
      <c r="W156" s="24" t="n">
        <v>521262.619048</v>
      </c>
      <c r="X156" s="24" t="n">
        <v>53.375664</v>
      </c>
      <c r="Y156" s="27" t="n">
        <f aca="false">IFERROR(X156/W156*100,"N/A")</f>
        <v>0.0102396876448731</v>
      </c>
      <c r="Z156" s="68" t="str">
        <f aca="false">IF(AND(Q156&gt;0, R156=0), IF(IFERROR(ROUND(V156,8),0)=0, "Group 9: Only Passed | Without variation (no var CV = 0)", "Group 10: Only Passed | With variation (with var CV &gt; 0)"), IF(AND(Q156=0, R156&gt;0), IF(IFERROR(ROUND(Y156,8),0)=0, "Group 11: Only Failed | Without variation (no var CV = 0)", "Group 12: Only Failed | With variation (with var CV &gt; 0)"), IF(AND(Q156&gt;0, R156&gt;0), IF(ROUND(T156,5)&lt;&gt;ROUND(W156,5), IF(AND(IFERROR(ROUND(V156,8),0)=0, IFERROR(ROUND(Y156,8),0)=0), "Group 1: Flaky | Passed (no variation: CV = 0) AND Failed (no variation: CV = 0) | Different Means", IF(AND(IFERROR(ROUND(V156,8),0)&gt;0, IFERROR(ROUND(Y156,8),0)&gt;0), "Group 2: Flaky | Passed (with variation: CV &gt; 0) AND Failed (with variation: CV &gt; 0) | Different Means", IF(AND(IFERROR(ROUND(V156,8),0)=0, IFERROR(ROUND(Y156,8),0)&gt;0), "Group 3: Flaky | Passed (no variation: CV = 0) AND Failed (with variation: CV &gt; 0) | Different Means", "Group 4: Flaky | Passed (with variation: CV &gt; 0) AND Failed (no variation: CV = 0) | Different Means"))), IF(AND(IFERROR(ROUND(V156,8),0)=0, IFERROR(ROUND(Y156,8),0)=0), "Group 5: Flaky | Passed (no var CV = 0) AND Failed (no var CV = 0) | Equal Means", IF(AND(IFERROR(ROUND(V156,8),0)&gt;0, IFERROR(ROUND(Y156,8),0)&gt;0), "Group 6: Flaky | Passed (with var CV &gt; 0) AND Failed (with var CV &gt; 0) | Equal Means", IF(AND(IFERROR(ROUND(V156,8),0)=0, IFERROR(ROUND(Y156,8),0)&gt;0),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6" s="29" t="n">
        <v>0.236724</v>
      </c>
      <c r="AB156" s="29" t="n">
        <v>0.005183</v>
      </c>
      <c r="AC156" s="29" t="n">
        <f aca="false">IFERROR(AB156/AA156*100,"N/A")</f>
        <v>2.18946959328163</v>
      </c>
      <c r="AD156" s="29" t="n">
        <v>0.26414</v>
      </c>
      <c r="AE156" s="29" t="n">
        <v>0.009813</v>
      </c>
      <c r="AF156" s="29" t="n">
        <f aca="false">IFERROR(AE156/AD156*100,"N/A")</f>
        <v>3.71507533883547</v>
      </c>
      <c r="AG156" s="36" t="str">
        <f aca="false">IF(AND(Q156&gt;0, R156=0), IF(IFERROR(ROUND(AC156,8),0)=0, "Group 9: Only Passed | Without variation (no var CV = 0)", "Group 10: Only Passed | With variation (with var CV &gt; 0)"), IF(AND(Q156=0, R156&gt;0), IF(IFERROR(ROUND(AF156,8),0)=0, "Group 11: Only Failed | Without variation (no var CV = 0)", "Group 12: Only Failed | With variation (with var CV &gt; 0)"), IF(AND(Q156&gt;0, R156&gt;0), IF(ROUND(AA156,5)&lt;&gt;ROUND(AD156,5), IF(AND(IFERROR(ROUND(AC156,8),0)=0, IFERROR(ROUND(AF156,8),0)=0), "Group 1: Flaky | Passed (no variation: CV = 0) AND Failed (no variation: CV = 0) | Different Means", IF(AND(IFERROR(ROUND(AC156,8),0)&gt;0, IFERROR(ROUND(AF156,8),0)&gt;0), "Group 2: Flaky | Passed (with variation: CV &gt; 0) AND Failed (with variation: CV &gt; 0) | Different Means", IF(AND(IFERROR(ROUND(AC156,8),0)=0, IFERROR(ROUND(AF156,8),0)&gt;0), "Group 3: Flaky | Passed (no variation: CV = 0) AND Failed (with variation: CV &gt; 0) | Different Means", "Group 4: Flaky | Passed (with variation: CV &gt; 0) AND Failed (no variation: CV = 0) | Different Means"))), IF(AND(IFERROR(ROUND(AC156,8),0)=0, IFERROR(ROUND(AF156,8),0)=0), "Group 5: Flaky | Passed (no var CV = 0) AND Failed (no var CV = 0) | Equal Means", IF(AND(IFERROR(ROUND(AC156,8),0)&gt;0, IFERROR(ROUND(AF156,8),0)&gt;0), "Group 6: Flaky | Passed (with var CV &gt; 0) AND Failed (with var CV &gt; 0) | Equal Means", IF(AND(IFERROR(ROUND(AC156,8),0)=0, IFERROR(ROUND(AF156,8),0)&gt;0),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6" s="22" t="n">
        <v>20</v>
      </c>
      <c r="AI156" s="17" t="n">
        <v>80</v>
      </c>
      <c r="AJ156" s="39" t="str">
        <f aca="false">IF(AND(AH156&gt;0, AI156&gt;0), "Observed Flaky Test", "Non-observed Flaky Test")</f>
        <v>Observed Flaky Test</v>
      </c>
      <c r="AK156" s="90" t="n">
        <v>156564.65</v>
      </c>
      <c r="AL156" s="97" t="n">
        <v>3.2971279367927</v>
      </c>
      <c r="AM156" s="33" t="n">
        <f aca="false">IFERROR(AL156/AK156*100,"N/A")</f>
        <v>0.00210592105995364</v>
      </c>
      <c r="AN156" s="98" t="n">
        <v>156565025</v>
      </c>
      <c r="AO156" s="99" t="n">
        <v>2.73271321564985</v>
      </c>
      <c r="AP156" s="35" t="n">
        <f aca="false">IFERROR(AO156/AN156*100,"N/A")</f>
        <v>1.74541741723597E-006</v>
      </c>
      <c r="AQ156" s="63" t="str">
        <f aca="false">IF(AND(AH156&gt;0, AI156&gt;0),
    IF(ROUND(N(AK156),5)&lt;&gt;ROUND(N(AN156),5),
        IF(AND(ROUND(N(AL156),8)=0, ROUND(N(AO156),8)=0), "Group 1: Flaky | Passed (no variation: SD = 0) AND Failed (no variation: SD = 0) | Different Means",
        IF(AND(ROUND(N(AL156),8)&gt;0, ROUND(N(AO156),8)&gt;0), "Group 2: Flaky | Passed (with variation: SD &gt; 0) AND Failed (with variation: SD &gt; 0) | Different Means",
        IF(AND(ROUND(N(AL156),8)=0, ROUND(N(AO156),8)&gt;0), "Group 3: Flaky | Passed (no variation: SD = 0) AND Failed (with variation: SD &gt; 0) | Different Means",
        "Group 4: Flaky | Passed (with variation: SD &gt; 0) AND Failed (no variation: SD = 0) | Different Means"))),
        IF(AND(ROUND(N(AL156),8)=0, ROUND(N(AO156),8)=0), "Group 5: Flaky | Passed (no var SD = 0) AND Failed (no var SD = 0) | Equal Means",
        IF(AND(ROUND(N(AL156),8)&gt;0, ROUND(N(AO156),8)&gt;0), "Group 6: Flaky | Passed (with var SD &gt; 0 ) AND Failed (with var SD &gt; 0) | Equal Means",
        IF(AND(ROUND(N(AL156),8)=0, ROUND(N(AO156),8)&gt;0), "Group 7: Flaky | Passed (no var SD = 0) AND Failed (with var SD &gt; 0) | Equal Means",
        "Group 8: Flaky | Passed (with var SD &gt; 0 ) AND Failed (no var SD = 0) | Equal Means")))
    ),
    IF(AH156&gt;0,
        IF(N(AL156)&gt;0, "Group 10: Only Passed | With variation (with var SD &gt; 0)", "Group 9: Only Passed | Without variation (no var SD = 0)"),
        IF(AI156&gt;0,
            IF(N(AO156)&gt;0,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6" s="42" t="str">
        <f aca="false">IF(OR(F156="Observed Flaky Test", I156="Observed Flaky Test", S156="Observed Flaky Test", AJ156="Observed Flaky Test"), "Observed Flaky Test", "Non-observed Flaky Test")</f>
        <v>Observed Flaky Test</v>
      </c>
    </row>
    <row r="157" customFormat="false" ht="15.75" hidden="false" customHeight="true" outlineLevel="0" collapsed="false">
      <c r="A157" s="81"/>
      <c r="B157" s="14" t="s">
        <v>356</v>
      </c>
      <c r="C157" s="14" t="s">
        <v>357</v>
      </c>
      <c r="D157" s="15" t="n">
        <v>25</v>
      </c>
      <c r="E157" s="15" t="n">
        <v>75</v>
      </c>
      <c r="F157" s="61" t="str">
        <f aca="false">IF(AND(D157&gt;0, E157&gt;0), "Observed Flaky Test", "Non-observed Flaky Test")</f>
        <v>Observed Flaky Test</v>
      </c>
      <c r="G157" s="22" t="n">
        <v>21</v>
      </c>
      <c r="H157" s="22" t="n">
        <v>79</v>
      </c>
      <c r="I157" s="61" t="str">
        <f aca="false">IF(AND(G157&gt;0, H157&gt;0), "Observed Flaky Test", "Non-observed Flaky Test")</f>
        <v>Observed Flaky Test</v>
      </c>
      <c r="J157" s="18" t="n">
        <v>70.59</v>
      </c>
      <c r="K157" s="53" t="n">
        <v>0.044721</v>
      </c>
      <c r="L157" s="19" t="n">
        <f aca="false">IFERROR(K157/J157*100,"N/A")</f>
        <v>0.0633531661708457</v>
      </c>
      <c r="M157" s="53" t="n">
        <v>69.163924</v>
      </c>
      <c r="N157" s="53" t="n">
        <v>5.198708</v>
      </c>
      <c r="O157" s="20" t="n">
        <f aca="false">IFERROR(N157/M157*100,"N/A")</f>
        <v>7.5165023893092</v>
      </c>
      <c r="P157" s="62" t="str">
        <f aca="false">IF(AND(G157&gt;0, H157=0), IF(ROUND(K157,8)=0, "Group 9: Only Passed | Without variation (SD Passed = 0)", "Group 10: Only Passed | With variation (SD Passed &gt; 0)"), IF(AND(G157=0, H157&gt;0), IF(ROUND(N157,8)=0, "Group 11: Only Failed | Without variation (SD Failed = 0)", "Group 12: Only Failed | With variation (SD Failed &gt; 0)"), IF(AND(G157&gt;0, H157&gt;0), IF(ROUND(J157,5)&lt;&gt;ROUND(M157,5), IF(AND(ROUND(K157,8)=0, ROUND(N157,8)=0), "Group 1: Flaky | Passed (no variation) AND Failed (no variation) | Different Means", IF(AND(ROUND(K157,8)&gt;0, ROUND(N157,8)&gt;0), "Group 2: Flaky | Passed (with variation) AND Failed (with variation) | Different Means", IF(AND(ROUND(K157,8)=0, ROUND(N157,8)&gt;0), "Group 3: Flaky | Passed (no variation) AND Failed (with variation) | Different Means", "Group 4: Flaky | Passed (with variation) AND Failed (no variation) | Different Means"))), IF(AND(ROUND(K157,8)=0, ROUND(N157,8)=0), "Group 5: Flaky | Passed (no variation) AND Failed (no variation) | Equal Means", IF(AND(ROUND(K157,8)&gt;0, ROUND(N157,8)&gt;0), "Group 6: Flaky | Passed (with variation) AND Failed (with variation) | Equal Means", IF(AND(ROUND(K157,8)=0, ROUND(N157,8)&gt;0),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57" s="22" t="n">
        <v>19</v>
      </c>
      <c r="R157" s="22" t="n">
        <v>81</v>
      </c>
      <c r="S157" s="43" t="str">
        <f aca="false">IF(AND(Q157&gt;0, R157&gt;0), "Observed Flaky Test", "Non-observed Flaky Test")</f>
        <v>Observed Flaky Test</v>
      </c>
      <c r="T157" s="24" t="n">
        <v>425697.105263</v>
      </c>
      <c r="U157" s="24" t="n">
        <v>52.555679</v>
      </c>
      <c r="V157" s="25" t="n">
        <f aca="false">IFERROR(U157/T157*100,"N/A")</f>
        <v>0.0123457919610542</v>
      </c>
      <c r="W157" s="24" t="n">
        <v>520434.703704</v>
      </c>
      <c r="X157" s="24" t="n">
        <v>401.216882</v>
      </c>
      <c r="Y157" s="27" t="n">
        <f aca="false">IFERROR(X157/W157*100,"N/A")</f>
        <v>0.0770926456565038</v>
      </c>
      <c r="Z157" s="68" t="str">
        <f aca="false">IF(AND(Q157&gt;0, R157=0), IF(IFERROR(ROUND(V157,8),0)=0, "Group 9: Only Passed | Without variation (no var CV = 0)", "Group 10: Only Passed | With variation (with var CV &gt; 0)"), IF(AND(Q157=0, R157&gt;0), IF(IFERROR(ROUND(Y157,8),0)=0, "Group 11: Only Failed | Without variation (no var CV = 0)", "Group 12: Only Failed | With variation (with var CV &gt; 0)"), IF(AND(Q157&gt;0, R157&gt;0), IF(ROUND(T157,5)&lt;&gt;ROUND(W157,5), IF(AND(IFERROR(ROUND(V157,8),0)=0, IFERROR(ROUND(Y157,8),0)=0), "Group 1: Flaky | Passed (no variation: CV = 0) AND Failed (no variation: CV = 0) | Different Means", IF(AND(IFERROR(ROUND(V157,8),0)&gt;0, IFERROR(ROUND(Y157,8),0)&gt;0), "Group 2: Flaky | Passed (with variation: CV &gt; 0) AND Failed (with variation: CV &gt; 0) | Different Means", IF(AND(IFERROR(ROUND(V157,8),0)=0, IFERROR(ROUND(Y157,8),0)&gt;0), "Group 3: Flaky | Passed (no variation: CV = 0) AND Failed (with variation: CV &gt; 0) | Different Means", "Group 4: Flaky | Passed (with variation: CV &gt; 0) AND Failed (no variation: CV = 0) | Different Means"))), IF(AND(IFERROR(ROUND(V157,8),0)=0, IFERROR(ROUND(Y157,8),0)=0), "Group 5: Flaky | Passed (no var CV = 0) AND Failed (no var CV = 0) | Equal Means", IF(AND(IFERROR(ROUND(V157,8),0)&gt;0, IFERROR(ROUND(Y157,8),0)&gt;0), "Group 6: Flaky | Passed (with var CV &gt; 0) AND Failed (with var CV &gt; 0) | Equal Means", IF(AND(IFERROR(ROUND(V157,8),0)=0, IFERROR(ROUND(Y157,8),0)&gt;0),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7" s="29" t="n">
        <v>0.23694</v>
      </c>
      <c r="AB157" s="29" t="n">
        <v>0.003495</v>
      </c>
      <c r="AC157" s="29" t="n">
        <f aca="false">IFERROR(AB157/AA157*100,"N/A")</f>
        <v>1.47505697644973</v>
      </c>
      <c r="AD157" s="29" t="n">
        <v>0.262505</v>
      </c>
      <c r="AE157" s="29" t="n">
        <v>0.004116</v>
      </c>
      <c r="AF157" s="29" t="n">
        <f aca="false">IFERROR(AE157/AD157*100,"N/A")</f>
        <v>1.56797013390221</v>
      </c>
      <c r="AG157" s="36" t="str">
        <f aca="false">IF(AND(Q157&gt;0, R157=0), IF(IFERROR(ROUND(AC157,8),0)=0, "Group 9: Only Passed | Without variation (no var CV = 0)", "Group 10: Only Passed | With variation (with var CV &gt; 0)"), IF(AND(Q157=0, R157&gt;0), IF(IFERROR(ROUND(AF157,8),0)=0, "Group 11: Only Failed | Without variation (no var CV = 0)", "Group 12: Only Failed | With variation (with var CV &gt; 0)"), IF(AND(Q157&gt;0, R157&gt;0), IF(ROUND(AA157,5)&lt;&gt;ROUND(AD157,5), IF(AND(IFERROR(ROUND(AC157,8),0)=0, IFERROR(ROUND(AF157,8),0)=0), "Group 1: Flaky | Passed (no variation: CV = 0) AND Failed (no variation: CV = 0) | Different Means", IF(AND(IFERROR(ROUND(AC157,8),0)&gt;0, IFERROR(ROUND(AF157,8),0)&gt;0), "Group 2: Flaky | Passed (with variation: CV &gt; 0) AND Failed (with variation: CV &gt; 0) | Different Means", IF(AND(IFERROR(ROUND(AC157,8),0)=0, IFERROR(ROUND(AF157,8),0)&gt;0), "Group 3: Flaky | Passed (no variation: CV = 0) AND Failed (with variation: CV &gt; 0) | Different Means", "Group 4: Flaky | Passed (with variation: CV &gt; 0) AND Failed (no variation: CV = 0) | Different Means"))), IF(AND(IFERROR(ROUND(AC157,8),0)=0, IFERROR(ROUND(AF157,8),0)=0), "Group 5: Flaky | Passed (no var CV = 0) AND Failed (no var CV = 0) | Equal Means", IF(AND(IFERROR(ROUND(AC157,8),0)&gt;0, IFERROR(ROUND(AF157,8),0)&gt;0), "Group 6: Flaky | Passed (with var CV &gt; 0) AND Failed (with var CV &gt; 0) | Equal Means", IF(AND(IFERROR(ROUND(AC157,8),0)=0, IFERROR(ROUND(AF157,8),0)&gt;0),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7" s="22" t="n">
        <v>22</v>
      </c>
      <c r="AI157" s="17" t="n">
        <v>78</v>
      </c>
      <c r="AJ157" s="39" t="str">
        <f aca="false">IF(AND(AH157&gt;0, AI157&gt;0), "Observed Flaky Test", "Non-observed Flaky Test")</f>
        <v>Observed Flaky Test</v>
      </c>
      <c r="AK157" s="72" t="n">
        <v>155676.59090909</v>
      </c>
      <c r="AL157" s="99" t="n">
        <v>2.66653138184976</v>
      </c>
      <c r="AM157" s="33" t="n">
        <f aca="false">IFERROR(AL157/AK157*100,"N/A")</f>
        <v>0.00171286599114116</v>
      </c>
      <c r="AN157" s="93" t="n">
        <v>151474.974358974</v>
      </c>
      <c r="AO157" s="20" t="n">
        <v>18388.9818846117</v>
      </c>
      <c r="AP157" s="35" t="n">
        <f aca="false">IFERROR(AO157/AN157*100,"N/A")</f>
        <v>12.1399471843002</v>
      </c>
      <c r="AQ157" s="63" t="str">
        <f aca="false">IF(AND(AH157&gt;0, AI157&gt;0),
    IF(ROUND(N(AK157),5)&lt;&gt;ROUND(N(AN157),5),
        IF(AND(ROUND(N(AL157),8)=0, ROUND(N(AO157),8)=0), "Group 1: Flaky | Passed (no variation: SD = 0) AND Failed (no variation: SD = 0) | Different Means",
        IF(AND(ROUND(N(AL157),8)&gt;0, ROUND(N(AO157),8)&gt;0), "Group 2: Flaky | Passed (with variation: SD &gt; 0) AND Failed (with variation: SD &gt; 0) | Different Means",
        IF(AND(ROUND(N(AL157),8)=0, ROUND(N(AO157),8)&gt;0), "Group 3: Flaky | Passed (no variation: SD = 0) AND Failed (with variation: SD &gt; 0) | Different Means",
        "Group 4: Flaky | Passed (with variation: SD &gt; 0) AND Failed (no variation: SD = 0) | Different Means"))),
        IF(AND(ROUND(N(AL157),8)=0, ROUND(N(AO157),8)=0), "Group 5: Flaky | Passed (no var SD = 0) AND Failed (no var SD = 0) | Equal Means",
        IF(AND(ROUND(N(AL157),8)&gt;0, ROUND(N(AO157),8)&gt;0), "Group 6: Flaky | Passed (with var SD &gt; 0 ) AND Failed (with var SD &gt; 0) | Equal Means",
        IF(AND(ROUND(N(AL157),8)=0, ROUND(N(AO157),8)&gt;0), "Group 7: Flaky | Passed (no var SD = 0) AND Failed (with var SD &gt; 0) | Equal Means",
        "Group 8: Flaky | Passed (with var SD &gt; 0 ) AND Failed (no var SD = 0) | Equal Means")))
    ),
    IF(AH157&gt;0,
        IF(N(AL157)&gt;0, "Group 10: Only Passed | With variation (with var SD &gt; 0)", "Group 9: Only Passed | Without variation (no var SD = 0)"),
        IF(AI157&gt;0,
            IF(N(AO157)&gt;0,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7" s="42" t="str">
        <f aca="false">IF(OR(F157="Observed Flaky Test", I157="Observed Flaky Test", S157="Observed Flaky Test", AJ157="Observed Flaky Test"), "Observed Flaky Test", "Non-observed Flaky Test")</f>
        <v>Observed Flaky Test</v>
      </c>
    </row>
    <row r="158" customFormat="false" ht="15.75" hidden="false" customHeight="true" outlineLevel="0" collapsed="false">
      <c r="A158" s="81"/>
      <c r="B158" s="14" t="s">
        <v>358</v>
      </c>
      <c r="C158" s="14" t="s">
        <v>359</v>
      </c>
      <c r="D158" s="15" t="n">
        <v>22</v>
      </c>
      <c r="E158" s="15" t="n">
        <v>78</v>
      </c>
      <c r="F158" s="61" t="str">
        <f aca="false">IF(AND(D158&gt;0, E158&gt;0), "Observed Flaky Test", "Non-observed Flaky Test")</f>
        <v>Observed Flaky Test</v>
      </c>
      <c r="G158" s="22" t="n">
        <v>15</v>
      </c>
      <c r="H158" s="22" t="n">
        <v>85</v>
      </c>
      <c r="I158" s="61" t="str">
        <f aca="false">IF(AND(G158&gt;0, H158&gt;0), "Observed Flaky Test", "Non-observed Flaky Test")</f>
        <v>Observed Flaky Test</v>
      </c>
      <c r="J158" s="18" t="n">
        <v>70.58</v>
      </c>
      <c r="K158" s="18" t="n">
        <v>0</v>
      </c>
      <c r="L158" s="19" t="n">
        <f aca="false">IFERROR(K158/J158*100,"N/A")</f>
        <v>0</v>
      </c>
      <c r="M158" s="53" t="n">
        <v>69.701882</v>
      </c>
      <c r="N158" s="53" t="n">
        <v>1.454531</v>
      </c>
      <c r="O158" s="20" t="n">
        <f aca="false">IFERROR(N158/M158*100,"N/A")</f>
        <v>2.08678870392624</v>
      </c>
      <c r="P158" s="67" t="str">
        <f aca="false">IF(AND(G158&gt;0, H158=0), IF(ROUND(K158,8)=0, "Group 9: Only Passed | Without variation (SD Passed = 0)", "Group 10: Only Passed | With variation (SD Passed &gt; 0)"), IF(AND(G158=0, H158&gt;0), IF(ROUND(N158,8)=0, "Group 11: Only Failed | Without variation (SD Failed = 0)", "Group 12: Only Failed | With variation (SD Failed &gt; 0)"), IF(AND(G158&gt;0, H158&gt;0), IF(ROUND(J158,5)&lt;&gt;ROUND(M158,5), IF(AND(ROUND(K158,8)=0, ROUND(N158,8)=0), "Group 1: Flaky | Passed (no variation) AND Failed (no variation) | Different Means", IF(AND(ROUND(K158,8)&gt;0, ROUND(N158,8)&gt;0), "Group 2: Flaky | Passed (with variation) AND Failed (with variation) | Different Means", IF(AND(ROUND(K158,8)=0, ROUND(N158,8)&gt;0), "Group 3: Flaky | Passed (no variation) AND Failed (with variation) | Different Means", "Group 4: Flaky | Passed (with variation) AND Failed (no variation) | Different Means"))), IF(AND(ROUND(K158,8)=0, ROUND(N158,8)=0), "Group 5: Flaky | Passed (no variation) AND Failed (no variation) | Equal Means", IF(AND(ROUND(K158,8)&gt;0, ROUND(N158,8)&gt;0), "Group 6: Flaky | Passed (with variation) AND Failed (with variation) | Equal Means", IF(AND(ROUND(K158,8)=0, ROUND(N158,8)&gt;0),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58" s="22" t="n">
        <v>18</v>
      </c>
      <c r="R158" s="22" t="n">
        <v>82</v>
      </c>
      <c r="S158" s="43" t="str">
        <f aca="false">IF(AND(Q158&gt;0, R158&gt;0), "Observed Flaky Test", "Non-observed Flaky Test")</f>
        <v>Observed Flaky Test</v>
      </c>
      <c r="T158" s="24" t="n">
        <v>425716.777778</v>
      </c>
      <c r="U158" s="24" t="n">
        <v>50.497007</v>
      </c>
      <c r="V158" s="25" t="n">
        <f aca="false">IFERROR(U158/T158*100,"N/A")</f>
        <v>0.0118616436175163</v>
      </c>
      <c r="W158" s="24" t="n">
        <v>517317.97561</v>
      </c>
      <c r="X158" s="24" t="n">
        <v>66480.548887</v>
      </c>
      <c r="Y158" s="27" t="n">
        <f aca="false">IFERROR(X158/W158*100,"N/A")</f>
        <v>12.8510030622092</v>
      </c>
      <c r="Z158" s="68" t="str">
        <f aca="false">IF(AND(Q158&gt;0, R158=0), IF(IFERROR(ROUND(V158,8),0)=0, "Group 9: Only Passed | Without variation (no var CV = 0)", "Group 10: Only Passed | With variation (with var CV &gt; 0)"), IF(AND(Q158=0, R158&gt;0), IF(IFERROR(ROUND(Y158,8),0)=0, "Group 11: Only Failed | Without variation (no var CV = 0)", "Group 12: Only Failed | With variation (with var CV &gt; 0)"), IF(AND(Q158&gt;0, R158&gt;0), IF(ROUND(T158,5)&lt;&gt;ROUND(W158,5), IF(AND(IFERROR(ROUND(V158,8),0)=0, IFERROR(ROUND(Y158,8),0)=0), "Group 1: Flaky | Passed (no variation: CV = 0) AND Failed (no variation: CV = 0) | Different Means", IF(AND(IFERROR(ROUND(V158,8),0)&gt;0, IFERROR(ROUND(Y158,8),0)&gt;0), "Group 2: Flaky | Passed (with variation: CV &gt; 0) AND Failed (with variation: CV &gt; 0) | Different Means", IF(AND(IFERROR(ROUND(V158,8),0)=0, IFERROR(ROUND(Y158,8),0)&gt;0), "Group 3: Flaky | Passed (no variation: CV = 0) AND Failed (with variation: CV &gt; 0) | Different Means", "Group 4: Flaky | Passed (with variation: CV &gt; 0) AND Failed (no variation: CV = 0) | Different Means"))), IF(AND(IFERROR(ROUND(V158,8),0)=0, IFERROR(ROUND(Y158,8),0)=0), "Group 5: Flaky | Passed (no var CV = 0) AND Failed (no var CV = 0) | Equal Means", IF(AND(IFERROR(ROUND(V158,8),0)&gt;0, IFERROR(ROUND(Y158,8),0)&gt;0), "Group 6: Flaky | Passed (with var CV &gt; 0) AND Failed (with var CV &gt; 0) | Equal Means", IF(AND(IFERROR(ROUND(V158,8),0)=0, IFERROR(ROUND(Y158,8),0)&gt;0),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8" s="29" t="n">
        <v>0.23591</v>
      </c>
      <c r="AB158" s="29" t="n">
        <v>0.003336</v>
      </c>
      <c r="AC158" s="29" t="n">
        <f aca="false">IFERROR(AB158/AA158*100,"N/A")</f>
        <v>1.41409859692256</v>
      </c>
      <c r="AD158" s="29" t="n">
        <v>0.261102</v>
      </c>
      <c r="AE158" s="29" t="n">
        <v>0.029146</v>
      </c>
      <c r="AF158" s="29" t="n">
        <f aca="false">IFERROR(AE158/AD158*100,"N/A")</f>
        <v>11.1626873788788</v>
      </c>
      <c r="AG158" s="36" t="str">
        <f aca="false">IF(AND(Q158&gt;0, R158=0), IF(IFERROR(ROUND(AC158,8),0)=0, "Group 9: Only Passed | Without variation (no var CV = 0)", "Group 10: Only Passed | With variation (with var CV &gt; 0)"), IF(AND(Q158=0, R158&gt;0), IF(IFERROR(ROUND(AF158,8),0)=0, "Group 11: Only Failed | Without variation (no var CV = 0)", "Group 12: Only Failed | With variation (with var CV &gt; 0)"), IF(AND(Q158&gt;0, R158&gt;0), IF(ROUND(AA158,5)&lt;&gt;ROUND(AD158,5), IF(AND(IFERROR(ROUND(AC158,8),0)=0, IFERROR(ROUND(AF158,8),0)=0), "Group 1: Flaky | Passed (no variation: CV = 0) AND Failed (no variation: CV = 0) | Different Means", IF(AND(IFERROR(ROUND(AC158,8),0)&gt;0, IFERROR(ROUND(AF158,8),0)&gt;0), "Group 2: Flaky | Passed (with variation: CV &gt; 0) AND Failed (with variation: CV &gt; 0) | Different Means", IF(AND(IFERROR(ROUND(AC158,8),0)=0, IFERROR(ROUND(AF158,8),0)&gt;0), "Group 3: Flaky | Passed (no variation: CV = 0) AND Failed (with variation: CV &gt; 0) | Different Means", "Group 4: Flaky | Passed (with variation: CV &gt; 0) AND Failed (no variation: CV = 0) | Different Means"))), IF(AND(IFERROR(ROUND(AC158,8),0)=0, IFERROR(ROUND(AF158,8),0)=0), "Group 5: Flaky | Passed (no var CV = 0) AND Failed (no var CV = 0) | Equal Means", IF(AND(IFERROR(ROUND(AC158,8),0)&gt;0, IFERROR(ROUND(AF158,8),0)&gt;0), "Group 6: Flaky | Passed (with var CV &gt; 0) AND Failed (with var CV &gt; 0) | Equal Means", IF(AND(IFERROR(ROUND(AC158,8),0)=0, IFERROR(ROUND(AF158,8),0)&gt;0),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8" s="22" t="n">
        <v>24</v>
      </c>
      <c r="AI158" s="17" t="n">
        <v>76</v>
      </c>
      <c r="AJ158" s="39" t="str">
        <f aca="false">IF(AND(AH158&gt;0, AI158&gt;0), "Observed Flaky Test", "Non-observed Flaky Test")</f>
        <v>Observed Flaky Test</v>
      </c>
      <c r="AK158" s="90" t="n">
        <v>155674125</v>
      </c>
      <c r="AL158" s="99" t="n">
        <v>2.72368835604765</v>
      </c>
      <c r="AM158" s="33" t="n">
        <f aca="false">IFERROR(AL158/AK158*100,"N/A")</f>
        <v>1.74960890645613E-006</v>
      </c>
      <c r="AN158" s="93" t="n">
        <v>137803.552631578</v>
      </c>
      <c r="AO158" s="93" t="n">
        <v>49132.111135426</v>
      </c>
      <c r="AP158" s="35" t="n">
        <f aca="false">IFERROR(AO158/AN158*100,"N/A")</f>
        <v>35.6537333016241</v>
      </c>
      <c r="AQ158" s="63" t="str">
        <f aca="false">IF(AND(AH158&gt;0, AI158&gt;0),
    IF(ROUND(N(AK158),5)&lt;&gt;ROUND(N(AN158),5),
        IF(AND(ROUND(N(AL158),8)=0, ROUND(N(AO158),8)=0), "Group 1: Flaky | Passed (no variation: SD = 0) AND Failed (no variation: SD = 0) | Different Means",
        IF(AND(ROUND(N(AL158),8)&gt;0, ROUND(N(AO158),8)&gt;0), "Group 2: Flaky | Passed (with variation: SD &gt; 0) AND Failed (with variation: SD &gt; 0) | Different Means",
        IF(AND(ROUND(N(AL158),8)=0, ROUND(N(AO158),8)&gt;0), "Group 3: Flaky | Passed (no variation: SD = 0) AND Failed (with variation: SD &gt; 0) | Different Means",
        "Group 4: Flaky | Passed (with variation: SD &gt; 0) AND Failed (no variation: SD = 0) | Different Means"))),
        IF(AND(ROUND(N(AL158),8)=0, ROUND(N(AO158),8)=0), "Group 5: Flaky | Passed (no var SD = 0) AND Failed (no var SD = 0) | Equal Means",
        IF(AND(ROUND(N(AL158),8)&gt;0, ROUND(N(AO158),8)&gt;0), "Group 6: Flaky | Passed (with var SD &gt; 0 ) AND Failed (with var SD &gt; 0) | Equal Means",
        IF(AND(ROUND(N(AL158),8)=0, ROUND(N(AO158),8)&gt;0), "Group 7: Flaky | Passed (no var SD = 0) AND Failed (with var SD &gt; 0) | Equal Means",
        "Group 8: Flaky | Passed (with var SD &gt; 0 ) AND Failed (no var SD = 0) | Equal Means")))
    ),
    IF(AH158&gt;0,
        IF(N(AL158)&gt;0, "Group 10: Only Passed | With variation (with var SD &gt; 0)", "Group 9: Only Passed | Without variation (no var SD = 0)"),
        IF(AI158&gt;0,
            IF(N(AO158)&gt;0,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8" s="42" t="str">
        <f aca="false">IF(OR(F158="Observed Flaky Test", I158="Observed Flaky Test", S158="Observed Flaky Test", AJ158="Observed Flaky Test"), "Observed Flaky Test", "Non-observed Flaky Test")</f>
        <v>Observed Flaky Test</v>
      </c>
    </row>
    <row r="159" customFormat="false" ht="15.75" hidden="false" customHeight="true" outlineLevel="0" collapsed="false">
      <c r="A159" s="81" t="s">
        <v>360</v>
      </c>
      <c r="B159" s="14" t="s">
        <v>361</v>
      </c>
      <c r="C159" s="14" t="s">
        <v>362</v>
      </c>
      <c r="D159" s="15" t="n">
        <v>93</v>
      </c>
      <c r="E159" s="15" t="n">
        <v>7</v>
      </c>
      <c r="F159" s="61" t="str">
        <f aca="false">IF(AND(D159&gt;0, E159&gt;0), "Observed Flaky Test", "Non-observed Flaky Test")</f>
        <v>Observed Flaky Test</v>
      </c>
      <c r="G159" s="22" t="n">
        <v>97</v>
      </c>
      <c r="H159" s="22" t="n">
        <v>3</v>
      </c>
      <c r="I159" s="61" t="str">
        <f aca="false">IF(AND(G159&gt;0, H159&gt;0), "Observed Flaky Test", "Non-observed Flaky Test")</f>
        <v>Observed Flaky Test</v>
      </c>
      <c r="J159" s="18" t="n">
        <v>59.91</v>
      </c>
      <c r="K159" s="18" t="n">
        <v>0</v>
      </c>
      <c r="L159" s="19" t="n">
        <f aca="false">IFERROR(K159/J159*100,"N/A")</f>
        <v>0</v>
      </c>
      <c r="M159" s="18" t="n">
        <v>59.43</v>
      </c>
      <c r="N159" s="18" t="n">
        <v>0</v>
      </c>
      <c r="O159" s="20" t="n">
        <f aca="false">IFERROR(N159/M159*100,"N/A")</f>
        <v>0</v>
      </c>
      <c r="P159" s="78" t="str">
        <f aca="false">IF(AND(G159&gt;0, H159=0), IF(ROUND(K159,8)=0, "Group 9: Only Passed | Without variation (SD Passed = 0)", "Group 10: Only Passed | With variation (SD Passed &gt; 0)"), IF(AND(G159=0, H159&gt;0), IF(ROUND(N159,8)=0, "Group 11: Only Failed | Without variation (SD Failed = 0)", "Group 12: Only Failed | With variation (SD Failed &gt; 0)"), IF(AND(G159&gt;0, H159&gt;0), IF(ROUND(J159,5)&lt;&gt;ROUND(M159,5), IF(AND(ROUND(K159,8)=0, ROUND(N159,8)=0), "Group 1: Flaky | Passed (no variation) AND Failed (no variation) | Different Means", IF(AND(ROUND(K159,8)&gt;0, ROUND(N159,8)&gt;0), "Group 2: Flaky | Passed (with variation) AND Failed (with variation) | Different Means", IF(AND(ROUND(K159,8)=0, ROUND(N159,8)&gt;0), "Group 3: Flaky | Passed (no variation) AND Failed (with variation) | Different Means", "Group 4: Flaky | Passed (with variation) AND Failed (no variation) | Different Means"))), IF(AND(ROUND(K159,8)=0, ROUND(N159,8)=0), "Group 5: Flaky | Passed (no variation) AND Failed (no variation) | Equal Means", IF(AND(ROUND(K159,8)&gt;0, ROUND(N159,8)&gt;0), "Group 6: Flaky | Passed (with variation) AND Failed (with variation) | Equal Means", IF(AND(ROUND(K159,8)=0, ROUND(N159,8)&gt;0),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59" s="22" t="n">
        <v>98</v>
      </c>
      <c r="R159" s="22" t="n">
        <v>2</v>
      </c>
      <c r="S159" s="43" t="str">
        <f aca="false">IF(AND(Q159&gt;0, R159&gt;0), "Observed Flaky Test", "Non-observed Flaky Test")</f>
        <v>Observed Flaky Test</v>
      </c>
      <c r="T159" s="24" t="n">
        <v>341429.571429</v>
      </c>
      <c r="U159" s="24" t="n">
        <v>17.390008</v>
      </c>
      <c r="V159" s="25" t="n">
        <f aca="false">IFERROR(U159/T159*100,"N/A")</f>
        <v>0.00509329286482622</v>
      </c>
      <c r="W159" s="58" t="n">
        <v>435658</v>
      </c>
      <c r="X159" s="24" t="n">
        <v>19.79899</v>
      </c>
      <c r="Y159" s="27" t="n">
        <f aca="false">IFERROR(X159/W159*100,"N/A")</f>
        <v>0.00454461756699062</v>
      </c>
      <c r="Z159" s="68" t="str">
        <f aca="false">IF(AND(Q159&gt;0, R159=0), IF(IFERROR(ROUND(V159,8),0)=0, "Group 9: Only Passed | Without variation (no var CV = 0)", "Group 10: Only Passed | With variation (with var CV &gt; 0)"), IF(AND(Q159=0, R159&gt;0), IF(IFERROR(ROUND(Y159,8),0)=0, "Group 11: Only Failed | Without variation (no var CV = 0)", "Group 12: Only Failed | With variation (with var CV &gt; 0)"), IF(AND(Q159&gt;0, R159&gt;0), IF(ROUND(T159,5)&lt;&gt;ROUND(W159,5), IF(AND(IFERROR(ROUND(V159,8),0)=0, IFERROR(ROUND(Y159,8),0)=0), "Group 1: Flaky | Passed (no variation: CV = 0) AND Failed (no variation: CV = 0) | Different Means", IF(AND(IFERROR(ROUND(V159,8),0)&gt;0, IFERROR(ROUND(Y159,8),0)&gt;0), "Group 2: Flaky | Passed (with variation: CV &gt; 0) AND Failed (with variation: CV &gt; 0) | Different Means", IF(AND(IFERROR(ROUND(V159,8),0)=0, IFERROR(ROUND(Y159,8),0)&gt;0), "Group 3: Flaky | Passed (no variation: CV = 0) AND Failed (with variation: CV &gt; 0) | Different Means", "Group 4: Flaky | Passed (with variation: CV &gt; 0) AND Failed (no variation: CV = 0) | Different Means"))), IF(AND(IFERROR(ROUND(V159,8),0)=0, IFERROR(ROUND(Y159,8),0)=0), "Group 5: Flaky | Passed (no var CV = 0) AND Failed (no var CV = 0) | Equal Means", IF(AND(IFERROR(ROUND(V159,8),0)&gt;0, IFERROR(ROUND(Y159,8),0)&gt;0), "Group 6: Flaky | Passed (with var CV &gt; 0) AND Failed (with var CV &gt; 0) | Equal Means", IF(AND(IFERROR(ROUND(V159,8),0)=0, IFERROR(ROUND(Y159,8),0)&gt;0),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59" s="29" t="n">
        <v>0.263003</v>
      </c>
      <c r="AB159" s="29" t="n">
        <v>0.038187</v>
      </c>
      <c r="AC159" s="29" t="n">
        <f aca="false">IFERROR(AB159/AA159*100,"N/A")</f>
        <v>14.519606240233</v>
      </c>
      <c r="AD159" s="29" t="n">
        <v>0.224858</v>
      </c>
      <c r="AE159" s="29" t="n">
        <v>0.00356</v>
      </c>
      <c r="AF159" s="29" t="n">
        <f aca="false">IFERROR(AE159/AD159*100,"N/A")</f>
        <v>1.58322141084596</v>
      </c>
      <c r="AG159" s="36" t="str">
        <f aca="false">IF(AND(Q159&gt;0, R159=0), IF(IFERROR(ROUND(AC159,8),0)=0, "Group 9: Only Passed | Without variation (no var CV = 0)", "Group 10: Only Passed | With variation (with var CV &gt; 0)"), IF(AND(Q159=0, R159&gt;0), IF(IFERROR(ROUND(AF159,8),0)=0, "Group 11: Only Failed | Without variation (no var CV = 0)", "Group 12: Only Failed | With variation (with var CV &gt; 0)"), IF(AND(Q159&gt;0, R159&gt;0), IF(ROUND(AA159,5)&lt;&gt;ROUND(AD159,5), IF(AND(IFERROR(ROUND(AC159,8),0)=0, IFERROR(ROUND(AF159,8),0)=0), "Group 1: Flaky | Passed (no variation: CV = 0) AND Failed (no variation: CV = 0) | Different Means", IF(AND(IFERROR(ROUND(AC159,8),0)&gt;0, IFERROR(ROUND(AF159,8),0)&gt;0), "Group 2: Flaky | Passed (with variation: CV &gt; 0) AND Failed (with variation: CV &gt; 0) | Different Means", IF(AND(IFERROR(ROUND(AC159,8),0)=0, IFERROR(ROUND(AF159,8),0)&gt;0), "Group 3: Flaky | Passed (no variation: CV = 0) AND Failed (with variation: CV &gt; 0) | Different Means", "Group 4: Flaky | Passed (with variation: CV &gt; 0) AND Failed (no variation: CV = 0) | Different Means"))), IF(AND(IFERROR(ROUND(AC159,8),0)=0, IFERROR(ROUND(AF159,8),0)=0), "Group 5: Flaky | Passed (no var CV = 0) AND Failed (no var CV = 0) | Equal Means", IF(AND(IFERROR(ROUND(AC159,8),0)&gt;0, IFERROR(ROUND(AF159,8),0)&gt;0), "Group 6: Flaky | Passed (with var CV &gt; 0) AND Failed (with var CV &gt; 0) | Equal Means", IF(AND(IFERROR(ROUND(AC159,8),0)=0, IFERROR(ROUND(AF159,8),0)&gt;0),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59" s="22" t="n">
        <v>97</v>
      </c>
      <c r="AI159" s="17" t="n">
        <v>3</v>
      </c>
      <c r="AJ159" s="39" t="str">
        <f aca="false">IF(AND(AH159&gt;0, AI159&gt;0), "Observed Flaky Test", "Non-observed Flaky Test")</f>
        <v>Observed Flaky Test</v>
      </c>
      <c r="AK159" s="100" t="n">
        <v>6396.46391752577</v>
      </c>
      <c r="AL159" s="99" t="n">
        <v>1.14620620299918</v>
      </c>
      <c r="AM159" s="33" t="n">
        <f aca="false">IFERROR(AL159/AK159*100,"N/A")</f>
        <v>0.0179193726061468</v>
      </c>
      <c r="AN159" s="100" t="n">
        <v>6228.33333333333</v>
      </c>
      <c r="AO159" s="101" t="n">
        <v>0.577350269189625</v>
      </c>
      <c r="AP159" s="35" t="n">
        <f aca="false">IFERROR(AO159/AN159*100,"N/A")</f>
        <v>0.00926973940363327</v>
      </c>
      <c r="AQ159" s="63" t="str">
        <f aca="false">IF(AND(AH159&gt;0, AI159&gt;0),
    IF(ROUND(N(AK159),5)&lt;&gt;ROUND(N(AN159),5),
        IF(AND(ROUND(N(AL159),8)=0, ROUND(N(AO159),8)=0), "Group 1: Flaky | Passed (no variation: SD = 0) AND Failed (no variation: SD = 0) | Different Means",
        IF(AND(ROUND(N(AL159),8)&gt;0, ROUND(N(AO159),8)&gt;0), "Group 2: Flaky | Passed (with variation: SD &gt; 0) AND Failed (with variation: SD &gt; 0) | Different Means",
        IF(AND(ROUND(N(AL159),8)=0, ROUND(N(AO159),8)&gt;0), "Group 3: Flaky | Passed (no variation: SD = 0) AND Failed (with variation: SD &gt; 0) | Different Means",
        "Group 4: Flaky | Passed (with variation: SD &gt; 0) AND Failed (no variation: SD = 0) | Different Means"))),
        IF(AND(ROUND(N(AL159),8)=0, ROUND(N(AO159),8)=0), "Group 5: Flaky | Passed (no var SD = 0) AND Failed (no var SD = 0) | Equal Means",
        IF(AND(ROUND(N(AL159),8)&gt;0, ROUND(N(AO159),8)&gt;0), "Group 6: Flaky | Passed (with var SD &gt; 0 ) AND Failed (with var SD &gt; 0) | Equal Means",
        IF(AND(ROUND(N(AL159),8)=0, ROUND(N(AO159),8)&gt;0), "Group 7: Flaky | Passed (no var SD = 0) AND Failed (with var SD &gt; 0) | Equal Means",
        "Group 8: Flaky | Passed (with var SD &gt; 0 ) AND Failed (no var SD = 0) | Equal Means")))
    ),
    IF(AH159&gt;0,
        IF(N(AL159)&gt;0, "Group 10: Only Passed | With variation (with var SD &gt; 0)", "Group 9: Only Passed | Without variation (no var SD = 0)"),
        IF(AI159&gt;0,
            IF(N(AO159)&gt;0,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59" s="42" t="str">
        <f aca="false">IF(OR(F159="Observed Flaky Test", I159="Observed Flaky Test", S159="Observed Flaky Test", AJ159="Observed Flaky Test"), "Observed Flaky Test", "Non-observed Flaky Test")</f>
        <v>Observed Flaky Test</v>
      </c>
    </row>
    <row r="160" customFormat="false" ht="15.75" hidden="false" customHeight="true" outlineLevel="0" collapsed="false">
      <c r="A160" s="81" t="s">
        <v>363</v>
      </c>
      <c r="B160" s="14" t="s">
        <v>364</v>
      </c>
      <c r="C160" s="14" t="s">
        <v>365</v>
      </c>
      <c r="D160" s="15" t="n">
        <v>100</v>
      </c>
      <c r="E160" s="15" t="n">
        <v>0</v>
      </c>
      <c r="F160" s="16" t="str">
        <f aca="false">IF(AND(D160&gt;0, E160&gt;0), "Observed Flaky Test", "Non-observed Flaky Test")</f>
        <v>Non-observed Flaky Test</v>
      </c>
      <c r="G160" s="22" t="n">
        <v>100</v>
      </c>
      <c r="H160" s="22" t="n">
        <v>0</v>
      </c>
      <c r="I160" s="16" t="str">
        <f aca="false">IF(AND(G160&gt;0, H160&gt;0), "Observed Flaky Test", "Non-observed Flaky Test")</f>
        <v>Non-observed Flaky Test</v>
      </c>
      <c r="J160" s="18" t="n">
        <v>65.81</v>
      </c>
      <c r="K160" s="18" t="n">
        <v>0</v>
      </c>
      <c r="L160" s="19" t="n">
        <f aca="false">IFERROR(K160/J160*100,"N/A")</f>
        <v>0</v>
      </c>
      <c r="M160" s="18" t="n">
        <v>0</v>
      </c>
      <c r="N160" s="18" t="n">
        <v>0</v>
      </c>
      <c r="O160" s="20" t="str">
        <f aca="false">IFERROR(N160/M160*100,"N/A")</f>
        <v>N/A</v>
      </c>
      <c r="P160" s="56" t="str">
        <f aca="false">IF(AND(G160&gt;0, H160=0), IF(ROUND(K160,8)=0, "Group 9: Only Passed | Without variation (SD Passed = 0)", "Group 10: Only Passed | With variation (SD Passed &gt; 0)"), IF(AND(G160=0, H160&gt;0), IF(ROUND(N160,8)=0, "Group 11: Only Failed | Without variation (SD Failed = 0)", "Group 12: Only Failed | With variation (SD Failed &gt; 0)"), IF(AND(G160&gt;0, H160&gt;0), IF(ROUND(J160,5)&lt;&gt;ROUND(M160,5), IF(AND(ROUND(K160,8)=0, ROUND(N160,8)=0), "Group 1: Flaky | Passed (no variation) AND Failed (no variation) | Different Means", IF(AND(ROUND(K160,8)&gt;0, ROUND(N160,8)&gt;0), "Group 2: Flaky | Passed (with variation) AND Failed (with variation) | Different Means", IF(AND(ROUND(K160,8)=0, ROUND(N160,8)&gt;0), "Group 3: Flaky | Passed (no variation) AND Failed (with variation) | Different Means", "Group 4: Flaky | Passed (with variation) AND Failed (no variation) | Different Means"))), IF(AND(ROUND(K160,8)=0, ROUND(N160,8)=0), "Group 5: Flaky | Passed (no variation) AND Failed (no variation) | Equal Means", IF(AND(ROUND(K160,8)&gt;0, ROUND(N160,8)&gt;0), "Group 6: Flaky | Passed (with variation) AND Failed (with variation) | Equal Means", IF(AND(ROUND(K160,8)=0, ROUND(N160,8)&gt;0),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60" s="22" t="n">
        <v>100</v>
      </c>
      <c r="R160" s="22" t="n">
        <v>0</v>
      </c>
      <c r="S160" s="23" t="str">
        <f aca="false">IF(AND(Q160&gt;0, R160&gt;0), "Observed Flaky Test", "Non-observed Flaky Test")</f>
        <v>Non-observed Flaky Test</v>
      </c>
      <c r="T160" s="55" t="n">
        <v>355932.3</v>
      </c>
      <c r="U160" s="24" t="n">
        <v>11.024766</v>
      </c>
      <c r="V160" s="25" t="n">
        <f aca="false">IFERROR(U160/T160*100,"N/A")</f>
        <v>0.00309743341641093</v>
      </c>
      <c r="W160" s="22" t="n">
        <v>0</v>
      </c>
      <c r="X160" s="22" t="n">
        <v>0</v>
      </c>
      <c r="Y160" s="27" t="str">
        <f aca="false">IFERROR(X160/W160*100,"N/A")</f>
        <v>N/A</v>
      </c>
      <c r="Z160" s="50" t="str">
        <f aca="false">IF(AND(Q160&gt;0, R160=0), IF(IFERROR(ROUND(V160,8),0)=0, "Group 9: Only Passed | Without variation (no var CV = 0)", "Group 10: Only Passed | With variation (with var CV &gt; 0)"), IF(AND(Q160=0, R160&gt;0), IF(IFERROR(ROUND(Y160,8),0)=0, "Group 11: Only Failed | Without variation (no var CV = 0)", "Group 12: Only Failed | With variation (with var CV &gt; 0)"), IF(AND(Q160&gt;0, R160&gt;0), IF(ROUND(T160,5)&lt;&gt;ROUND(W160,5), IF(AND(IFERROR(ROUND(V160,8),0)=0, IFERROR(ROUND(Y160,8),0)=0), "Group 1: Flaky | Passed (no variation: CV = 0) AND Failed (no variation: CV = 0) | Different Means", IF(AND(IFERROR(ROUND(V160,8),0)&gt;0, IFERROR(ROUND(Y160,8),0)&gt;0), "Group 2: Flaky | Passed (with variation: CV &gt; 0) AND Failed (with variation: CV &gt; 0) | Different Means", IF(AND(IFERROR(ROUND(V160,8),0)=0, IFERROR(ROUND(Y160,8),0)&gt;0), "Group 3: Flaky | Passed (no variation: CV = 0) AND Failed (with variation: CV &gt; 0) | Different Means", "Group 4: Flaky | Passed (with variation: CV &gt; 0) AND Failed (no variation: CV = 0) | Different Means"))), IF(AND(IFERROR(ROUND(V160,8),0)=0, IFERROR(ROUND(Y160,8),0)=0), "Group 5: Flaky | Passed (no var CV = 0) AND Failed (no var CV = 0) | Equal Means", IF(AND(IFERROR(ROUND(V160,8),0)&gt;0, IFERROR(ROUND(Y160,8),0)&gt;0), "Group 6: Flaky | Passed (with var CV &gt; 0) AND Failed (with var CV &gt; 0) | Equal Means", IF(AND(IFERROR(ROUND(V160,8),0)=0, IFERROR(ROUND(Y160,8),0)&gt;0),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0" s="29" t="n">
        <v>0.295384</v>
      </c>
      <c r="AB160" s="29" t="n">
        <v>0.025549</v>
      </c>
      <c r="AC160" s="29" t="n">
        <f aca="false">IFERROR(AB160/AA160*100,"N/A")</f>
        <v>8.64941906128971</v>
      </c>
      <c r="AD160" s="29" t="n">
        <v>0</v>
      </c>
      <c r="AE160" s="29" t="n">
        <v>0</v>
      </c>
      <c r="AF160" s="29" t="str">
        <f aca="false">IFERROR(AE160/AD160*100,"N/A")</f>
        <v>N/A</v>
      </c>
      <c r="AG160" s="51" t="str">
        <f aca="false">IF(AND(Q160&gt;0, R160=0), IF(IFERROR(ROUND(AC160,8),0)=0, "Group 9: Only Passed | Without variation (no var CV = 0)", "Group 10: Only Passed | With variation (with var CV &gt; 0)"), IF(AND(Q160=0, R160&gt;0), IF(IFERROR(ROUND(AF160,8),0)=0, "Group 11: Only Failed | Without variation (no var CV = 0)", "Group 12: Only Failed | With variation (with var CV &gt; 0)"), IF(AND(Q160&gt;0, R160&gt;0), IF(ROUND(AA160,5)&lt;&gt;ROUND(AD160,5), IF(AND(IFERROR(ROUND(AC160,8),0)=0, IFERROR(ROUND(AF160,8),0)=0), "Group 1: Flaky | Passed (no variation: CV = 0) AND Failed (no variation: CV = 0) | Different Means", IF(AND(IFERROR(ROUND(AC160,8),0)&gt;0, IFERROR(ROUND(AF160,8),0)&gt;0), "Group 2: Flaky | Passed (with variation: CV &gt; 0) AND Failed (with variation: CV &gt; 0) | Different Means", IF(AND(IFERROR(ROUND(AC160,8),0)=0, IFERROR(ROUND(AF160,8),0)&gt;0), "Group 3: Flaky | Passed (no variation: CV = 0) AND Failed (with variation: CV &gt; 0) | Different Means", "Group 4: Flaky | Passed (with variation: CV &gt; 0) AND Failed (no variation: CV = 0) | Different Means"))), IF(AND(IFERROR(ROUND(AC160,8),0)=0, IFERROR(ROUND(AF160,8),0)=0), "Group 5: Flaky | Passed (no var CV = 0) AND Failed (no var CV = 0) | Equal Means", IF(AND(IFERROR(ROUND(AC160,8),0)&gt;0, IFERROR(ROUND(AF160,8),0)&gt;0), "Group 6: Flaky | Passed (with var CV &gt; 0) AND Failed (with var CV &gt; 0) | Equal Means", IF(AND(IFERROR(ROUND(AC160,8),0)=0, IFERROR(ROUND(AF160,8),0)&gt;0),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0" s="22" t="n">
        <v>100</v>
      </c>
      <c r="AI160" s="17" t="n">
        <v>0</v>
      </c>
      <c r="AJ160" s="31" t="str">
        <f aca="false">IF(AND(AH160&gt;0, AI160&gt;0), "Observed Flaky Test", "Non-observed Flaky Test")</f>
        <v>Non-observed Flaky Test</v>
      </c>
      <c r="AK160" s="90" t="n">
        <v>1443</v>
      </c>
      <c r="AL160" s="90" t="n">
        <v>0</v>
      </c>
      <c r="AM160" s="33" t="n">
        <f aca="false">IFERROR(AL160/AK160*100,"N/A")</f>
        <v>0</v>
      </c>
      <c r="AN160" s="90" t="n">
        <v>0</v>
      </c>
      <c r="AO160" s="90" t="n">
        <v>0</v>
      </c>
      <c r="AP160" s="35" t="str">
        <f aca="false">IFERROR(AO160/AN160*100,"N/A")</f>
        <v>N/A</v>
      </c>
      <c r="AQ160" s="45" t="str">
        <f aca="false">IF(AND(AH160&gt;0, AI160&gt;0),
    IF(ROUND(N(AK160),5)&lt;&gt;ROUND(N(AN160),5),
        IF(AND(ROUND(N(AL160),8)=0, ROUND(N(AO160),8)=0), "Group 1: Flaky | Passed (no variation: SD = 0) AND Failed (no variation: SD = 0) | Different Means",
        IF(AND(ROUND(N(AL160),8)&gt;0, ROUND(N(AO160),8)&gt;0), "Group 2: Flaky | Passed (with variation: SD &gt; 0) AND Failed (with variation: SD &gt; 0) | Different Means",
        IF(AND(ROUND(N(AL160),8)=0, ROUND(N(AO160),8)&gt;0), "Group 3: Flaky | Passed (no variation: SD = 0) AND Failed (with variation: SD &gt; 0) | Different Means",
        "Group 4: Flaky | Passed (with variation: SD &gt; 0) AND Failed (no variation: SD = 0) | Different Means"))),
        IF(AND(ROUND(N(AL160),8)=0, ROUND(N(AO160),8)=0), "Group 5: Flaky | Passed (no var SD = 0) AND Failed (no var SD = 0) | Equal Means",
        IF(AND(ROUND(N(AL160),8)&gt;0, ROUND(N(AO160),8)&gt;0), "Group 6: Flaky | Passed (with var SD &gt; 0 ) AND Failed (with var SD &gt; 0) | Equal Means",
        IF(AND(ROUND(N(AL160),8)=0, ROUND(N(AO160),8)&gt;0), "Group 7: Flaky | Passed (no var SD = 0) AND Failed (with var SD &gt; 0) | Equal Means",
        "Group 8: Flaky | Passed (with var SD &gt; 0 ) AND Failed (no var SD = 0) | Equal Means")))
    ),
    IF(AH160&gt;0,
        IF(N(AL160)&gt;0, "Group 10: Only Passed | With variation (with var SD &gt; 0)", "Group 9: Only Passed | Without variation (no var SD = 0)"),
        IF(AI160&gt;0,
            IF(N(AO160)&gt;0,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60" s="37" t="str">
        <f aca="false">IF(OR(F160="Observed Flaky Test", I160="Observed Flaky Test", S160="Observed Flaky Test", AJ160="Observed Flaky Test"), "Observed Flaky Test", "Non-observed Flaky Test")</f>
        <v>Non-observed Flaky Test</v>
      </c>
    </row>
    <row r="161" customFormat="false" ht="15.75" hidden="false" customHeight="true" outlineLevel="0" collapsed="false">
      <c r="A161" s="81" t="s">
        <v>366</v>
      </c>
      <c r="B161" s="14" t="s">
        <v>367</v>
      </c>
      <c r="C161" s="14" t="s">
        <v>368</v>
      </c>
      <c r="D161" s="15" t="n">
        <v>100</v>
      </c>
      <c r="E161" s="15" t="n">
        <v>0</v>
      </c>
      <c r="F161" s="16" t="str">
        <f aca="false">IF(AND(D161&gt;0, E161&gt;0), "Observed Flaky Test", "Non-observed Flaky Test")</f>
        <v>Non-observed Flaky Test</v>
      </c>
      <c r="G161" s="22" t="n">
        <v>100</v>
      </c>
      <c r="H161" s="22" t="n">
        <v>0</v>
      </c>
      <c r="I161" s="16" t="str">
        <f aca="false">IF(AND(G161&gt;0, H161&gt;0), "Observed Flaky Test", "Non-observed Flaky Test")</f>
        <v>Non-observed Flaky Test</v>
      </c>
      <c r="J161" s="18" t="n">
        <v>5.01</v>
      </c>
      <c r="K161" s="18" t="n">
        <v>0</v>
      </c>
      <c r="L161" s="19" t="n">
        <f aca="false">IFERROR(K161/J161*100,"N/A")</f>
        <v>0</v>
      </c>
      <c r="M161" s="18" t="n">
        <v>0</v>
      </c>
      <c r="N161" s="18" t="n">
        <v>0</v>
      </c>
      <c r="O161" s="20" t="str">
        <f aca="false">IFERROR(N161/M161*100,"N/A")</f>
        <v>N/A</v>
      </c>
      <c r="P161" s="56" t="str">
        <f aca="false">IF(AND(G161&gt;0, H161=0), IF(ROUND(K161,8)=0, "Group 9: Only Passed | Without variation (SD Passed = 0)", "Group 10: Only Passed | With variation (SD Passed &gt; 0)"), IF(AND(G161=0, H161&gt;0), IF(ROUND(N161,8)=0, "Group 11: Only Failed | Without variation (SD Failed = 0)", "Group 12: Only Failed | With variation (SD Failed &gt; 0)"), IF(AND(G161&gt;0, H161&gt;0), IF(ROUND(J161,5)&lt;&gt;ROUND(M161,5), IF(AND(ROUND(K161,8)=0, ROUND(N161,8)=0), "Group 1: Flaky | Passed (no variation) AND Failed (no variation) | Different Means", IF(AND(ROUND(K161,8)&gt;0, ROUND(N161,8)&gt;0), "Group 2: Flaky | Passed (with variation) AND Failed (with variation) | Different Means", IF(AND(ROUND(K161,8)=0, ROUND(N161,8)&gt;0), "Group 3: Flaky | Passed (no variation) AND Failed (with variation) | Different Means", "Group 4: Flaky | Passed (with variation) AND Failed (no variation) | Different Means"))), IF(AND(ROUND(K161,8)=0, ROUND(N161,8)=0), "Group 5: Flaky | Passed (no variation) AND Failed (no variation) | Equal Means", IF(AND(ROUND(K161,8)&gt;0, ROUND(N161,8)&gt;0), "Group 6: Flaky | Passed (with variation) AND Failed (with variation) | Equal Means", IF(AND(ROUND(K161,8)=0, ROUND(N161,8)&gt;0),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61" s="22" t="n">
        <v>100</v>
      </c>
      <c r="R161" s="22" t="n">
        <v>0</v>
      </c>
      <c r="S161" s="23" t="str">
        <f aca="false">IF(AND(Q161&gt;0, R161&gt;0), "Observed Flaky Test", "Non-observed Flaky Test")</f>
        <v>Non-observed Flaky Test</v>
      </c>
      <c r="T161" s="22" t="n">
        <v>413408.26</v>
      </c>
      <c r="U161" s="24" t="n">
        <v>17.182103</v>
      </c>
      <c r="V161" s="25" t="n">
        <f aca="false">IFERROR(U161/T161*100,"N/A")</f>
        <v>0.00415620699015545</v>
      </c>
      <c r="W161" s="22" t="n">
        <v>0</v>
      </c>
      <c r="X161" s="22" t="n">
        <v>0</v>
      </c>
      <c r="Y161" s="27" t="str">
        <f aca="false">IFERROR(X161/W161*100,"N/A")</f>
        <v>N/A</v>
      </c>
      <c r="Z161" s="50" t="str">
        <f aca="false">IF(AND(Q161&gt;0, R161=0), IF(IFERROR(ROUND(V161,8),0)=0, "Group 9: Only Passed | Without variation (no var CV = 0)", "Group 10: Only Passed | With variation (with var CV &gt; 0)"), IF(AND(Q161=0, R161&gt;0), IF(IFERROR(ROUND(Y161,8),0)=0, "Group 11: Only Failed | Without variation (no var CV = 0)", "Group 12: Only Failed | With variation (with var CV &gt; 0)"), IF(AND(Q161&gt;0, R161&gt;0), IF(ROUND(T161,5)&lt;&gt;ROUND(W161,5), IF(AND(IFERROR(ROUND(V161,8),0)=0, IFERROR(ROUND(Y161,8),0)=0), "Group 1: Flaky | Passed (no variation: CV = 0) AND Failed (no variation: CV = 0) | Different Means", IF(AND(IFERROR(ROUND(V161,8),0)&gt;0, IFERROR(ROUND(Y161,8),0)&gt;0), "Group 2: Flaky | Passed (with variation: CV &gt; 0) AND Failed (with variation: CV &gt; 0) | Different Means", IF(AND(IFERROR(ROUND(V161,8),0)=0, IFERROR(ROUND(Y161,8),0)&gt;0), "Group 3: Flaky | Passed (no variation: CV = 0) AND Failed (with variation: CV &gt; 0) | Different Means", "Group 4: Flaky | Passed (with variation: CV &gt; 0) AND Failed (no variation: CV = 0) | Different Means"))), IF(AND(IFERROR(ROUND(V161,8),0)=0, IFERROR(ROUND(Y161,8),0)=0), "Group 5: Flaky | Passed (no var CV = 0) AND Failed (no var CV = 0) | Equal Means", IF(AND(IFERROR(ROUND(V161,8),0)&gt;0, IFERROR(ROUND(Y161,8),0)&gt;0), "Group 6: Flaky | Passed (with var CV &gt; 0) AND Failed (with var CV &gt; 0) | Equal Means", IF(AND(IFERROR(ROUND(V161,8),0)=0, IFERROR(ROUND(Y161,8),0)&gt;0),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1" s="29" t="n">
        <v>0.34003</v>
      </c>
      <c r="AB161" s="29" t="n">
        <v>0.018074</v>
      </c>
      <c r="AC161" s="29" t="n">
        <f aca="false">IFERROR(AB161/AA161*100,"N/A")</f>
        <v>5.31541334588125</v>
      </c>
      <c r="AD161" s="29" t="n">
        <v>0</v>
      </c>
      <c r="AE161" s="29" t="n">
        <v>0</v>
      </c>
      <c r="AF161" s="29" t="str">
        <f aca="false">IFERROR(AE161/AD161*100,"N/A")</f>
        <v>N/A</v>
      </c>
      <c r="AG161" s="51" t="str">
        <f aca="false">IF(AND(Q161&gt;0, R161=0), IF(IFERROR(ROUND(AC161,8),0)=0, "Group 9: Only Passed | Without variation (no var CV = 0)", "Group 10: Only Passed | With variation (with var CV &gt; 0)"), IF(AND(Q161=0, R161&gt;0), IF(IFERROR(ROUND(AF161,8),0)=0, "Group 11: Only Failed | Without variation (no var CV = 0)", "Group 12: Only Failed | With variation (with var CV &gt; 0)"), IF(AND(Q161&gt;0, R161&gt;0), IF(ROUND(AA161,5)&lt;&gt;ROUND(AD161,5), IF(AND(IFERROR(ROUND(AC161,8),0)=0, IFERROR(ROUND(AF161,8),0)=0), "Group 1: Flaky | Passed (no variation: CV = 0) AND Failed (no variation: CV = 0) | Different Means", IF(AND(IFERROR(ROUND(AC161,8),0)&gt;0, IFERROR(ROUND(AF161,8),0)&gt;0), "Group 2: Flaky | Passed (with variation: CV &gt; 0) AND Failed (with variation: CV &gt; 0) | Different Means", IF(AND(IFERROR(ROUND(AC161,8),0)=0, IFERROR(ROUND(AF161,8),0)&gt;0), "Group 3: Flaky | Passed (no variation: CV = 0) AND Failed (with variation: CV &gt; 0) | Different Means", "Group 4: Flaky | Passed (with variation: CV &gt; 0) AND Failed (no variation: CV = 0) | Different Means"))), IF(AND(IFERROR(ROUND(AC161,8),0)=0, IFERROR(ROUND(AF161,8),0)=0), "Group 5: Flaky | Passed (no var CV = 0) AND Failed (no var CV = 0) | Equal Means", IF(AND(IFERROR(ROUND(AC161,8),0)&gt;0, IFERROR(ROUND(AF161,8),0)&gt;0), "Group 6: Flaky | Passed (with var CV &gt; 0) AND Failed (with var CV &gt; 0) | Equal Means", IF(AND(IFERROR(ROUND(AC161,8),0)=0, IFERROR(ROUND(AF161,8),0)&gt;0),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1" s="22" t="n">
        <v>100</v>
      </c>
      <c r="AI161" s="17" t="n">
        <v>0</v>
      </c>
      <c r="AJ161" s="31" t="str">
        <f aca="false">IF(AND(AH161&gt;0, AI161&gt;0), "Observed Flaky Test", "Non-observed Flaky Test")</f>
        <v>Non-observed Flaky Test</v>
      </c>
      <c r="AK161" s="90" t="n">
        <v>26925</v>
      </c>
      <c r="AL161" s="90" t="n">
        <v>0</v>
      </c>
      <c r="AM161" s="33" t="n">
        <f aca="false">IFERROR(AL161/AK161*100,"N/A")</f>
        <v>0</v>
      </c>
      <c r="AN161" s="90" t="n">
        <v>0</v>
      </c>
      <c r="AO161" s="90" t="n">
        <v>0</v>
      </c>
      <c r="AP161" s="35" t="str">
        <f aca="false">IFERROR(AO161/AN161*100,"N/A")</f>
        <v>N/A</v>
      </c>
      <c r="AQ161" s="45" t="str">
        <f aca="false">IF(AND(AH161&gt;0, AI161&gt;0),
    IF(ROUND(N(AK161),5)&lt;&gt;ROUND(N(AN161),5),
        IF(AND(ROUND(N(AL161),8)=0, ROUND(N(AO161),8)=0), "Group 1: Flaky | Passed (no variation: SD = 0) AND Failed (no variation: SD = 0) | Different Means",
        IF(AND(ROUND(N(AL161),8)&gt;0, ROUND(N(AO161),8)&gt;0), "Group 2: Flaky | Passed (with variation: SD &gt; 0) AND Failed (with variation: SD &gt; 0) | Different Means",
        IF(AND(ROUND(N(AL161),8)=0, ROUND(N(AO161),8)&gt;0), "Group 3: Flaky | Passed (no variation: SD = 0) AND Failed (with variation: SD &gt; 0) | Different Means",
        "Group 4: Flaky | Passed (with variation: SD &gt; 0) AND Failed (no variation: SD = 0) | Different Means"))),
        IF(AND(ROUND(N(AL161),8)=0, ROUND(N(AO161),8)=0), "Group 5: Flaky | Passed (no var SD = 0) AND Failed (no var SD = 0) | Equal Means",
        IF(AND(ROUND(N(AL161),8)&gt;0, ROUND(N(AO161),8)&gt;0), "Group 6: Flaky | Passed (with var SD &gt; 0 ) AND Failed (with var SD &gt; 0) | Equal Means",
        IF(AND(ROUND(N(AL161),8)=0, ROUND(N(AO161),8)&gt;0), "Group 7: Flaky | Passed (no var SD = 0) AND Failed (with var SD &gt; 0) | Equal Means",
        "Group 8: Flaky | Passed (with var SD &gt; 0 ) AND Failed (no var SD = 0) | Equal Means")))
    ),
    IF(AH161&gt;0,
        IF(N(AL161)&gt;0, "Group 10: Only Passed | With variation (with var SD &gt; 0)", "Group 9: Only Passed | Without variation (no var SD = 0)"),
        IF(AI161&gt;0,
            IF(N(AO161)&gt;0,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61" s="37" t="str">
        <f aca="false">IF(OR(F161="Observed Flaky Test", I161="Observed Flaky Test", S161="Observed Flaky Test", AJ161="Observed Flaky Test"), "Observed Flaky Test", "Non-observed Flaky Test")</f>
        <v>Non-observed Flaky Test</v>
      </c>
    </row>
    <row r="162" customFormat="false" ht="15.75" hidden="false" customHeight="true" outlineLevel="0" collapsed="false">
      <c r="A162" s="81" t="s">
        <v>369</v>
      </c>
      <c r="B162" s="14" t="s">
        <v>370</v>
      </c>
      <c r="C162" s="14" t="s">
        <v>371</v>
      </c>
      <c r="D162" s="15" t="n">
        <v>0</v>
      </c>
      <c r="E162" s="15" t="n">
        <v>100</v>
      </c>
      <c r="F162" s="16" t="str">
        <f aca="false">IF(AND(D162&gt;0, E162&gt;0), "Observed Flaky Test", "Non-observed Flaky Test")</f>
        <v>Non-observed Flaky Test</v>
      </c>
      <c r="G162" s="22" t="n">
        <v>0</v>
      </c>
      <c r="H162" s="22" t="n">
        <v>100</v>
      </c>
      <c r="I162" s="16" t="str">
        <f aca="false">IF(AND(G162&gt;0, H162&gt;0), "Observed Flaky Test", "Non-observed Flaky Test")</f>
        <v>Non-observed Flaky Test</v>
      </c>
      <c r="J162" s="18" t="n">
        <v>0</v>
      </c>
      <c r="K162" s="18" t="n">
        <v>0</v>
      </c>
      <c r="L162" s="19" t="str">
        <f aca="false">IFERROR(K162/J162*100,"N/A")</f>
        <v>N/A</v>
      </c>
      <c r="M162" s="18" t="n">
        <v>72.1448</v>
      </c>
      <c r="N162" s="47" t="n">
        <v>3.06833</v>
      </c>
      <c r="O162" s="20" t="n">
        <f aca="false">IFERROR(N162/M162*100,"N/A")</f>
        <v>4.25301615639658</v>
      </c>
      <c r="P162" s="54" t="str">
        <f aca="false">IF(AND(G162&gt;0, H162=0), IF(ROUND(K162,8)=0, "Group 9: Only Passed | Without variation (SD Passed = 0)", "Group 10: Only Passed | With variation (SD Passed &gt; 0)"), IF(AND(G162=0, H162&gt;0), IF(ROUND(N162,8)=0, "Group 11: Only Failed | Without variation (SD Failed = 0)", "Group 12: Only Failed | With variation (SD Failed &gt; 0)"), IF(AND(G162&gt;0, H162&gt;0), IF(ROUND(J162,5)&lt;&gt;ROUND(M162,5), IF(AND(ROUND(K162,8)=0, ROUND(N162,8)=0), "Group 1: Flaky | Passed (no variation) AND Failed (no variation) | Different Means", IF(AND(ROUND(K162,8)&gt;0, ROUND(N162,8)&gt;0), "Group 2: Flaky | Passed (with variation) AND Failed (with variation) | Different Means", IF(AND(ROUND(K162,8)=0, ROUND(N162,8)&gt;0), "Group 3: Flaky | Passed (no variation) AND Failed (with variation) | Different Means", "Group 4: Flaky | Passed (with variation) AND Failed (no variation) | Different Means"))), IF(AND(ROUND(K162,8)=0, ROUND(N162,8)=0), "Group 5: Flaky | Passed (no variation) AND Failed (no variation) | Equal Means", IF(AND(ROUND(K162,8)&gt;0, ROUND(N162,8)&gt;0), "Group 6: Flaky | Passed (with variation) AND Failed (with variation) | Equal Means", IF(AND(ROUND(K162,8)=0, ROUND(N162,8)&gt;0), "Group 7: Flaky | Passed (no variation) AND Failed (with variation) | Equal Means", "Group 8: Flaky | Passed (with variation) AND Failed (no variation) | Equal Means")))), "Invalid")))</f>
        <v>Group 12: Only Failed | With variation (SD Failed &gt; 0)</v>
      </c>
      <c r="Q162" s="22" t="n">
        <v>0</v>
      </c>
      <c r="R162" s="22" t="n">
        <v>100</v>
      </c>
      <c r="S162" s="23" t="str">
        <f aca="false">IF(AND(Q162&gt;0, R162&gt;0), "Observed Flaky Test", "Non-observed Flaky Test")</f>
        <v>Non-observed Flaky Test</v>
      </c>
      <c r="T162" s="24" t="n">
        <v>0</v>
      </c>
      <c r="U162" s="24" t="n">
        <v>0</v>
      </c>
      <c r="V162" s="25" t="str">
        <f aca="false">IFERROR(U162/T162*100,"N/A")</f>
        <v>N/A</v>
      </c>
      <c r="W162" s="22" t="n">
        <v>2303905751.57</v>
      </c>
      <c r="X162" s="24" t="n">
        <v>180222015.564467</v>
      </c>
      <c r="Y162" s="27" t="n">
        <f aca="false">IFERROR(X162/W162*100,"N/A")</f>
        <v>7.82245608101175</v>
      </c>
      <c r="Z162" s="28" t="str">
        <f aca="false">IF(AND(Q162&gt;0, R162=0), IF(IFERROR(ROUND(V162,8),0)=0, "Group 9: Only Passed | Without variation (no var CV = 0)", "Group 10: Only Passed | With variation (with var CV &gt; 0)"), IF(AND(Q162=0, R162&gt;0), IF(IFERROR(ROUND(Y162,8),0)=0, "Group 11: Only Failed | Without variation (no var CV = 0)", "Group 12: Only Failed | With variation (with var CV &gt; 0)"), IF(AND(Q162&gt;0, R162&gt;0), IF(ROUND(T162,5)&lt;&gt;ROUND(W162,5), IF(AND(IFERROR(ROUND(V162,8),0)=0, IFERROR(ROUND(Y162,8),0)=0), "Group 1: Flaky | Passed (no variation: CV = 0) AND Failed (no variation: CV = 0) | Different Means", IF(AND(IFERROR(ROUND(V162,8),0)&gt;0, IFERROR(ROUND(Y162,8),0)&gt;0), "Group 2: Flaky | Passed (with variation: CV &gt; 0) AND Failed (with variation: CV &gt; 0) | Different Means", IF(AND(IFERROR(ROUND(V162,8),0)=0, IFERROR(ROUND(Y162,8),0)&gt;0), "Group 3: Flaky | Passed (no variation: CV = 0) AND Failed (with variation: CV &gt; 0) | Different Means", "Group 4: Flaky | Passed (with variation: CV &gt; 0) AND Failed (no variation: CV = 0) | Different Means"))), IF(AND(IFERROR(ROUND(V162,8),0)=0, IFERROR(ROUND(Y162,8),0)=0), "Group 5: Flaky | Passed (no var CV = 0) AND Failed (no var CV = 0) | Equal Means", IF(AND(IFERROR(ROUND(V162,8),0)&gt;0, IFERROR(ROUND(Y162,8),0)&gt;0), "Group 6: Flaky | Passed (with var CV &gt; 0) AND Failed (with var CV &gt; 0) | Equal Means", IF(AND(IFERROR(ROUND(V162,8),0)=0, IFERROR(ROUND(Y162,8),0)&gt;0),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162" s="29" t="n">
        <v>0</v>
      </c>
      <c r="AB162" s="29" t="n">
        <v>0</v>
      </c>
      <c r="AC162" s="29" t="str">
        <f aca="false">IFERROR(AB162/AA162*100,"N/A")</f>
        <v>N/A</v>
      </c>
      <c r="AD162" s="29" t="n">
        <v>759.49184</v>
      </c>
      <c r="AE162" s="29" t="n">
        <v>39.967336</v>
      </c>
      <c r="AF162" s="29" t="n">
        <f aca="false">IFERROR(AE162/AD162*100,"N/A")</f>
        <v>5.26237859250733</v>
      </c>
      <c r="AG162" s="30" t="str">
        <f aca="false">IF(AND(Q162&gt;0, R162=0), IF(IFERROR(ROUND(AC162,8),0)=0, "Group 9: Only Passed | Without variation (no var CV = 0)", "Group 10: Only Passed | With variation (with var CV &gt; 0)"), IF(AND(Q162=0, R162&gt;0), IF(IFERROR(ROUND(AF162,8),0)=0, "Group 11: Only Failed | Without variation (no var CV = 0)", "Group 12: Only Failed | With variation (with var CV &gt; 0)"), IF(AND(Q162&gt;0, R162&gt;0), IF(ROUND(AA162,5)&lt;&gt;ROUND(AD162,5), IF(AND(IFERROR(ROUND(AC162,8),0)=0, IFERROR(ROUND(AF162,8),0)=0), "Group 1: Flaky | Passed (no variation: CV = 0) AND Failed (no variation: CV = 0) | Different Means", IF(AND(IFERROR(ROUND(AC162,8),0)&gt;0, IFERROR(ROUND(AF162,8),0)&gt;0), "Group 2: Flaky | Passed (with variation: CV &gt; 0) AND Failed (with variation: CV &gt; 0) | Different Means", IF(AND(IFERROR(ROUND(AC162,8),0)=0, IFERROR(ROUND(AF162,8),0)&gt;0), "Group 3: Flaky | Passed (no variation: CV = 0) AND Failed (with variation: CV &gt; 0) | Different Means", "Group 4: Flaky | Passed (with variation: CV &gt; 0) AND Failed (no variation: CV = 0) | Different Means"))), IF(AND(IFERROR(ROUND(AC162,8),0)=0, IFERROR(ROUND(AF162,8),0)=0), "Group 5: Flaky | Passed (no var CV = 0) AND Failed (no var CV = 0) | Equal Means", IF(AND(IFERROR(ROUND(AC162,8),0)&gt;0, IFERROR(ROUND(AF162,8),0)&gt;0), "Group 6: Flaky | Passed (with var CV &gt; 0) AND Failed (with var CV &gt; 0) | Equal Means", IF(AND(IFERROR(ROUND(AC162,8),0)=0, IFERROR(ROUND(AF162,8),0)&gt;0),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162" s="22" t="n">
        <v>0</v>
      </c>
      <c r="AI162" s="17" t="n">
        <v>100</v>
      </c>
      <c r="AJ162" s="31" t="str">
        <f aca="false">IF(AND(AH162&gt;0, AI162&gt;0), "Observed Flaky Test", "Non-observed Flaky Test")</f>
        <v>Non-observed Flaky Test</v>
      </c>
      <c r="AK162" s="90" t="n">
        <v>0</v>
      </c>
      <c r="AL162" s="90" t="n">
        <v>0</v>
      </c>
      <c r="AM162" s="33" t="str">
        <f aca="false">IFERROR(AL162/AK162*100,"N/A")</f>
        <v>N/A</v>
      </c>
      <c r="AN162" s="102" t="n">
        <v>3304184.75</v>
      </c>
      <c r="AO162" s="93" t="n">
        <v>677193.543456655</v>
      </c>
      <c r="AP162" s="35" t="n">
        <f aca="false">IFERROR(AO162/AN162*100,"N/A")</f>
        <v>20.4950266009386</v>
      </c>
      <c r="AQ162" s="36" t="str">
        <f aca="false">IF(AND(AH162&gt;0, AI162&gt;0),
    IF(ROUND(N(AK162),5)&lt;&gt;ROUND(N(AN162),5),
        IF(AND(ROUND(N(AL162),8)=0, ROUND(N(AO162),8)=0), "Group 1: Flaky | Passed (no variation: SD = 0) AND Failed (no variation: SD = 0) | Different Means",
        IF(AND(ROUND(N(AL162),8)&gt;0, ROUND(N(AO162),8)&gt;0), "Group 2: Flaky | Passed (with variation: SD &gt; 0) AND Failed (with variation: SD &gt; 0) | Different Means",
        IF(AND(ROUND(N(AL162),8)=0, ROUND(N(AO162),8)&gt;0), "Group 3: Flaky | Passed (no variation: SD = 0) AND Failed (with variation: SD &gt; 0) | Different Means",
        "Group 4: Flaky | Passed (with variation: SD &gt; 0) AND Failed (no variation: SD = 0) | Different Means"))),
        IF(AND(ROUND(N(AL162),8)=0, ROUND(N(AO162),8)=0), "Group 5: Flaky | Passed (no var SD = 0) AND Failed (no var SD = 0) | Equal Means",
        IF(AND(ROUND(N(AL162),8)&gt;0, ROUND(N(AO162),8)&gt;0), "Group 6: Flaky | Passed (with var SD &gt; 0 ) AND Failed (with var SD &gt; 0) | Equal Means",
        IF(AND(ROUND(N(AL162),8)=0, ROUND(N(AO162),8)&gt;0), "Group 7: Flaky | Passed (no var SD = 0) AND Failed (with var SD &gt; 0) | Equal Means",
        "Group 8: Flaky | Passed (with var SD &gt; 0 ) AND Failed (no var SD = 0) | Equal Means")))
    ),
    IF(AH162&gt;0,
        IF(N(AL162)&gt;0, "Group 10: Only Passed | With variation (with var SD &gt; 0)", "Group 9: Only Passed | Without variation (no var SD = 0)"),
        IF(AI162&gt;0,
            IF(N(AO162)&gt;0,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162" s="37" t="str">
        <f aca="false">IF(OR(F162="Observed Flaky Test", I162="Observed Flaky Test", S162="Observed Flaky Test", AJ162="Observed Flaky Test"), "Observed Flaky Test", "Non-observed Flaky Test")</f>
        <v>Non-observed Flaky Test</v>
      </c>
    </row>
    <row r="163" customFormat="false" ht="15.75" hidden="false" customHeight="true" outlineLevel="0" collapsed="false">
      <c r="A163" s="81" t="s">
        <v>372</v>
      </c>
      <c r="B163" s="14" t="s">
        <v>373</v>
      </c>
      <c r="C163" s="14" t="s">
        <v>374</v>
      </c>
      <c r="D163" s="15" t="n">
        <v>99</v>
      </c>
      <c r="E163" s="15" t="n">
        <v>1</v>
      </c>
      <c r="F163" s="61" t="str">
        <f aca="false">IF(AND(D163&gt;0, E163&gt;0), "Observed Flaky Test", "Non-observed Flaky Test")</f>
        <v>Observed Flaky Test</v>
      </c>
      <c r="G163" s="17" t="n">
        <v>96</v>
      </c>
      <c r="H163" s="17" t="n">
        <v>4</v>
      </c>
      <c r="I163" s="61" t="str">
        <f aca="false">IF(AND(G163&gt;0, H163&gt;0), "Observed Flaky Test", "Non-observed Flaky Test")</f>
        <v>Observed Flaky Test</v>
      </c>
      <c r="J163" s="18" t="n">
        <v>45.47</v>
      </c>
      <c r="K163" s="18" t="n">
        <v>0</v>
      </c>
      <c r="L163" s="19" t="n">
        <f aca="false">IFERROR(K163/J163*100,"N/A")</f>
        <v>0</v>
      </c>
      <c r="M163" s="18" t="n">
        <v>45.83</v>
      </c>
      <c r="N163" s="18" t="n">
        <v>0</v>
      </c>
      <c r="O163" s="20" t="n">
        <f aca="false">IFERROR(N163/M163*100,"N/A")</f>
        <v>0</v>
      </c>
      <c r="P163" s="78" t="str">
        <f aca="false">IF(AND(G163&gt;0, H163=0), IF(ROUND(K163,8)=0, "Group 9: Only Passed | Without variation (SD Passed = 0)", "Group 10: Only Passed | With variation (SD Passed &gt; 0)"), IF(AND(G163=0, H163&gt;0), IF(ROUND(N163,8)=0, "Group 11: Only Failed | Without variation (SD Failed = 0)", "Group 12: Only Failed | With variation (SD Failed &gt; 0)"), IF(AND(G163&gt;0, H163&gt;0), IF(ROUND(J163,5)&lt;&gt;ROUND(M163,5), IF(AND(ROUND(K163,8)=0, ROUND(N163,8)=0), "Group 1: Flaky | Passed (no variation) AND Failed (no variation) | Different Means", IF(AND(ROUND(K163,8)&gt;0, ROUND(N163,8)&gt;0), "Group 2: Flaky | Passed (with variation) AND Failed (with variation) | Different Means", IF(AND(ROUND(K163,8)=0, ROUND(N163,8)&gt;0), "Group 3: Flaky | Passed (no variation) AND Failed (with variation) | Different Means", "Group 4: Flaky | Passed (with variation) AND Failed (no variation) | Different Means"))), IF(AND(ROUND(K163,8)=0, ROUND(N163,8)=0), "Group 5: Flaky | Passed (no variation) AND Failed (no variation) | Equal Means", IF(AND(ROUND(K163,8)&gt;0, ROUND(N163,8)&gt;0), "Group 6: Flaky | Passed (with variation) AND Failed (with variation) | Equal Means", IF(AND(ROUND(K163,8)=0, ROUND(N163,8)&gt;0),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63" s="22" t="n">
        <v>96</v>
      </c>
      <c r="R163" s="22" t="n">
        <v>4</v>
      </c>
      <c r="S163" s="43" t="str">
        <f aca="false">IF(AND(Q163&gt;0, R163&gt;0), "Observed Flaky Test", "Non-observed Flaky Test")</f>
        <v>Observed Flaky Test</v>
      </c>
      <c r="T163" s="24" t="n">
        <v>342534.291667</v>
      </c>
      <c r="U163" s="24" t="n">
        <v>28.27419</v>
      </c>
      <c r="V163" s="25" t="n">
        <f aca="false">IFERROR(U163/T163*100,"N/A")</f>
        <v>0.00825441151085895</v>
      </c>
      <c r="W163" s="58" t="n">
        <v>401755</v>
      </c>
      <c r="X163" s="26" t="n">
        <v>62.209324</v>
      </c>
      <c r="Y163" s="27" t="n">
        <f aca="false">IFERROR(X163/W163*100,"N/A")</f>
        <v>0.0154843932247265</v>
      </c>
      <c r="Z163" s="68" t="str">
        <f aca="false">IF(AND(Q163&gt;0, R163=0), IF(IFERROR(ROUND(V163,8),0)=0, "Group 9: Only Passed | Without variation (no var CV = 0)", "Group 10: Only Passed | With variation (with var CV &gt; 0)"), IF(AND(Q163=0, R163&gt;0), IF(IFERROR(ROUND(Y163,8),0)=0, "Group 11: Only Failed | Without variation (no var CV = 0)", "Group 12: Only Failed | With variation (with var CV &gt; 0)"), IF(AND(Q163&gt;0, R163&gt;0), IF(ROUND(T163,5)&lt;&gt;ROUND(W163,5), IF(AND(IFERROR(ROUND(V163,8),0)=0, IFERROR(ROUND(Y163,8),0)=0), "Group 1: Flaky | Passed (no variation: CV = 0) AND Failed (no variation: CV = 0) | Different Means", IF(AND(IFERROR(ROUND(V163,8),0)&gt;0, IFERROR(ROUND(Y163,8),0)&gt;0), "Group 2: Flaky | Passed (with variation: CV &gt; 0) AND Failed (with variation: CV &gt; 0) | Different Means", IF(AND(IFERROR(ROUND(V163,8),0)=0, IFERROR(ROUND(Y163,8),0)&gt;0), "Group 3: Flaky | Passed (no variation: CV = 0) AND Failed (with variation: CV &gt; 0) | Different Means", "Group 4: Flaky | Passed (with variation: CV &gt; 0) AND Failed (no variation: CV = 0) | Different Means"))), IF(AND(IFERROR(ROUND(V163,8),0)=0, IFERROR(ROUND(Y163,8),0)=0), "Group 5: Flaky | Passed (no var CV = 0) AND Failed (no var CV = 0) | Equal Means", IF(AND(IFERROR(ROUND(V163,8),0)&gt;0, IFERROR(ROUND(Y163,8),0)&gt;0), "Group 6: Flaky | Passed (with var CV &gt; 0) AND Failed (with var CV &gt; 0) | Equal Means", IF(AND(IFERROR(ROUND(V163,8),0)=0, IFERROR(ROUND(Y163,8),0)&gt;0),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63" s="29" t="n">
        <v>0.271846</v>
      </c>
      <c r="AB163" s="29" t="n">
        <v>0.02854</v>
      </c>
      <c r="AC163" s="29" t="n">
        <f aca="false">IFERROR(AB163/AA163*100,"N/A")</f>
        <v>10.4985911140867</v>
      </c>
      <c r="AD163" s="29" t="n">
        <v>0.218002</v>
      </c>
      <c r="AE163" s="29" t="n">
        <v>0.003688</v>
      </c>
      <c r="AF163" s="29" t="n">
        <f aca="false">IFERROR(AE163/AD163*100,"N/A")</f>
        <v>1.69172759882937</v>
      </c>
      <c r="AG163" s="36" t="str">
        <f aca="false">IF(AND(Q163&gt;0, R163=0), IF(IFERROR(ROUND(AC163,8),0)=0, "Group 9: Only Passed | Without variation (no var CV = 0)", "Group 10: Only Passed | With variation (with var CV &gt; 0)"), IF(AND(Q163=0, R163&gt;0), IF(IFERROR(ROUND(AF163,8),0)=0, "Group 11: Only Failed | Without variation (no var CV = 0)", "Group 12: Only Failed | With variation (with var CV &gt; 0)"), IF(AND(Q163&gt;0, R163&gt;0), IF(ROUND(AA163,5)&lt;&gt;ROUND(AD163,5), IF(AND(IFERROR(ROUND(AC163,8),0)=0, IFERROR(ROUND(AF163,8),0)=0), "Group 1: Flaky | Passed (no variation: CV = 0) AND Failed (no variation: CV = 0) | Different Means", IF(AND(IFERROR(ROUND(AC163,8),0)&gt;0, IFERROR(ROUND(AF163,8),0)&gt;0), "Group 2: Flaky | Passed (with variation: CV &gt; 0) AND Failed (with variation: CV &gt; 0) | Different Means", IF(AND(IFERROR(ROUND(AC163,8),0)=0, IFERROR(ROUND(AF163,8),0)&gt;0), "Group 3: Flaky | Passed (no variation: CV = 0) AND Failed (with variation: CV &gt; 0) | Different Means", "Group 4: Flaky | Passed (with variation: CV &gt; 0) AND Failed (no variation: CV = 0) | Different Means"))), IF(AND(IFERROR(ROUND(AC163,8),0)=0, IFERROR(ROUND(AF163,8),0)=0), "Group 5: Flaky | Passed (no var CV = 0) AND Failed (no var CV = 0) | Equal Means", IF(AND(IFERROR(ROUND(AC163,8),0)&gt;0, IFERROR(ROUND(AF163,8),0)&gt;0), "Group 6: Flaky | Passed (with var CV &gt; 0) AND Failed (with var CV &gt; 0) | Equal Means", IF(AND(IFERROR(ROUND(AC163,8),0)=0, IFERROR(ROUND(AF163,8),0)&gt;0),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63" s="22" t="n">
        <v>98</v>
      </c>
      <c r="AI163" s="17" t="n">
        <v>2</v>
      </c>
      <c r="AJ163" s="39" t="str">
        <f aca="false">IF(AND(AH163&gt;0, AI163&gt;0), "Observed Flaky Test", "Non-observed Flaky Test")</f>
        <v>Observed Flaky Test</v>
      </c>
      <c r="AK163" s="90" t="n">
        <v>29460</v>
      </c>
      <c r="AL163" s="90" t="n">
        <v>0</v>
      </c>
      <c r="AM163" s="33" t="n">
        <f aca="false">IFERROR(AL163/AK163*100,"N/A")</f>
        <v>0</v>
      </c>
      <c r="AN163" s="90" t="n">
        <v>30834</v>
      </c>
      <c r="AO163" s="90" t="n">
        <v>0</v>
      </c>
      <c r="AP163" s="35" t="n">
        <f aca="false">IFERROR(AO163/AN163*100,"N/A")</f>
        <v>0</v>
      </c>
      <c r="AQ163" s="85" t="str">
        <f aca="false">IF(AND(AH163&gt;0, AI163&gt;0),
    IF(ROUND(N(AK163),5)&lt;&gt;ROUND(N(AN163),5),
        IF(AND(ROUND(N(AL163),8)=0, ROUND(N(AO163),8)=0), "Group 1: Flaky | Passed (no variation: SD = 0) AND Failed (no variation: SD = 0) | Different Means",
        IF(AND(ROUND(N(AL163),8)&gt;0, ROUND(N(AO163),8)&gt;0), "Group 2: Flaky | Passed (with variation: SD &gt; 0) AND Failed (with variation: SD &gt; 0) | Different Means",
        IF(AND(ROUND(N(AL163),8)=0, ROUND(N(AO163),8)&gt;0), "Group 3: Flaky | Passed (no variation: SD = 0) AND Failed (with variation: SD &gt; 0) | Different Means",
        "Group 4: Flaky | Passed (with variation: SD &gt; 0) AND Failed (no variation: SD = 0) | Different Means"))),
        IF(AND(ROUND(N(AL163),8)=0, ROUND(N(AO163),8)=0), "Group 5: Flaky | Passed (no var SD = 0) AND Failed (no var SD = 0) | Equal Means",
        IF(AND(ROUND(N(AL163),8)&gt;0, ROUND(N(AO163),8)&gt;0), "Group 6: Flaky | Passed (with var SD &gt; 0 ) AND Failed (with var SD &gt; 0) | Equal Means",
        IF(AND(ROUND(N(AL163),8)=0, ROUND(N(AO163),8)&gt;0), "Group 7: Flaky | Passed (no var SD = 0) AND Failed (with var SD &gt; 0) | Equal Means",
        "Group 8: Flaky | Passed (with var SD &gt; 0 ) AND Failed (no var SD = 0) | Equal Means")))
    ),
    IF(AH163&gt;0,
        IF(N(AL163)&gt;0, "Group 10: Only Passed | With variation (with var SD &gt; 0)", "Group 9: Only Passed | Without variation (no var SD = 0)"),
        IF(AI163&gt;0,
            IF(N(AO163)&gt;0,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63" s="42" t="str">
        <f aca="false">IF(OR(F163="Observed Flaky Test", I163="Observed Flaky Test", S163="Observed Flaky Test", AJ163="Observed Flaky Test"), "Observed Flaky Test", "Non-observed Flaky Test")</f>
        <v>Observed Flaky Test</v>
      </c>
    </row>
    <row r="164" customFormat="false" ht="15.75" hidden="false" customHeight="true" outlineLevel="0" collapsed="false">
      <c r="A164" s="81" t="s">
        <v>375</v>
      </c>
      <c r="B164" s="14" t="s">
        <v>376</v>
      </c>
      <c r="C164" s="14" t="s">
        <v>377</v>
      </c>
      <c r="D164" s="15" t="n">
        <v>97</v>
      </c>
      <c r="E164" s="15" t="n">
        <v>3</v>
      </c>
      <c r="F164" s="61" t="str">
        <f aca="false">IF(AND(D164&gt;0, E164&gt;0), "Observed Flaky Test", "Non-observed Flaky Test")</f>
        <v>Observed Flaky Test</v>
      </c>
      <c r="G164" s="22" t="n">
        <v>100</v>
      </c>
      <c r="H164" s="22" t="n">
        <v>0</v>
      </c>
      <c r="I164" s="16" t="str">
        <f aca="false">IF(AND(G164&gt;0, H164&gt;0), "Observed Flaky Test", "Non-observed Flaky Test")</f>
        <v>Non-observed Flaky Test</v>
      </c>
      <c r="J164" s="53" t="n">
        <v>29.8087</v>
      </c>
      <c r="K164" s="53" t="n">
        <v>0.090826</v>
      </c>
      <c r="L164" s="19" t="n">
        <f aca="false">IFERROR(K164/J164*100,"N/A")</f>
        <v>0.304696279945117</v>
      </c>
      <c r="M164" s="18" t="n">
        <v>0</v>
      </c>
      <c r="N164" s="18" t="n">
        <v>0</v>
      </c>
      <c r="O164" s="20" t="str">
        <f aca="false">IFERROR(N164/M164*100,"N/A")</f>
        <v>N/A</v>
      </c>
      <c r="P164" s="48" t="str">
        <f aca="false">IF(AND(G164&gt;0, H164=0), IF(ROUND(K164,8)=0, "Group 9: Only Passed | Without variation (SD Passed = 0)", "Group 10: Only Passed | With variation (SD Passed &gt; 0)"), IF(AND(G164=0, H164&gt;0), IF(ROUND(N164,8)=0, "Group 11: Only Failed | Without variation (SD Failed = 0)", "Group 12: Only Failed | With variation (SD Failed &gt; 0)"), IF(AND(G164&gt;0, H164&gt;0), IF(ROUND(J164,5)&lt;&gt;ROUND(M164,5), IF(AND(ROUND(K164,8)=0, ROUND(N164,8)=0), "Group 1: Flaky | Passed (no variation) AND Failed (no variation) | Different Means", IF(AND(ROUND(K164,8)&gt;0, ROUND(N164,8)&gt;0), "Group 2: Flaky | Passed (with variation) AND Failed (with variation) | Different Means", IF(AND(ROUND(K164,8)=0, ROUND(N164,8)&gt;0), "Group 3: Flaky | Passed (no variation) AND Failed (with variation) | Different Means", "Group 4: Flaky | Passed (with variation) AND Failed (no variation) | Different Means"))), IF(AND(ROUND(K164,8)=0, ROUND(N164,8)=0), "Group 5: Flaky | Passed (no variation) AND Failed (no variation) | Equal Means", IF(AND(ROUND(K164,8)&gt;0, ROUND(N164,8)&gt;0), "Group 6: Flaky | Passed (with variation) AND Failed (with variation) | Equal Means", IF(AND(ROUND(K164,8)=0, ROUND(N164,8)&gt;0),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164" s="22" t="n">
        <v>98</v>
      </c>
      <c r="R164" s="22" t="n">
        <v>2</v>
      </c>
      <c r="S164" s="43" t="str">
        <f aca="false">IF(AND(Q164&gt;0, R164&gt;0), "Observed Flaky Test", "Non-observed Flaky Test")</f>
        <v>Observed Flaky Test</v>
      </c>
      <c r="T164" s="24" t="n">
        <v>474667.102041</v>
      </c>
      <c r="U164" s="75" t="n">
        <v>1294.8277</v>
      </c>
      <c r="V164" s="25" t="n">
        <f aca="false">IFERROR(U164/T164*100,"N/A")</f>
        <v>0.272786484345013</v>
      </c>
      <c r="W164" s="58" t="n">
        <v>612996</v>
      </c>
      <c r="X164" s="24" t="n">
        <v>51389.69243</v>
      </c>
      <c r="Y164" s="27" t="n">
        <f aca="false">IFERROR(X164/W164*100,"N/A")</f>
        <v>8.38336505132171</v>
      </c>
      <c r="Z164" s="68" t="str">
        <f aca="false">IF(AND(Q164&gt;0, R164=0), IF(IFERROR(ROUND(V164,8),0)=0, "Group 9: Only Passed | Without variation (no var CV = 0)", "Group 10: Only Passed | With variation (with var CV &gt; 0)"), IF(AND(Q164=0, R164&gt;0), IF(IFERROR(ROUND(Y164,8),0)=0, "Group 11: Only Failed | Without variation (no var CV = 0)", "Group 12: Only Failed | With variation (with var CV &gt; 0)"), IF(AND(Q164&gt;0, R164&gt;0), IF(ROUND(T164,5)&lt;&gt;ROUND(W164,5), IF(AND(IFERROR(ROUND(V164,8),0)=0, IFERROR(ROUND(Y164,8),0)=0), "Group 1: Flaky | Passed (no variation: CV = 0) AND Failed (no variation: CV = 0) | Different Means", IF(AND(IFERROR(ROUND(V164,8),0)&gt;0, IFERROR(ROUND(Y164,8),0)&gt;0), "Group 2: Flaky | Passed (with variation: CV &gt; 0) AND Failed (with variation: CV &gt; 0) | Different Means", IF(AND(IFERROR(ROUND(V164,8),0)=0, IFERROR(ROUND(Y164,8),0)&gt;0), "Group 3: Flaky | Passed (no variation: CV = 0) AND Failed (with variation: CV &gt; 0) | Different Means", "Group 4: Flaky | Passed (with variation: CV &gt; 0) AND Failed (no variation: CV = 0) | Different Means"))), IF(AND(IFERROR(ROUND(V164,8),0)=0, IFERROR(ROUND(Y164,8),0)=0), "Group 5: Flaky | Passed (no var CV = 0) AND Failed (no var CV = 0) | Equal Means", IF(AND(IFERROR(ROUND(V164,8),0)&gt;0, IFERROR(ROUND(Y164,8),0)&gt;0), "Group 6: Flaky | Passed (with var CV &gt; 0) AND Failed (with var CV &gt; 0) | Equal Means", IF(AND(IFERROR(ROUND(V164,8),0)=0, IFERROR(ROUND(Y164,8),0)&gt;0),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64" s="29" t="n">
        <v>0.273296</v>
      </c>
      <c r="AB164" s="29" t="n">
        <v>0.011475</v>
      </c>
      <c r="AC164" s="29" t="n">
        <f aca="false">IFERROR(AB164/AA164*100,"N/A")</f>
        <v>4.19874421872256</v>
      </c>
      <c r="AD164" s="29" t="n">
        <v>0.298943</v>
      </c>
      <c r="AE164" s="29" t="n">
        <v>0.025621</v>
      </c>
      <c r="AF164" s="29" t="n">
        <f aca="false">IFERROR(AE164/AD164*100,"N/A")</f>
        <v>8.57053016795844</v>
      </c>
      <c r="AG164" s="36" t="str">
        <f aca="false">IF(AND(Q164&gt;0, R164=0), IF(IFERROR(ROUND(AC164,8),0)=0, "Group 9: Only Passed | Without variation (no var CV = 0)", "Group 10: Only Passed | With variation (with var CV &gt; 0)"), IF(AND(Q164=0, R164&gt;0), IF(IFERROR(ROUND(AF164,8),0)=0, "Group 11: Only Failed | Without variation (no var CV = 0)", "Group 12: Only Failed | With variation (with var CV &gt; 0)"), IF(AND(Q164&gt;0, R164&gt;0), IF(ROUND(AA164,5)&lt;&gt;ROUND(AD164,5), IF(AND(IFERROR(ROUND(AC164,8),0)=0, IFERROR(ROUND(AF164,8),0)=0), "Group 1: Flaky | Passed (no variation: CV = 0) AND Failed (no variation: CV = 0) | Different Means", IF(AND(IFERROR(ROUND(AC164,8),0)&gt;0, IFERROR(ROUND(AF164,8),0)&gt;0), "Group 2: Flaky | Passed (with variation: CV &gt; 0) AND Failed (with variation: CV &gt; 0) | Different Means", IF(AND(IFERROR(ROUND(AC164,8),0)=0, IFERROR(ROUND(AF164,8),0)&gt;0), "Group 3: Flaky | Passed (no variation: CV = 0) AND Failed (with variation: CV &gt; 0) | Different Means", "Group 4: Flaky | Passed (with variation: CV &gt; 0) AND Failed (no variation: CV = 0) | Different Means"))), IF(AND(IFERROR(ROUND(AC164,8),0)=0, IFERROR(ROUND(AF164,8),0)=0), "Group 5: Flaky | Passed (no var CV = 0) AND Failed (no var CV = 0) | Equal Means", IF(AND(IFERROR(ROUND(AC164,8),0)&gt;0, IFERROR(ROUND(AF164,8),0)&gt;0), "Group 6: Flaky | Passed (with var CV &gt; 0) AND Failed (with var CV &gt; 0) | Equal Means", IF(AND(IFERROR(ROUND(AC164,8),0)=0, IFERROR(ROUND(AF164,8),0)&gt;0),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64" s="22" t="n">
        <v>98</v>
      </c>
      <c r="AI164" s="17" t="n">
        <v>2</v>
      </c>
      <c r="AJ164" s="39" t="str">
        <f aca="false">IF(AND(AH164&gt;0, AI164&gt;0), "Observed Flaky Test", "Non-observed Flaky Test")</f>
        <v>Observed Flaky Test</v>
      </c>
      <c r="AK164" s="93" t="n">
        <v>186360.265306122</v>
      </c>
      <c r="AL164" s="20" t="n">
        <v>38272.2324336412</v>
      </c>
      <c r="AM164" s="33" t="n">
        <f aca="false">IFERROR(AL164/AK164*100,"N/A")</f>
        <v>20.5366913224629</v>
      </c>
      <c r="AN164" s="90" t="n">
        <v>106429</v>
      </c>
      <c r="AO164" s="20" t="n">
        <v>36816.2216692587</v>
      </c>
      <c r="AP164" s="35" t="n">
        <f aca="false">IFERROR(AO164/AN164*100,"N/A")</f>
        <v>34.5922837471542</v>
      </c>
      <c r="AQ164" s="63" t="str">
        <f aca="false">IF(AND(AH164&gt;0, AI164&gt;0),
    IF(ROUND(N(AK164),5)&lt;&gt;ROUND(N(AN164),5),
        IF(AND(ROUND(N(AL164),8)=0, ROUND(N(AO164),8)=0), "Group 1: Flaky | Passed (no variation: SD = 0) AND Failed (no variation: SD = 0) | Different Means",
        IF(AND(ROUND(N(AL164),8)&gt;0, ROUND(N(AO164),8)&gt;0), "Group 2: Flaky | Passed (with variation: SD &gt; 0) AND Failed (with variation: SD &gt; 0) | Different Means",
        IF(AND(ROUND(N(AL164),8)=0, ROUND(N(AO164),8)&gt;0), "Group 3: Flaky | Passed (no variation: SD = 0) AND Failed (with variation: SD &gt; 0) | Different Means",
        "Group 4: Flaky | Passed (with variation: SD &gt; 0) AND Failed (no variation: SD = 0) | Different Means"))),
        IF(AND(ROUND(N(AL164),8)=0, ROUND(N(AO164),8)=0), "Group 5: Flaky | Passed (no var SD = 0) AND Failed (no var SD = 0) | Equal Means",
        IF(AND(ROUND(N(AL164),8)&gt;0, ROUND(N(AO164),8)&gt;0), "Group 6: Flaky | Passed (with var SD &gt; 0 ) AND Failed (with var SD &gt; 0) | Equal Means",
        IF(AND(ROUND(N(AL164),8)=0, ROUND(N(AO164),8)&gt;0), "Group 7: Flaky | Passed (no var SD = 0) AND Failed (with var SD &gt; 0) | Equal Means",
        "Group 8: Flaky | Passed (with var SD &gt; 0 ) AND Failed (no var SD = 0) | Equal Means")))
    ),
    IF(AH164&gt;0,
        IF(N(AL164)&gt;0, "Group 10: Only Passed | With variation (with var SD &gt; 0)", "Group 9: Only Passed | Without variation (no var SD = 0)"),
        IF(AI164&gt;0,
            IF(N(AO164)&gt;0,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64" s="42" t="str">
        <f aca="false">IF(OR(F164="Observed Flaky Test", I164="Observed Flaky Test", S164="Observed Flaky Test", AJ164="Observed Flaky Test"), "Observed Flaky Test", "Non-observed Flaky Test")</f>
        <v>Observed Flaky Test</v>
      </c>
    </row>
    <row r="165" customFormat="false" ht="39" hidden="false" customHeight="true" outlineLevel="0" collapsed="false">
      <c r="A165" s="81" t="s">
        <v>378</v>
      </c>
      <c r="B165" s="14" t="s">
        <v>379</v>
      </c>
      <c r="C165" s="14" t="s">
        <v>380</v>
      </c>
      <c r="D165" s="15" t="n">
        <v>100</v>
      </c>
      <c r="E165" s="15" t="n">
        <v>0</v>
      </c>
      <c r="F165" s="16" t="str">
        <f aca="false">IF(AND(D165&gt;0, E165&gt;0), "Observed Flaky Test", "Non-observed Flaky Test")</f>
        <v>Non-observed Flaky Test</v>
      </c>
      <c r="G165" s="17" t="n">
        <v>40</v>
      </c>
      <c r="H165" s="17" t="n">
        <v>60</v>
      </c>
      <c r="I165" s="61" t="str">
        <f aca="false">IF(AND(G165&gt;0, H165&gt;0), "Observed Flaky Test", "Non-observed Flaky Test")</f>
        <v>Observed Flaky Test</v>
      </c>
      <c r="J165" s="18" t="n">
        <v>79.07</v>
      </c>
      <c r="K165" s="18" t="n">
        <v>0</v>
      </c>
      <c r="L165" s="19" t="n">
        <f aca="false">IFERROR(K165/J165*100,"N/A")</f>
        <v>0</v>
      </c>
      <c r="M165" s="18" t="n">
        <v>72.09</v>
      </c>
      <c r="N165" s="18" t="n">
        <v>0</v>
      </c>
      <c r="O165" s="20" t="n">
        <f aca="false">IFERROR(N165/M165*100,"N/A")</f>
        <v>0</v>
      </c>
      <c r="P165" s="78" t="str">
        <f aca="false">IF(AND(G165&gt;0, H165=0), IF(ROUND(K165,8)=0, "Group 9: Only Passed | Without variation (SD Passed = 0)", "Group 10: Only Passed | With variation (SD Passed &gt; 0)"), IF(AND(G165=0, H165&gt;0), IF(ROUND(N165,8)=0, "Group 11: Only Failed | Without variation (SD Failed = 0)", "Group 12: Only Failed | With variation (SD Failed &gt; 0)"), IF(AND(G165&gt;0, H165&gt;0), IF(ROUND(J165,5)&lt;&gt;ROUND(M165,5), IF(AND(ROUND(K165,8)=0, ROUND(N165,8)=0), "Group 1: Flaky | Passed (no variation) AND Failed (no variation) | Different Means", IF(AND(ROUND(K165,8)&gt;0, ROUND(N165,8)&gt;0), "Group 2: Flaky | Passed (with variation) AND Failed (with variation) | Different Means", IF(AND(ROUND(K165,8)=0, ROUND(N165,8)&gt;0), "Group 3: Flaky | Passed (no variation) AND Failed (with variation) | Different Means", "Group 4: Flaky | Passed (with variation) AND Failed (no variation) | Different Means"))), IF(AND(ROUND(K165,8)=0, ROUND(N165,8)=0), "Group 5: Flaky | Passed (no variation) AND Failed (no variation) | Equal Means", IF(AND(ROUND(K165,8)&gt;0, ROUND(N165,8)&gt;0), "Group 6: Flaky | Passed (with variation) AND Failed (with variation) | Equal Means", IF(AND(ROUND(K165,8)=0, ROUND(N165,8)&gt;0),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65" s="49" t="n">
        <v>100</v>
      </c>
      <c r="R165" s="22" t="n">
        <v>0</v>
      </c>
      <c r="S165" s="23" t="str">
        <f aca="false">IF(AND(Q165&gt;0, R165&gt;0), "Observed Flaky Test", "Non-observed Flaky Test")</f>
        <v>Non-observed Flaky Test</v>
      </c>
      <c r="T165" s="22" t="n">
        <v>658986.68</v>
      </c>
      <c r="U165" s="24" t="n">
        <v>1032.487081</v>
      </c>
      <c r="V165" s="25" t="n">
        <f aca="false">IFERROR(U165/T165*100,"N/A")</f>
        <v>0.156677989454961</v>
      </c>
      <c r="W165" s="22" t="n">
        <v>0</v>
      </c>
      <c r="X165" s="22" t="n">
        <v>0</v>
      </c>
      <c r="Y165" s="27" t="str">
        <f aca="false">IFERROR(X165/W165*100,"N/A")</f>
        <v>N/A</v>
      </c>
      <c r="Z165" s="50" t="str">
        <f aca="false">IF(AND(Q165&gt;0, R165=0), IF(IFERROR(ROUND(V165,8),0)=0, "Group 9: Only Passed | Without variation (no var CV = 0)", "Group 10: Only Passed | With variation (with var CV &gt; 0)"), IF(AND(Q165=0, R165&gt;0), IF(IFERROR(ROUND(Y165,8),0)=0, "Group 11: Only Failed | Without variation (no var CV = 0)", "Group 12: Only Failed | With variation (with var CV &gt; 0)"), IF(AND(Q165&gt;0, R165&gt;0), IF(ROUND(T165,5)&lt;&gt;ROUND(W165,5), IF(AND(IFERROR(ROUND(V165,8),0)=0, IFERROR(ROUND(Y165,8),0)=0), "Group 1: Flaky | Passed (no variation: CV = 0) AND Failed (no variation: CV = 0) | Different Means", IF(AND(IFERROR(ROUND(V165,8),0)&gt;0, IFERROR(ROUND(Y165,8),0)&gt;0), "Group 2: Flaky | Passed (with variation: CV &gt; 0) AND Failed (with variation: CV &gt; 0) | Different Means", IF(AND(IFERROR(ROUND(V165,8),0)=0, IFERROR(ROUND(Y165,8),0)&gt;0), "Group 3: Flaky | Passed (no variation: CV = 0) AND Failed (with variation: CV &gt; 0) | Different Means", "Group 4: Flaky | Passed (with variation: CV &gt; 0) AND Failed (no variation: CV = 0) | Different Means"))), IF(AND(IFERROR(ROUND(V165,8),0)=0, IFERROR(ROUND(Y165,8),0)=0), "Group 5: Flaky | Passed (no var CV = 0) AND Failed (no var CV = 0) | Equal Means", IF(AND(IFERROR(ROUND(V165,8),0)&gt;0, IFERROR(ROUND(Y165,8),0)&gt;0), "Group 6: Flaky | Passed (with var CV &gt; 0) AND Failed (with var CV &gt; 0) | Equal Means", IF(AND(IFERROR(ROUND(V165,8),0)=0, IFERROR(ROUND(Y165,8),0)&gt;0),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5" s="29" t="n">
        <v>648.398978</v>
      </c>
      <c r="AB165" s="29" t="n">
        <v>2059.777632</v>
      </c>
      <c r="AC165" s="29" t="n">
        <f aca="false">IFERROR(AB165/AA165*100,"N/A")</f>
        <v>317.671326125995</v>
      </c>
      <c r="AD165" s="29" t="n">
        <v>0</v>
      </c>
      <c r="AE165" s="29" t="n">
        <v>0</v>
      </c>
      <c r="AF165" s="29" t="str">
        <f aca="false">IFERROR(AE165/AD165*100,"N/A")</f>
        <v>N/A</v>
      </c>
      <c r="AG165" s="51" t="str">
        <f aca="false">IF(AND(Q165&gt;0, R165=0), IF(IFERROR(ROUND(AC165,8),0)=0, "Group 9: Only Passed | Without variation (no var CV = 0)", "Group 10: Only Passed | With variation (with var CV &gt; 0)"), IF(AND(Q165=0, R165&gt;0), IF(IFERROR(ROUND(AF165,8),0)=0, "Group 11: Only Failed | Without variation (no var CV = 0)", "Group 12: Only Failed | With variation (with var CV &gt; 0)"), IF(AND(Q165&gt;0, R165&gt;0), IF(ROUND(AA165,5)&lt;&gt;ROUND(AD165,5), IF(AND(IFERROR(ROUND(AC165,8),0)=0, IFERROR(ROUND(AF165,8),0)=0), "Group 1: Flaky | Passed (no variation: CV = 0) AND Failed (no variation: CV = 0) | Different Means", IF(AND(IFERROR(ROUND(AC165,8),0)&gt;0, IFERROR(ROUND(AF165,8),0)&gt;0), "Group 2: Flaky | Passed (with variation: CV &gt; 0) AND Failed (with variation: CV &gt; 0) | Different Means", IF(AND(IFERROR(ROUND(AC165,8),0)=0, IFERROR(ROUND(AF165,8),0)&gt;0), "Group 3: Flaky | Passed (no variation: CV = 0) AND Failed (with variation: CV &gt; 0) | Different Means", "Group 4: Flaky | Passed (with variation: CV &gt; 0) AND Failed (no variation: CV = 0) | Different Means"))), IF(AND(IFERROR(ROUND(AC165,8),0)=0, IFERROR(ROUND(AF165,8),0)=0), "Group 5: Flaky | Passed (no var CV = 0) AND Failed (no var CV = 0) | Equal Means", IF(AND(IFERROR(ROUND(AC165,8),0)&gt;0, IFERROR(ROUND(AF165,8),0)&gt;0), "Group 6: Flaky | Passed (with var CV &gt; 0) AND Failed (with var CV &gt; 0) | Equal Means", IF(AND(IFERROR(ROUND(AC165,8),0)=0, IFERROR(ROUND(AF165,8),0)&gt;0),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5" s="22" t="n">
        <v>97</v>
      </c>
      <c r="AI165" s="17" t="n">
        <v>3</v>
      </c>
      <c r="AJ165" s="39" t="str">
        <f aca="false">IF(AND(AH165&gt;0, AI165&gt;0), "Observed Flaky Test", "Non-observed Flaky Test")</f>
        <v>Observed Flaky Test</v>
      </c>
      <c r="AK165" s="90" t="n">
        <v>1395</v>
      </c>
      <c r="AL165" s="90" t="n">
        <v>0</v>
      </c>
      <c r="AM165" s="33" t="n">
        <f aca="false">IFERROR(AL165/AK165*100,"N/A")</f>
        <v>0</v>
      </c>
      <c r="AN165" s="100" t="n">
        <v>1253.33333333333</v>
      </c>
      <c r="AO165" s="94" t="n">
        <v>179.555933717973</v>
      </c>
      <c r="AP165" s="35" t="n">
        <f aca="false">IFERROR(AO165/AN165*100,"N/A")</f>
        <v>14.3262713072851</v>
      </c>
      <c r="AQ165" s="41" t="str">
        <f aca="false">IF(AND(AH165&gt;0, AI165&gt;0),
    IF(ROUND(N(AK165),5)&lt;&gt;ROUND(N(AN165),5),
        IF(AND(ROUND(N(AL165),8)=0, ROUND(N(AO165),8)=0), "Group 1: Flaky | Passed (no variation: SD = 0) AND Failed (no variation: SD = 0) | Different Means",
        IF(AND(ROUND(N(AL165),8)&gt;0, ROUND(N(AO165),8)&gt;0), "Group 2: Flaky | Passed (with variation: SD &gt; 0) AND Failed (with variation: SD &gt; 0) | Different Means",
        IF(AND(ROUND(N(AL165),8)=0, ROUND(N(AO165),8)&gt;0), "Group 3: Flaky | Passed (no variation: SD = 0) AND Failed (with variation: SD &gt; 0) | Different Means",
        "Group 4: Flaky | Passed (with variation: SD &gt; 0) AND Failed (no variation: SD = 0) | Different Means"))),
        IF(AND(ROUND(N(AL165),8)=0, ROUND(N(AO165),8)=0), "Group 5: Flaky | Passed (no var SD = 0) AND Failed (no var SD = 0) | Equal Means",
        IF(AND(ROUND(N(AL165),8)&gt;0, ROUND(N(AO165),8)&gt;0), "Group 6: Flaky | Passed (with var SD &gt; 0 ) AND Failed (with var SD &gt; 0) | Equal Means",
        IF(AND(ROUND(N(AL165),8)=0, ROUND(N(AO165),8)&gt;0), "Group 7: Flaky | Passed (no var SD = 0) AND Failed (with var SD &gt; 0) | Equal Means",
        "Group 8: Flaky | Passed (with var SD &gt; 0 ) AND Failed (no var SD = 0) | Equal Means")))
    ),
    IF(AH165&gt;0,
        IF(N(AL165)&gt;0, "Group 10: Only Passed | With variation (with var SD &gt; 0)", "Group 9: Only Passed | Without variation (no var SD = 0)"),
        IF(AI165&gt;0,
            IF(N(AO165)&gt;0,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165" s="42" t="str">
        <f aca="false">IF(OR(F165="Observed Flaky Test", I165="Observed Flaky Test", S165="Observed Flaky Test", AJ165="Observed Flaky Test"), "Observed Flaky Test", "Non-observed Flaky Test")</f>
        <v>Observed Flaky Test</v>
      </c>
    </row>
    <row r="166" customFormat="false" ht="15.75" hidden="false" customHeight="true" outlineLevel="0" collapsed="false">
      <c r="A166" s="81"/>
      <c r="B166" s="14" t="s">
        <v>381</v>
      </c>
      <c r="C166" s="14" t="s">
        <v>382</v>
      </c>
      <c r="D166" s="15" t="n">
        <v>100</v>
      </c>
      <c r="E166" s="15" t="n">
        <v>0</v>
      </c>
      <c r="F166" s="16" t="str">
        <f aca="false">IF(AND(D166&gt;0, E166&gt;0), "Observed Flaky Test", "Non-observed Flaky Test")</f>
        <v>Non-observed Flaky Test</v>
      </c>
      <c r="G166" s="22" t="n">
        <v>100</v>
      </c>
      <c r="H166" s="22" t="n">
        <v>0</v>
      </c>
      <c r="I166" s="16" t="str">
        <f aca="false">IF(AND(G166&gt;0, H166&gt;0), "Observed Flaky Test", "Non-observed Flaky Test")</f>
        <v>Non-observed Flaky Test</v>
      </c>
      <c r="J166" s="18" t="n">
        <v>60.47</v>
      </c>
      <c r="K166" s="18" t="n">
        <v>0</v>
      </c>
      <c r="L166" s="19" t="n">
        <f aca="false">IFERROR(K166/J166*100,"N/A")</f>
        <v>0</v>
      </c>
      <c r="M166" s="18" t="n">
        <v>0</v>
      </c>
      <c r="N166" s="18" t="n">
        <v>0</v>
      </c>
      <c r="O166" s="20" t="str">
        <f aca="false">IFERROR(N166/M166*100,"N/A")</f>
        <v>N/A</v>
      </c>
      <c r="P166" s="56" t="str">
        <f aca="false">IF(AND(G166&gt;0, H166=0), IF(ROUND(K166,8)=0, "Group 9: Only Passed | Without variation (SD Passed = 0)", "Group 10: Only Passed | With variation (SD Passed &gt; 0)"), IF(AND(G166=0, H166&gt;0), IF(ROUND(N166,8)=0, "Group 11: Only Failed | Without variation (SD Failed = 0)", "Group 12: Only Failed | With variation (SD Failed &gt; 0)"), IF(AND(G166&gt;0, H166&gt;0), IF(ROUND(J166,5)&lt;&gt;ROUND(M166,5), IF(AND(ROUND(K166,8)=0, ROUND(N166,8)=0), "Group 1: Flaky | Passed (no variation) AND Failed (no variation) | Different Means", IF(AND(ROUND(K166,8)&gt;0, ROUND(N166,8)&gt;0), "Group 2: Flaky | Passed (with variation) AND Failed (with variation) | Different Means", IF(AND(ROUND(K166,8)=0, ROUND(N166,8)&gt;0), "Group 3: Flaky | Passed (no variation) AND Failed (with variation) | Different Means", "Group 4: Flaky | Passed (with variation) AND Failed (no variation) | Different Means"))), IF(AND(ROUND(K166,8)=0, ROUND(N166,8)=0), "Group 5: Flaky | Passed (no variation) AND Failed (no variation) | Equal Means", IF(AND(ROUND(K166,8)&gt;0, ROUND(N166,8)&gt;0), "Group 6: Flaky | Passed (with variation) AND Failed (with variation) | Equal Means", IF(AND(ROUND(K166,8)=0, ROUND(N166,8)&gt;0),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66" s="17" t="n">
        <v>100</v>
      </c>
      <c r="R166" s="17" t="n">
        <v>0</v>
      </c>
      <c r="S166" s="23" t="str">
        <f aca="false">IF(AND(Q166&gt;0, R166&gt;0), "Observed Flaky Test", "Non-observed Flaky Test")</f>
        <v>Non-observed Flaky Test</v>
      </c>
      <c r="T166" s="22" t="n">
        <v>628437.15</v>
      </c>
      <c r="U166" s="24" t="n">
        <v>794.808768</v>
      </c>
      <c r="V166" s="25" t="n">
        <f aca="false">IFERROR(U166/T166*100,"N/A")</f>
        <v>0.126473867434476</v>
      </c>
      <c r="W166" s="22" t="n">
        <v>0</v>
      </c>
      <c r="X166" s="22" t="n">
        <v>0</v>
      </c>
      <c r="Y166" s="27" t="str">
        <f aca="false">IFERROR(X166/W166*100,"N/A")</f>
        <v>N/A</v>
      </c>
      <c r="Z166" s="50" t="str">
        <f aca="false">IF(AND(Q166&gt;0, R166=0), IF(IFERROR(ROUND(V166,8),0)=0, "Group 9: Only Passed | Without variation (no var CV = 0)", "Group 10: Only Passed | With variation (with var CV &gt; 0)"), IF(AND(Q166=0, R166&gt;0), IF(IFERROR(ROUND(Y166,8),0)=0, "Group 11: Only Failed | Without variation (no var CV = 0)", "Group 12: Only Failed | With variation (with var CV &gt; 0)"), IF(AND(Q166&gt;0, R166&gt;0), IF(ROUND(T166,5)&lt;&gt;ROUND(W166,5), IF(AND(IFERROR(ROUND(V166,8),0)=0, IFERROR(ROUND(Y166,8),0)=0), "Group 1: Flaky | Passed (no variation: CV = 0) AND Failed (no variation: CV = 0) | Different Means", IF(AND(IFERROR(ROUND(V166,8),0)&gt;0, IFERROR(ROUND(Y166,8),0)&gt;0), "Group 2: Flaky | Passed (with variation: CV &gt; 0) AND Failed (with variation: CV &gt; 0) | Different Means", IF(AND(IFERROR(ROUND(V166,8),0)=0, IFERROR(ROUND(Y166,8),0)&gt;0), "Group 3: Flaky | Passed (no variation: CV = 0) AND Failed (with variation: CV &gt; 0) | Different Means", "Group 4: Flaky | Passed (with variation: CV &gt; 0) AND Failed (no variation: CV = 0) | Different Means"))), IF(AND(IFERROR(ROUND(V166,8),0)=0, IFERROR(ROUND(Y166,8),0)=0), "Group 5: Flaky | Passed (no var CV = 0) AND Failed (no var CV = 0) | Equal Means", IF(AND(IFERROR(ROUND(V166,8),0)&gt;0, IFERROR(ROUND(Y166,8),0)&gt;0), "Group 6: Flaky | Passed (with var CV &gt; 0) AND Failed (with var CV &gt; 0) | Equal Means", IF(AND(IFERROR(ROUND(V166,8),0)=0, IFERROR(ROUND(Y166,8),0)&gt;0),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6" s="29" t="n">
        <v>329.972511</v>
      </c>
      <c r="AB166" s="29" t="n">
        <v>1465.408546</v>
      </c>
      <c r="AC166" s="29" t="n">
        <f aca="false">IFERROR(AB166/AA166*100,"N/A")</f>
        <v>444.100189303345</v>
      </c>
      <c r="AD166" s="29" t="n">
        <v>0</v>
      </c>
      <c r="AE166" s="29" t="n">
        <v>0</v>
      </c>
      <c r="AF166" s="29" t="str">
        <f aca="false">IFERROR(AE166/AD166*100,"N/A")</f>
        <v>N/A</v>
      </c>
      <c r="AG166" s="51" t="str">
        <f aca="false">IF(AND(Q166&gt;0, R166=0), IF(IFERROR(ROUND(AC166,8),0)=0, "Group 9: Only Passed | Without variation (no var CV = 0)", "Group 10: Only Passed | With variation (with var CV &gt; 0)"), IF(AND(Q166=0, R166&gt;0), IF(IFERROR(ROUND(AF166,8),0)=0, "Group 11: Only Failed | Without variation (no var CV = 0)", "Group 12: Only Failed | With variation (with var CV &gt; 0)"), IF(AND(Q166&gt;0, R166&gt;0), IF(ROUND(AA166,5)&lt;&gt;ROUND(AD166,5), IF(AND(IFERROR(ROUND(AC166,8),0)=0, IFERROR(ROUND(AF166,8),0)=0), "Group 1: Flaky | Passed (no variation: CV = 0) AND Failed (no variation: CV = 0) | Different Means", IF(AND(IFERROR(ROUND(AC166,8),0)&gt;0, IFERROR(ROUND(AF166,8),0)&gt;0), "Group 2: Flaky | Passed (with variation: CV &gt; 0) AND Failed (with variation: CV &gt; 0) | Different Means", IF(AND(IFERROR(ROUND(AC166,8),0)=0, IFERROR(ROUND(AF166,8),0)&gt;0), "Group 3: Flaky | Passed (no variation: CV = 0) AND Failed (with variation: CV &gt; 0) | Different Means", "Group 4: Flaky | Passed (with variation: CV &gt; 0) AND Failed (no variation: CV = 0) | Different Means"))), IF(AND(IFERROR(ROUND(AC166,8),0)=0, IFERROR(ROUND(AF166,8),0)=0), "Group 5: Flaky | Passed (no var CV = 0) AND Failed (no var CV = 0) | Equal Means", IF(AND(IFERROR(ROUND(AC166,8),0)&gt;0, IFERROR(ROUND(AF166,8),0)&gt;0), "Group 6: Flaky | Passed (with var CV &gt; 0) AND Failed (with var CV &gt; 0) | Equal Means", IF(AND(IFERROR(ROUND(AC166,8),0)=0, IFERROR(ROUND(AF166,8),0)&gt;0),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6" s="22" t="n">
        <v>97</v>
      </c>
      <c r="AI166" s="17" t="n">
        <v>3</v>
      </c>
      <c r="AJ166" s="39" t="str">
        <f aca="false">IF(AND(AH166&gt;0, AI166&gt;0), "Observed Flaky Test", "Non-observed Flaky Test")</f>
        <v>Observed Flaky Test</v>
      </c>
      <c r="AK166" s="90" t="n">
        <v>1111</v>
      </c>
      <c r="AL166" s="90" t="n">
        <v>0</v>
      </c>
      <c r="AM166" s="33" t="n">
        <f aca="false">IFERROR(AL166/AK166*100,"N/A")</f>
        <v>0</v>
      </c>
      <c r="AN166" s="90" t="n">
        <v>1062</v>
      </c>
      <c r="AO166" s="90" t="n">
        <v>0</v>
      </c>
      <c r="AP166" s="35" t="n">
        <f aca="false">IFERROR(AO166/AN166*100,"N/A")</f>
        <v>0</v>
      </c>
      <c r="AQ166" s="85" t="str">
        <f aca="false">IF(AND(AH166&gt;0, AI166&gt;0),
    IF(ROUND(N(AK166),5)&lt;&gt;ROUND(N(AN166),5),
        IF(AND(ROUND(N(AL166),8)=0, ROUND(N(AO166),8)=0), "Group 1: Flaky | Passed (no variation: SD = 0) AND Failed (no variation: SD = 0) | Different Means",
        IF(AND(ROUND(N(AL166),8)&gt;0, ROUND(N(AO166),8)&gt;0), "Group 2: Flaky | Passed (with variation: SD &gt; 0) AND Failed (with variation: SD &gt; 0) | Different Means",
        IF(AND(ROUND(N(AL166),8)=0, ROUND(N(AO166),8)&gt;0), "Group 3: Flaky | Passed (no variation: SD = 0) AND Failed (with variation: SD &gt; 0) | Different Means",
        "Group 4: Flaky | Passed (with variation: SD &gt; 0) AND Failed (no variation: SD = 0) | Different Means"))),
        IF(AND(ROUND(N(AL166),8)=0, ROUND(N(AO166),8)=0), "Group 5: Flaky | Passed (no var SD = 0) AND Failed (no var SD = 0) | Equal Means",
        IF(AND(ROUND(N(AL166),8)&gt;0, ROUND(N(AO166),8)&gt;0), "Group 6: Flaky | Passed (with var SD &gt; 0 ) AND Failed (with var SD &gt; 0) | Equal Means",
        IF(AND(ROUND(N(AL166),8)=0, ROUND(N(AO166),8)&gt;0), "Group 7: Flaky | Passed (no var SD = 0) AND Failed (with var SD &gt; 0) | Equal Means",
        "Group 8: Flaky | Passed (with var SD &gt; 0 ) AND Failed (no var SD = 0) | Equal Means")))
    ),
    IF(AH166&gt;0,
        IF(N(AL166)&gt;0, "Group 10: Only Passed | With variation (with var SD &gt; 0)", "Group 9: Only Passed | Without variation (no var SD = 0)"),
        IF(AI166&gt;0,
            IF(N(AO166)&gt;0,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66" s="42" t="str">
        <f aca="false">IF(OR(F166="Observed Flaky Test", I166="Observed Flaky Test", S166="Observed Flaky Test", AJ166="Observed Flaky Test"), "Observed Flaky Test", "Non-observed Flaky Test")</f>
        <v>Observed Flaky Test</v>
      </c>
    </row>
    <row r="167" customFormat="false" ht="15.75" hidden="false" customHeight="true" outlineLevel="0" collapsed="false">
      <c r="A167" s="81" t="s">
        <v>383</v>
      </c>
      <c r="B167" s="14" t="s">
        <v>384</v>
      </c>
      <c r="C167" s="14" t="s">
        <v>385</v>
      </c>
      <c r="D167" s="15" t="n">
        <v>100</v>
      </c>
      <c r="E167" s="15" t="n">
        <v>0</v>
      </c>
      <c r="F167" s="16" t="str">
        <f aca="false">IF(AND(D167&gt;0, E167&gt;0), "Observed Flaky Test", "Non-observed Flaky Test")</f>
        <v>Non-observed Flaky Test</v>
      </c>
      <c r="G167" s="22" t="n">
        <v>90</v>
      </c>
      <c r="H167" s="22" t="n">
        <v>10</v>
      </c>
      <c r="I167" s="61" t="str">
        <f aca="false">IF(AND(G167&gt;0, H167&gt;0), "Observed Flaky Test", "Non-observed Flaky Test")</f>
        <v>Observed Flaky Test</v>
      </c>
      <c r="J167" s="18" t="n">
        <v>8.56</v>
      </c>
      <c r="K167" s="18" t="n">
        <v>0</v>
      </c>
      <c r="L167" s="19" t="n">
        <f aca="false">IFERROR(K167/J167*100,"N/A")</f>
        <v>0</v>
      </c>
      <c r="M167" s="18" t="n">
        <v>8.37</v>
      </c>
      <c r="N167" s="18" t="n">
        <v>0</v>
      </c>
      <c r="O167" s="20" t="n">
        <f aca="false">IFERROR(N167/M167*100,"N/A")</f>
        <v>0</v>
      </c>
      <c r="P167" s="78" t="str">
        <f aca="false">IF(AND(G167&gt;0, H167=0), IF(ROUND(K167,8)=0, "Group 9: Only Passed | Without variation (SD Passed = 0)", "Group 10: Only Passed | With variation (SD Passed &gt; 0)"), IF(AND(G167=0, H167&gt;0), IF(ROUND(N167,8)=0, "Group 11: Only Failed | Without variation (SD Failed = 0)", "Group 12: Only Failed | With variation (SD Failed &gt; 0)"), IF(AND(G167&gt;0, H167&gt;0), IF(ROUND(J167,5)&lt;&gt;ROUND(M167,5), IF(AND(ROUND(K167,8)=0, ROUND(N167,8)=0), "Group 1: Flaky | Passed (no variation) AND Failed (no variation) | Different Means", IF(AND(ROUND(K167,8)&gt;0, ROUND(N167,8)&gt;0), "Group 2: Flaky | Passed (with variation) AND Failed (with variation) | Different Means", IF(AND(ROUND(K167,8)=0, ROUND(N167,8)&gt;0), "Group 3: Flaky | Passed (no variation) AND Failed (with variation) | Different Means", "Group 4: Flaky | Passed (with variation) AND Failed (no variation) | Different Means"))), IF(AND(ROUND(K167,8)=0, ROUND(N167,8)=0), "Group 5: Flaky | Passed (no variation) AND Failed (no variation) | Equal Means", IF(AND(ROUND(K167,8)&gt;0, ROUND(N167,8)&gt;0), "Group 6: Flaky | Passed (with variation) AND Failed (with variation) | Equal Means", IF(AND(ROUND(K167,8)=0, ROUND(N167,8)&gt;0),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67" s="22" t="n">
        <v>100</v>
      </c>
      <c r="R167" s="22" t="n">
        <v>0</v>
      </c>
      <c r="S167" s="23" t="str">
        <f aca="false">IF(AND(Q167&gt;0, R167&gt;0), "Observed Flaky Test", "Non-observed Flaky Test")</f>
        <v>Non-observed Flaky Test</v>
      </c>
      <c r="T167" s="22" t="n">
        <v>1018695.53</v>
      </c>
      <c r="U167" s="24" t="n">
        <v>7.921911</v>
      </c>
      <c r="V167" s="25" t="n">
        <f aca="false">IFERROR(U167/T167*100,"N/A")</f>
        <v>0.000777652474827292</v>
      </c>
      <c r="W167" s="22" t="n">
        <v>0</v>
      </c>
      <c r="X167" s="22" t="n">
        <v>0</v>
      </c>
      <c r="Y167" s="27" t="str">
        <f aca="false">IFERROR(X167/W167*100,"N/A")</f>
        <v>N/A</v>
      </c>
      <c r="Z167" s="50" t="str">
        <f aca="false">IF(AND(Q167&gt;0, R167=0), IF(IFERROR(ROUND(V167,8),0)=0, "Group 9: Only Passed | Without variation (no var CV = 0)", "Group 10: Only Passed | With variation (with var CV &gt; 0)"), IF(AND(Q167=0, R167&gt;0), IF(IFERROR(ROUND(Y167,8),0)=0, "Group 11: Only Failed | Without variation (no var CV = 0)", "Group 12: Only Failed | With variation (with var CV &gt; 0)"), IF(AND(Q167&gt;0, R167&gt;0), IF(ROUND(T167,5)&lt;&gt;ROUND(W167,5), IF(AND(IFERROR(ROUND(V167,8),0)=0, IFERROR(ROUND(Y167,8),0)=0), "Group 1: Flaky | Passed (no variation: CV = 0) AND Failed (no variation: CV = 0) | Different Means", IF(AND(IFERROR(ROUND(V167,8),0)&gt;0, IFERROR(ROUND(Y167,8),0)&gt;0), "Group 2: Flaky | Passed (with variation: CV &gt; 0) AND Failed (with variation: CV &gt; 0) | Different Means", IF(AND(IFERROR(ROUND(V167,8),0)=0, IFERROR(ROUND(Y167,8),0)&gt;0), "Group 3: Flaky | Passed (no variation: CV = 0) AND Failed (with variation: CV &gt; 0) | Different Means", "Group 4: Flaky | Passed (with variation: CV &gt; 0) AND Failed (no variation: CV = 0) | Different Means"))), IF(AND(IFERROR(ROUND(V167,8),0)=0, IFERROR(ROUND(Y167,8),0)=0), "Group 5: Flaky | Passed (no var CV = 0) AND Failed (no var CV = 0) | Equal Means", IF(AND(IFERROR(ROUND(V167,8),0)&gt;0, IFERROR(ROUND(Y167,8),0)&gt;0), "Group 6: Flaky | Passed (with var CV &gt; 0) AND Failed (with var CV &gt; 0) | Equal Means", IF(AND(IFERROR(ROUND(V167,8),0)=0, IFERROR(ROUND(Y167,8),0)&gt;0),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67" s="29" t="n">
        <v>0.845828</v>
      </c>
      <c r="AB167" s="29" t="n">
        <v>0.053626</v>
      </c>
      <c r="AC167" s="29" t="n">
        <f aca="false">IFERROR(AB167/AA167*100,"N/A")</f>
        <v>6.34005968116449</v>
      </c>
      <c r="AD167" s="29" t="n">
        <v>0</v>
      </c>
      <c r="AE167" s="29" t="n">
        <v>0</v>
      </c>
      <c r="AF167" s="29" t="str">
        <f aca="false">IFERROR(AE167/AD167*100,"N/A")</f>
        <v>N/A</v>
      </c>
      <c r="AG167" s="51" t="str">
        <f aca="false">IF(AND(Q167&gt;0, R167=0), IF(IFERROR(ROUND(AC167,8),0)=0, "Group 9: Only Passed | Without variation (no var CV = 0)", "Group 10: Only Passed | With variation (with var CV &gt; 0)"), IF(AND(Q167=0, R167&gt;0), IF(IFERROR(ROUND(AF167,8),0)=0, "Group 11: Only Failed | Without variation (no var CV = 0)", "Group 12: Only Failed | With variation (with var CV &gt; 0)"), IF(AND(Q167&gt;0, R167&gt;0), IF(ROUND(AA167,5)&lt;&gt;ROUND(AD167,5), IF(AND(IFERROR(ROUND(AC167,8),0)=0, IFERROR(ROUND(AF167,8),0)=0), "Group 1: Flaky | Passed (no variation: CV = 0) AND Failed (no variation: CV = 0) | Different Means", IF(AND(IFERROR(ROUND(AC167,8),0)&gt;0, IFERROR(ROUND(AF167,8),0)&gt;0), "Group 2: Flaky | Passed (with variation: CV &gt; 0) AND Failed (with variation: CV &gt; 0) | Different Means", IF(AND(IFERROR(ROUND(AC167,8),0)=0, IFERROR(ROUND(AF167,8),0)&gt;0), "Group 3: Flaky | Passed (no variation: CV = 0) AND Failed (with variation: CV &gt; 0) | Different Means", "Group 4: Flaky | Passed (with variation: CV &gt; 0) AND Failed (no variation: CV = 0) | Different Means"))), IF(AND(IFERROR(ROUND(AC167,8),0)=0, IFERROR(ROUND(AF167,8),0)=0), "Group 5: Flaky | Passed (no var CV = 0) AND Failed (no var CV = 0) | Equal Means", IF(AND(IFERROR(ROUND(AC167,8),0)&gt;0, IFERROR(ROUND(AF167,8),0)&gt;0), "Group 6: Flaky | Passed (with var CV &gt; 0) AND Failed (with var CV &gt; 0) | Equal Means", IF(AND(IFERROR(ROUND(AC167,8),0)=0, IFERROR(ROUND(AF167,8),0)&gt;0),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67" s="22" t="n">
        <v>96</v>
      </c>
      <c r="AI167" s="17" t="n">
        <v>4</v>
      </c>
      <c r="AJ167" s="39" t="str">
        <f aca="false">IF(AND(AH167&gt;0, AI167&gt;0), "Observed Flaky Test", "Non-observed Flaky Test")</f>
        <v>Observed Flaky Test</v>
      </c>
      <c r="AK167" s="90" t="n">
        <v>846</v>
      </c>
      <c r="AL167" s="90" t="n">
        <v>0</v>
      </c>
      <c r="AM167" s="33" t="n">
        <f aca="false">IFERROR(AL167/AK167*100,"N/A")</f>
        <v>0</v>
      </c>
      <c r="AN167" s="90" t="n">
        <v>846</v>
      </c>
      <c r="AO167" s="90" t="n">
        <v>0</v>
      </c>
      <c r="AP167" s="35" t="n">
        <f aca="false">IFERROR(AO167/AN167*100,"N/A")</f>
        <v>0</v>
      </c>
      <c r="AQ167" s="51" t="str">
        <f aca="false">IF(AND(AH167&gt;0, AI167&gt;0),
    IF(ROUND(N(AK167),5)&lt;&gt;ROUND(N(AN167),5),
        IF(AND(ROUND(N(AL167),8)=0, ROUND(N(AO167),8)=0), "Group 1: Flaky | Passed (no variation: SD = 0) AND Failed (no variation: SD = 0) | Different Means",
        IF(AND(ROUND(N(AL167),8)&gt;0, ROUND(N(AO167),8)&gt;0), "Group 2: Flaky | Passed (with variation: SD &gt; 0) AND Failed (with variation: SD &gt; 0) | Different Means",
        IF(AND(ROUND(N(AL167),8)=0, ROUND(N(AO167),8)&gt;0), "Group 3: Flaky | Passed (no variation: SD = 0) AND Failed (with variation: SD &gt; 0) | Different Means",
        "Group 4: Flaky | Passed (with variation: SD &gt; 0) AND Failed (no variation: SD = 0) | Different Means"))),
        IF(AND(ROUND(N(AL167),8)=0, ROUND(N(AO167),8)=0), "Group 5: Flaky | Passed (no var SD = 0) AND Failed (no var SD = 0) | Equal Means",
        IF(AND(ROUND(N(AL167),8)&gt;0, ROUND(N(AO167),8)&gt;0), "Group 6: Flaky | Passed (with var SD &gt; 0 ) AND Failed (with var SD &gt; 0) | Equal Means",
        IF(AND(ROUND(N(AL167),8)=0, ROUND(N(AO167),8)&gt;0), "Group 7: Flaky | Passed (no var SD = 0) AND Failed (with var SD &gt; 0) | Equal Means",
        "Group 8: Flaky | Passed (with var SD &gt; 0 ) AND Failed (no var SD = 0) | Equal Means")))
    ),
    IF(AH167&gt;0,
        IF(N(AL167)&gt;0, "Group 10: Only Passed | With variation (with var SD &gt; 0)", "Group 9: Only Passed | Without variation (no var SD = 0)"),
        IF(AI167&gt;0,
            IF(N(AO167)&gt;0,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167" s="42" t="str">
        <f aca="false">IF(OR(F167="Observed Flaky Test", I167="Observed Flaky Test", S167="Observed Flaky Test", AJ167="Observed Flaky Test"), "Observed Flaky Test", "Non-observed Flaky Test")</f>
        <v>Observed Flaky Test</v>
      </c>
    </row>
    <row r="168" customFormat="false" ht="39" hidden="false" customHeight="true" outlineLevel="0" collapsed="false">
      <c r="A168" s="81" t="s">
        <v>386</v>
      </c>
      <c r="B168" s="14" t="s">
        <v>387</v>
      </c>
      <c r="C168" s="14" t="s">
        <v>388</v>
      </c>
      <c r="D168" s="15" t="n">
        <v>98</v>
      </c>
      <c r="E168" s="15" t="n">
        <v>2</v>
      </c>
      <c r="F168" s="61" t="str">
        <f aca="false">IF(AND(D168&gt;0, E168&gt;0), "Observed Flaky Test", "Non-observed Flaky Test")</f>
        <v>Observed Flaky Test</v>
      </c>
      <c r="G168" s="22" t="n">
        <v>97</v>
      </c>
      <c r="H168" s="22" t="n">
        <v>3</v>
      </c>
      <c r="I168" s="61" t="str">
        <f aca="false">IF(AND(G168&gt;0, H168&gt;0), "Observed Flaky Test", "Non-observed Flaky Test")</f>
        <v>Observed Flaky Test</v>
      </c>
      <c r="J168" s="18" t="n">
        <v>21.86</v>
      </c>
      <c r="K168" s="18" t="n">
        <v>0</v>
      </c>
      <c r="L168" s="19" t="n">
        <f aca="false">IFERROR(K168/J168*100,"N/A")</f>
        <v>0</v>
      </c>
      <c r="M168" s="18" t="n">
        <v>18.25</v>
      </c>
      <c r="N168" s="18" t="n">
        <v>0</v>
      </c>
      <c r="O168" s="20" t="n">
        <f aca="false">IFERROR(N168/M168*100,"N/A")</f>
        <v>0</v>
      </c>
      <c r="P168" s="78" t="str">
        <f aca="false">IF(AND(G168&gt;0, H168=0), IF(ROUND(K168,8)=0, "Group 9: Only Passed | Without variation (SD Passed = 0)", "Group 10: Only Passed | With variation (SD Passed &gt; 0)"), IF(AND(G168=0, H168&gt;0), IF(ROUND(N168,8)=0, "Group 11: Only Failed | Without variation (SD Failed = 0)", "Group 12: Only Failed | With variation (SD Failed &gt; 0)"), IF(AND(G168&gt;0, H168&gt;0), IF(ROUND(J168,5)&lt;&gt;ROUND(M168,5), IF(AND(ROUND(K168,8)=0, ROUND(N168,8)=0), "Group 1: Flaky | Passed (no variation) AND Failed (no variation) | Different Means", IF(AND(ROUND(K168,8)&gt;0, ROUND(N168,8)&gt;0), "Group 2: Flaky | Passed (with variation) AND Failed (with variation) | Different Means", IF(AND(ROUND(K168,8)=0, ROUND(N168,8)&gt;0), "Group 3: Flaky | Passed (no variation) AND Failed (with variation) | Different Means", "Group 4: Flaky | Passed (with variation) AND Failed (no variation) | Different Means"))), IF(AND(ROUND(K168,8)=0, ROUND(N168,8)=0), "Group 5: Flaky | Passed (no variation) AND Failed (no variation) | Equal Means", IF(AND(ROUND(K168,8)&gt;0, ROUND(N168,8)&gt;0), "Group 6: Flaky | Passed (with variation) AND Failed (with variation) | Equal Means", IF(AND(ROUND(K168,8)=0, ROUND(N168,8)&gt;0),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68" s="22" t="n">
        <v>99</v>
      </c>
      <c r="R168" s="22" t="n">
        <v>1</v>
      </c>
      <c r="S168" s="43" t="str">
        <f aca="false">IF(AND(Q168&gt;0, R168&gt;0), "Observed Flaky Test", "Non-observed Flaky Test")</f>
        <v>Observed Flaky Test</v>
      </c>
      <c r="T168" s="24" t="n">
        <v>401967.767677</v>
      </c>
      <c r="U168" s="24" t="n">
        <v>12.991228</v>
      </c>
      <c r="V168" s="25" t="n">
        <f aca="false">IFERROR(U168/T168*100,"N/A")</f>
        <v>0.00323190789029609</v>
      </c>
      <c r="W168" s="55" t="n">
        <v>509443</v>
      </c>
      <c r="X168" s="22" t="n">
        <v>0</v>
      </c>
      <c r="Y168" s="27" t="n">
        <f aca="false">IFERROR(X168/W168*100,"N/A")</f>
        <v>0</v>
      </c>
      <c r="Z168" s="69" t="str">
        <f aca="false">IF(AND(Q168&gt;0, R168=0), IF(IFERROR(ROUND(V168,8),0)=0, "Group 9: Only Passed | Without variation (no var CV = 0)", "Group 10: Only Passed | With variation (with var CV &gt; 0)"), IF(AND(Q168=0, R168&gt;0), IF(IFERROR(ROUND(Y168,8),0)=0, "Group 11: Only Failed | Without variation (no var CV = 0)", "Group 12: Only Failed | With variation (with var CV &gt; 0)"), IF(AND(Q168&gt;0, R168&gt;0), IF(ROUND(T168,5)&lt;&gt;ROUND(W168,5), IF(AND(IFERROR(ROUND(V168,8),0)=0, IFERROR(ROUND(Y168,8),0)=0), "Group 1: Flaky | Passed (no variation: CV = 0) AND Failed (no variation: CV = 0) | Different Means", IF(AND(IFERROR(ROUND(V168,8),0)&gt;0, IFERROR(ROUND(Y168,8),0)&gt;0), "Group 2: Flaky | Passed (with variation: CV &gt; 0) AND Failed (with variation: CV &gt; 0) | Different Means", IF(AND(IFERROR(ROUND(V168,8),0)=0, IFERROR(ROUND(Y168,8),0)&gt;0), "Group 3: Flaky | Passed (no variation: CV = 0) AND Failed (with variation: CV &gt; 0) | Different Means", "Group 4: Flaky | Passed (with variation: CV &gt; 0) AND Failed (no variation: CV = 0) | Different Means"))), IF(AND(IFERROR(ROUND(V168,8),0)=0, IFERROR(ROUND(Y168,8),0)=0), "Group 5: Flaky | Passed (no var CV = 0) AND Failed (no var CV = 0) | Equal Means", IF(AND(IFERROR(ROUND(V168,8),0)&gt;0, IFERROR(ROUND(Y168,8),0)&gt;0), "Group 6: Flaky | Passed (with var CV &gt; 0) AND Failed (with var CV &gt; 0) | Equal Means", IF(AND(IFERROR(ROUND(V168,8),0)=0, IFERROR(ROUND(Y168,8),0)&gt;0),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68" s="29" t="n">
        <v>0.315049</v>
      </c>
      <c r="AB168" s="29" t="n">
        <v>0.01482</v>
      </c>
      <c r="AC168" s="29" t="n">
        <f aca="false">IFERROR(AB168/AA168*100,"N/A")</f>
        <v>4.70403016673597</v>
      </c>
      <c r="AD168" s="29" t="n">
        <v>0.327614</v>
      </c>
      <c r="AE168" s="29" t="n">
        <v>0</v>
      </c>
      <c r="AF168" s="29" t="n">
        <f aca="false">IFERROR(AE168/AD168*100,"N/A")</f>
        <v>0</v>
      </c>
      <c r="AG168" s="70" t="str">
        <f aca="false">IF(AND(Q168&gt;0, R168=0), IF(IFERROR(ROUND(AC168,8),0)=0, "Group 9: Only Passed | Without variation (no var CV = 0)", "Group 10: Only Passed | With variation (with var CV &gt; 0)"), IF(AND(Q168=0, R168&gt;0), IF(IFERROR(ROUND(AF168,8),0)=0, "Group 11: Only Failed | Without variation (no var CV = 0)", "Group 12: Only Failed | With variation (with var CV &gt; 0)"), IF(AND(Q168&gt;0, R168&gt;0), IF(ROUND(AA168,5)&lt;&gt;ROUND(AD168,5), IF(AND(IFERROR(ROUND(AC168,8),0)=0, IFERROR(ROUND(AF168,8),0)=0), "Group 1: Flaky | Passed (no variation: CV = 0) AND Failed (no variation: CV = 0) | Different Means", IF(AND(IFERROR(ROUND(AC168,8),0)&gt;0, IFERROR(ROUND(AF168,8),0)&gt;0), "Group 2: Flaky | Passed (with variation: CV &gt; 0) AND Failed (with variation: CV &gt; 0) | Different Means", IF(AND(IFERROR(ROUND(AC168,8),0)=0, IFERROR(ROUND(AF168,8),0)&gt;0), "Group 3: Flaky | Passed (no variation: CV = 0) AND Failed (with variation: CV &gt; 0) | Different Means", "Group 4: Flaky | Passed (with variation: CV &gt; 0) AND Failed (no variation: CV = 0) | Different Means"))), IF(AND(IFERROR(ROUND(AC168,8),0)=0, IFERROR(ROUND(AF168,8),0)=0), "Group 5: Flaky | Passed (no var CV = 0) AND Failed (no var CV = 0) | Equal Means", IF(AND(IFERROR(ROUND(AC168,8),0)&gt;0, IFERROR(ROUND(AF168,8),0)&gt;0), "Group 6: Flaky | Passed (with var CV &gt; 0) AND Failed (with var CV &gt; 0) | Equal Means", IF(AND(IFERROR(ROUND(AC168,8),0)=0, IFERROR(ROUND(AF168,8),0)&gt;0),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68" s="22" t="n">
        <v>98</v>
      </c>
      <c r="AI168" s="17" t="n">
        <v>2</v>
      </c>
      <c r="AJ168" s="39" t="str">
        <f aca="false">IF(AND(AH168&gt;0, AI168&gt;0), "Observed Flaky Test", "Non-observed Flaky Test")</f>
        <v>Observed Flaky Test</v>
      </c>
      <c r="AK168" s="90" t="n">
        <v>1248</v>
      </c>
      <c r="AL168" s="90" t="n">
        <v>0</v>
      </c>
      <c r="AM168" s="33" t="n">
        <f aca="false">IFERROR(AL168/AK168*100,"N/A")</f>
        <v>0</v>
      </c>
      <c r="AN168" s="90" t="n">
        <v>902</v>
      </c>
      <c r="AO168" s="90" t="n">
        <v>0</v>
      </c>
      <c r="AP168" s="35" t="n">
        <f aca="false">IFERROR(AO168/AN168*100,"N/A")</f>
        <v>0</v>
      </c>
      <c r="AQ168" s="85" t="str">
        <f aca="false">IF(AND(AH168&gt;0, AI168&gt;0),
    IF(ROUND(N(AK168),5)&lt;&gt;ROUND(N(AN168),5),
        IF(AND(ROUND(N(AL168),8)=0, ROUND(N(AO168),8)=0), "Group 1: Flaky | Passed (no variation: SD = 0) AND Failed (no variation: SD = 0) | Different Means",
        IF(AND(ROUND(N(AL168),8)&gt;0, ROUND(N(AO168),8)&gt;0), "Group 2: Flaky | Passed (with variation: SD &gt; 0) AND Failed (with variation: SD &gt; 0) | Different Means",
        IF(AND(ROUND(N(AL168),8)=0, ROUND(N(AO168),8)&gt;0), "Group 3: Flaky | Passed (no variation: SD = 0) AND Failed (with variation: SD &gt; 0) | Different Means",
        "Group 4: Flaky | Passed (with variation: SD &gt; 0) AND Failed (no variation: SD = 0) | Different Means"))),
        IF(AND(ROUND(N(AL168),8)=0, ROUND(N(AO168),8)=0), "Group 5: Flaky | Passed (no var SD = 0) AND Failed (no var SD = 0) | Equal Means",
        IF(AND(ROUND(N(AL168),8)&gt;0, ROUND(N(AO168),8)&gt;0), "Group 6: Flaky | Passed (with var SD &gt; 0 ) AND Failed (with var SD &gt; 0) | Equal Means",
        IF(AND(ROUND(N(AL168),8)=0, ROUND(N(AO168),8)&gt;0), "Group 7: Flaky | Passed (no var SD = 0) AND Failed (with var SD &gt; 0) | Equal Means",
        "Group 8: Flaky | Passed (with var SD &gt; 0 ) AND Failed (no var SD = 0) | Equal Means")))
    ),
    IF(AH168&gt;0,
        IF(N(AL168)&gt;0, "Group 10: Only Passed | With variation (with var SD &gt; 0)", "Group 9: Only Passed | Without variation (no var SD = 0)"),
        IF(AI168&gt;0,
            IF(N(AO168)&gt;0,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68" s="42" t="str">
        <f aca="false">IF(OR(F168="Observed Flaky Test", I168="Observed Flaky Test", S168="Observed Flaky Test", AJ168="Observed Flaky Test"), "Observed Flaky Test", "Non-observed Flaky Test")</f>
        <v>Observed Flaky Test</v>
      </c>
    </row>
    <row r="169" customFormat="false" ht="15.75" hidden="false" customHeight="true" outlineLevel="0" collapsed="false">
      <c r="A169" s="81"/>
      <c r="B169" s="14" t="s">
        <v>389</v>
      </c>
      <c r="C169" s="14" t="s">
        <v>390</v>
      </c>
      <c r="D169" s="15" t="n">
        <v>84</v>
      </c>
      <c r="E169" s="15" t="n">
        <v>16</v>
      </c>
      <c r="F169" s="61" t="str">
        <f aca="false">IF(AND(D169&gt;0, E169&gt;0), "Observed Flaky Test", "Non-observed Flaky Test")</f>
        <v>Observed Flaky Test</v>
      </c>
      <c r="G169" s="22" t="n">
        <v>81</v>
      </c>
      <c r="H169" s="22" t="n">
        <v>19</v>
      </c>
      <c r="I169" s="61" t="str">
        <f aca="false">IF(AND(G169&gt;0, H169&gt;0), "Observed Flaky Test", "Non-observed Flaky Test")</f>
        <v>Observed Flaky Test</v>
      </c>
      <c r="J169" s="18" t="n">
        <v>22.24</v>
      </c>
      <c r="K169" s="18" t="n">
        <v>0</v>
      </c>
      <c r="L169" s="19" t="n">
        <f aca="false">IFERROR(K169/J169*100,"N/A")</f>
        <v>0</v>
      </c>
      <c r="M169" s="18" t="n">
        <v>18.63</v>
      </c>
      <c r="N169" s="18" t="n">
        <v>0</v>
      </c>
      <c r="O169" s="20" t="n">
        <f aca="false">IFERROR(N169/M169*100,"N/A")</f>
        <v>0</v>
      </c>
      <c r="P169" s="78" t="str">
        <f aca="false">IF(AND(G169&gt;0, H169=0), IF(ROUND(K169,8)=0, "Group 9: Only Passed | Without variation (SD Passed = 0)", "Group 10: Only Passed | With variation (SD Passed &gt; 0)"), IF(AND(G169=0, H169&gt;0), IF(ROUND(N169,8)=0, "Group 11: Only Failed | Without variation (SD Failed = 0)", "Group 12: Only Failed | With variation (SD Failed &gt; 0)"), IF(AND(G169&gt;0, H169&gt;0), IF(ROUND(J169,5)&lt;&gt;ROUND(M169,5), IF(AND(ROUND(K169,8)=0, ROUND(N169,8)=0), "Group 1: Flaky | Passed (no variation) AND Failed (no variation) | Different Means", IF(AND(ROUND(K169,8)&gt;0, ROUND(N169,8)&gt;0), "Group 2: Flaky | Passed (with variation) AND Failed (with variation) | Different Means", IF(AND(ROUND(K169,8)=0, ROUND(N169,8)&gt;0), "Group 3: Flaky | Passed (no variation) AND Failed (with variation) | Different Means", "Group 4: Flaky | Passed (with variation) AND Failed (no variation) | Different Means"))), IF(AND(ROUND(K169,8)=0, ROUND(N169,8)=0), "Group 5: Flaky | Passed (no variation) AND Failed (no variation) | Equal Means", IF(AND(ROUND(K169,8)&gt;0, ROUND(N169,8)&gt;0), "Group 6: Flaky | Passed (with variation) AND Failed (with variation) | Equal Means", IF(AND(ROUND(K169,8)=0, ROUND(N169,8)&gt;0),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69" s="22" t="n">
        <v>82</v>
      </c>
      <c r="R169" s="22" t="n">
        <v>18</v>
      </c>
      <c r="S169" s="43" t="str">
        <f aca="false">IF(AND(Q169&gt;0, R169&gt;0), "Observed Flaky Test", "Non-observed Flaky Test")</f>
        <v>Observed Flaky Test</v>
      </c>
      <c r="T169" s="24" t="n">
        <v>402023.841463</v>
      </c>
      <c r="U169" s="24" t="n">
        <v>39.85451</v>
      </c>
      <c r="V169" s="25" t="n">
        <f aca="false">IFERROR(U169/T169*100,"N/A")</f>
        <v>0.00991346927459972</v>
      </c>
      <c r="W169" s="24" t="n">
        <v>509548.611111</v>
      </c>
      <c r="X169" s="24" t="n">
        <v>45.105287</v>
      </c>
      <c r="Y169" s="27" t="n">
        <f aca="false">IFERROR(X169/W169*100,"N/A")</f>
        <v>0.00885200862419273</v>
      </c>
      <c r="Z169" s="68" t="str">
        <f aca="false">IF(AND(Q169&gt;0, R169=0), IF(IFERROR(ROUND(V169,8),0)=0, "Group 9: Only Passed | Without variation (no var CV = 0)", "Group 10: Only Passed | With variation (with var CV &gt; 0)"), IF(AND(Q169=0, R169&gt;0), IF(IFERROR(ROUND(Y169,8),0)=0, "Group 11: Only Failed | Without variation (no var CV = 0)", "Group 12: Only Failed | With variation (with var CV &gt; 0)"), IF(AND(Q169&gt;0, R169&gt;0), IF(ROUND(T169,5)&lt;&gt;ROUND(W169,5), IF(AND(IFERROR(ROUND(V169,8),0)=0, IFERROR(ROUND(Y169,8),0)=0), "Group 1: Flaky | Passed (no variation: CV = 0) AND Failed (no variation: CV = 0) | Different Means", IF(AND(IFERROR(ROUND(V169,8),0)&gt;0, IFERROR(ROUND(Y169,8),0)&gt;0), "Group 2: Flaky | Passed (with variation: CV &gt; 0) AND Failed (with variation: CV &gt; 0) | Different Means", IF(AND(IFERROR(ROUND(V169,8),0)=0, IFERROR(ROUND(Y169,8),0)&gt;0), "Group 3: Flaky | Passed (no variation: CV = 0) AND Failed (with variation: CV &gt; 0) | Different Means", "Group 4: Flaky | Passed (with variation: CV &gt; 0) AND Failed (no variation: CV = 0) | Different Means"))), IF(AND(IFERROR(ROUND(V169,8),0)=0, IFERROR(ROUND(Y169,8),0)=0), "Group 5: Flaky | Passed (no var CV = 0) AND Failed (no var CV = 0) | Equal Means", IF(AND(IFERROR(ROUND(V169,8),0)&gt;0, IFERROR(ROUND(Y169,8),0)&gt;0), "Group 6: Flaky | Passed (with var CV &gt; 0) AND Failed (with var CV &gt; 0) | Equal Means", IF(AND(IFERROR(ROUND(V169,8),0)=0, IFERROR(ROUND(Y169,8),0)&gt;0),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69" s="29" t="n">
        <v>1.254104</v>
      </c>
      <c r="AB169" s="29" t="n">
        <v>0.258549</v>
      </c>
      <c r="AC169" s="29" t="n">
        <f aca="false">IFERROR(AB169/AA169*100,"N/A")</f>
        <v>20.6162327845219</v>
      </c>
      <c r="AD169" s="29" t="n">
        <v>0.789431</v>
      </c>
      <c r="AE169" s="29" t="n">
        <v>0.069368</v>
      </c>
      <c r="AF169" s="29" t="n">
        <f aca="false">IFERROR(AE169/AD169*100,"N/A")</f>
        <v>8.78708842191401</v>
      </c>
      <c r="AG169" s="36" t="str">
        <f aca="false">IF(AND(Q169&gt;0, R169=0), IF(IFERROR(ROUND(AC169,8),0)=0, "Group 9: Only Passed | Without variation (no var CV = 0)", "Group 10: Only Passed | With variation (with var CV &gt; 0)"), IF(AND(Q169=0, R169&gt;0), IF(IFERROR(ROUND(AF169,8),0)=0, "Group 11: Only Failed | Without variation (no var CV = 0)", "Group 12: Only Failed | With variation (with var CV &gt; 0)"), IF(AND(Q169&gt;0, R169&gt;0), IF(ROUND(AA169,5)&lt;&gt;ROUND(AD169,5), IF(AND(IFERROR(ROUND(AC169,8),0)=0, IFERROR(ROUND(AF169,8),0)=0), "Group 1: Flaky | Passed (no variation: CV = 0) AND Failed (no variation: CV = 0) | Different Means", IF(AND(IFERROR(ROUND(AC169,8),0)&gt;0, IFERROR(ROUND(AF169,8),0)&gt;0), "Group 2: Flaky | Passed (with variation: CV &gt; 0) AND Failed (with variation: CV &gt; 0) | Different Means", IF(AND(IFERROR(ROUND(AC169,8),0)=0, IFERROR(ROUND(AF169,8),0)&gt;0), "Group 3: Flaky | Passed (no variation: CV = 0) AND Failed (with variation: CV &gt; 0) | Different Means", "Group 4: Flaky | Passed (with variation: CV &gt; 0) AND Failed (no variation: CV = 0) | Different Means"))), IF(AND(IFERROR(ROUND(AC169,8),0)=0, IFERROR(ROUND(AF169,8),0)=0), "Group 5: Flaky | Passed (no var CV = 0) AND Failed (no var CV = 0) | Equal Means", IF(AND(IFERROR(ROUND(AC169,8),0)&gt;0, IFERROR(ROUND(AF169,8),0)&gt;0), "Group 6: Flaky | Passed (with var CV &gt; 0) AND Failed (with var CV &gt; 0) | Equal Means", IF(AND(IFERROR(ROUND(AC169,8),0)=0, IFERROR(ROUND(AF169,8),0)&gt;0),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69" s="22" t="n">
        <v>82</v>
      </c>
      <c r="AI169" s="17" t="n">
        <v>18</v>
      </c>
      <c r="AJ169" s="39" t="str">
        <f aca="false">IF(AND(AH169&gt;0, AI169&gt;0), "Observed Flaky Test", "Non-observed Flaky Test")</f>
        <v>Observed Flaky Test</v>
      </c>
      <c r="AK169" s="90" t="n">
        <v>1248</v>
      </c>
      <c r="AL169" s="90" t="n">
        <v>0</v>
      </c>
      <c r="AM169" s="33" t="n">
        <f aca="false">IFERROR(AL169/AK169*100,"N/A")</f>
        <v>0</v>
      </c>
      <c r="AN169" s="90" t="n">
        <v>902</v>
      </c>
      <c r="AO169" s="90" t="n">
        <v>0</v>
      </c>
      <c r="AP169" s="35" t="n">
        <f aca="false">IFERROR(AO169/AN169*100,"N/A")</f>
        <v>0</v>
      </c>
      <c r="AQ169" s="85" t="str">
        <f aca="false">IF(AND(AH169&gt;0, AI169&gt;0),
    IF(ROUND(N(AK169),5)&lt;&gt;ROUND(N(AN169),5),
        IF(AND(ROUND(N(AL169),8)=0, ROUND(N(AO169),8)=0), "Group 1: Flaky | Passed (no variation: SD = 0) AND Failed (no variation: SD = 0) | Different Means",
        IF(AND(ROUND(N(AL169),8)&gt;0, ROUND(N(AO169),8)&gt;0), "Group 2: Flaky | Passed (with variation: SD &gt; 0) AND Failed (with variation: SD &gt; 0) | Different Means",
        IF(AND(ROUND(N(AL169),8)=0, ROUND(N(AO169),8)&gt;0), "Group 3: Flaky | Passed (no variation: SD = 0) AND Failed (with variation: SD &gt; 0) | Different Means",
        "Group 4: Flaky | Passed (with variation: SD &gt; 0) AND Failed (no variation: SD = 0) | Different Means"))),
        IF(AND(ROUND(N(AL169),8)=0, ROUND(N(AO169),8)=0), "Group 5: Flaky | Passed (no var SD = 0) AND Failed (no var SD = 0) | Equal Means",
        IF(AND(ROUND(N(AL169),8)&gt;0, ROUND(N(AO169),8)&gt;0), "Group 6: Flaky | Passed (with var SD &gt; 0 ) AND Failed (with var SD &gt; 0) | Equal Means",
        IF(AND(ROUND(N(AL169),8)=0, ROUND(N(AO169),8)&gt;0), "Group 7: Flaky | Passed (no var SD = 0) AND Failed (with var SD &gt; 0) | Equal Means",
        "Group 8: Flaky | Passed (with var SD &gt; 0 ) AND Failed (no var SD = 0) | Equal Means")))
    ),
    IF(AH169&gt;0,
        IF(N(AL169)&gt;0, "Group 10: Only Passed | With variation (with var SD &gt; 0)", "Group 9: Only Passed | Without variation (no var SD = 0)"),
        IF(AI169&gt;0,
            IF(N(AO169)&gt;0,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69" s="42" t="str">
        <f aca="false">IF(OR(F169="Observed Flaky Test", I169="Observed Flaky Test", S169="Observed Flaky Test", AJ169="Observed Flaky Test"), "Observed Flaky Test", "Non-observed Flaky Test")</f>
        <v>Observed Flaky Test</v>
      </c>
    </row>
    <row r="170" customFormat="false" ht="15.75" hidden="false" customHeight="true" outlineLevel="0" collapsed="false">
      <c r="A170" s="81"/>
      <c r="B170" s="14" t="s">
        <v>391</v>
      </c>
      <c r="C170" s="14" t="s">
        <v>392</v>
      </c>
      <c r="D170" s="15" t="n">
        <v>97</v>
      </c>
      <c r="E170" s="15" t="n">
        <v>3</v>
      </c>
      <c r="F170" s="61" t="str">
        <f aca="false">IF(AND(D170&gt;0, E170&gt;0), "Observed Flaky Test", "Non-observed Flaky Test")</f>
        <v>Observed Flaky Test</v>
      </c>
      <c r="G170" s="22" t="n">
        <v>97</v>
      </c>
      <c r="H170" s="22" t="n">
        <v>3</v>
      </c>
      <c r="I170" s="61" t="str">
        <f aca="false">IF(AND(G170&gt;0, H170&gt;0), "Observed Flaky Test", "Non-observed Flaky Test")</f>
        <v>Observed Flaky Test</v>
      </c>
      <c r="J170" s="18" t="n">
        <v>8.37</v>
      </c>
      <c r="K170" s="18" t="n">
        <v>0</v>
      </c>
      <c r="L170" s="19" t="n">
        <f aca="false">IFERROR(K170/J170*100,"N/A")</f>
        <v>0</v>
      </c>
      <c r="M170" s="18" t="n">
        <v>8.37</v>
      </c>
      <c r="N170" s="18" t="n">
        <v>0</v>
      </c>
      <c r="O170" s="20" t="n">
        <f aca="false">IFERROR(N170/M170*100,"N/A")</f>
        <v>0</v>
      </c>
      <c r="P170" s="92" t="str">
        <f aca="false">IF(AND(G170&gt;0, H170=0), IF(ROUND(K170,8)=0, "Group 9: Only Passed | Without variation (SD Passed = 0)", "Group 10: Only Passed | With variation (SD Passed &gt; 0)"), IF(AND(G170=0, H170&gt;0), IF(ROUND(N170,8)=0, "Group 11: Only Failed | Without variation (SD Failed = 0)", "Group 12: Only Failed | With variation (SD Failed &gt; 0)"), IF(AND(G170&gt;0, H170&gt;0), IF(ROUND(J170,5)&lt;&gt;ROUND(M170,5), IF(AND(ROUND(K170,8)=0, ROUND(N170,8)=0), "Group 1: Flaky | Passed (no variation) AND Failed (no variation) | Different Means", IF(AND(ROUND(K170,8)&gt;0, ROUND(N170,8)&gt;0), "Group 2: Flaky | Passed (with variation) AND Failed (with variation) | Different Means", IF(AND(ROUND(K170,8)=0, ROUND(N170,8)&gt;0), "Group 3: Flaky | Passed (no variation) AND Failed (with variation) | Different Means", "Group 4: Flaky | Passed (with variation) AND Failed (no variation) | Different Means"))), IF(AND(ROUND(K170,8)=0, ROUND(N170,8)=0), "Group 5: Flaky | Passed (no variation) AND Failed (no variation) | Equal Means", IF(AND(ROUND(K170,8)&gt;0, ROUND(N170,8)&gt;0), "Group 6: Flaky | Passed (with variation) AND Failed (with variation) | Equal Means", IF(AND(ROUND(K170,8)=0, ROUND(N170,8)&gt;0),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70" s="22" t="n">
        <v>99</v>
      </c>
      <c r="R170" s="22" t="n">
        <v>1</v>
      </c>
      <c r="S170" s="43" t="str">
        <f aca="false">IF(AND(Q170&gt;0, R170&gt;0), "Observed Flaky Test", "Non-observed Flaky Test")</f>
        <v>Observed Flaky Test</v>
      </c>
      <c r="T170" s="24" t="n">
        <v>401548.171717</v>
      </c>
      <c r="U170" s="24" t="n">
        <v>12.466314</v>
      </c>
      <c r="V170" s="25" t="n">
        <f aca="false">IFERROR(U170/T170*100,"N/A")</f>
        <v>0.00310456251031966</v>
      </c>
      <c r="W170" s="55" t="n">
        <v>522313</v>
      </c>
      <c r="X170" s="22" t="n">
        <v>0</v>
      </c>
      <c r="Y170" s="27" t="n">
        <f aca="false">IFERROR(X170/W170*100,"N/A")</f>
        <v>0</v>
      </c>
      <c r="Z170" s="69" t="str">
        <f aca="false">IF(AND(Q170&gt;0, R170=0), IF(IFERROR(ROUND(V170,8),0)=0, "Group 9: Only Passed | Without variation (no var CV = 0)", "Group 10: Only Passed | With variation (with var CV &gt; 0)"), IF(AND(Q170=0, R170&gt;0), IF(IFERROR(ROUND(Y170,8),0)=0, "Group 11: Only Failed | Without variation (no var CV = 0)", "Group 12: Only Failed | With variation (with var CV &gt; 0)"), IF(AND(Q170&gt;0, R170&gt;0), IF(ROUND(T170,5)&lt;&gt;ROUND(W170,5), IF(AND(IFERROR(ROUND(V170,8),0)=0, IFERROR(ROUND(Y170,8),0)=0), "Group 1: Flaky | Passed (no variation: CV = 0) AND Failed (no variation: CV = 0) | Different Means", IF(AND(IFERROR(ROUND(V170,8),0)&gt;0, IFERROR(ROUND(Y170,8),0)&gt;0), "Group 2: Flaky | Passed (with variation: CV &gt; 0) AND Failed (with variation: CV &gt; 0) | Different Means", IF(AND(IFERROR(ROUND(V170,8),0)=0, IFERROR(ROUND(Y170,8),0)&gt;0), "Group 3: Flaky | Passed (no variation: CV = 0) AND Failed (with variation: CV &gt; 0) | Different Means", "Group 4: Flaky | Passed (with variation: CV &gt; 0) AND Failed (no variation: CV = 0) | Different Means"))), IF(AND(IFERROR(ROUND(V170,8),0)=0, IFERROR(ROUND(Y170,8),0)=0), "Group 5: Flaky | Passed (no var CV = 0) AND Failed (no var CV = 0) | Equal Means", IF(AND(IFERROR(ROUND(V170,8),0)&gt;0, IFERROR(ROUND(Y170,8),0)&gt;0), "Group 6: Flaky | Passed (with var CV &gt; 0) AND Failed (with var CV &gt; 0) | Equal Means", IF(AND(IFERROR(ROUND(V170,8),0)=0, IFERROR(ROUND(Y170,8),0)&gt;0),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70" s="29" t="n">
        <v>0.476594</v>
      </c>
      <c r="AB170" s="29" t="n">
        <v>0.01396</v>
      </c>
      <c r="AC170" s="29" t="n">
        <f aca="false">IFERROR(AB170/AA170*100,"N/A")</f>
        <v>2.92911786552076</v>
      </c>
      <c r="AD170" s="29" t="n">
        <v>0.490153</v>
      </c>
      <c r="AE170" s="29" t="n">
        <v>0</v>
      </c>
      <c r="AF170" s="29" t="n">
        <f aca="false">IFERROR(AE170/AD170*100,"N/A")</f>
        <v>0</v>
      </c>
      <c r="AG170" s="70" t="str">
        <f aca="false">IF(AND(Q170&gt;0, R170=0), IF(IFERROR(ROUND(AC170,8),0)=0, "Group 9: Only Passed | Without variation (no var CV = 0)", "Group 10: Only Passed | With variation (with var CV &gt; 0)"), IF(AND(Q170=0, R170&gt;0), IF(IFERROR(ROUND(AF170,8),0)=0, "Group 11: Only Failed | Without variation (no var CV = 0)", "Group 12: Only Failed | With variation (with var CV &gt; 0)"), IF(AND(Q170&gt;0, R170&gt;0), IF(ROUND(AA170,5)&lt;&gt;ROUND(AD170,5), IF(AND(IFERROR(ROUND(AC170,8),0)=0, IFERROR(ROUND(AF170,8),0)=0), "Group 1: Flaky | Passed (no variation: CV = 0) AND Failed (no variation: CV = 0) | Different Means", IF(AND(IFERROR(ROUND(AC170,8),0)&gt;0, IFERROR(ROUND(AF170,8),0)&gt;0), "Group 2: Flaky | Passed (with variation: CV &gt; 0) AND Failed (with variation: CV &gt; 0) | Different Means", IF(AND(IFERROR(ROUND(AC170,8),0)=0, IFERROR(ROUND(AF170,8),0)&gt;0), "Group 3: Flaky | Passed (no variation: CV = 0) AND Failed (with variation: CV &gt; 0) | Different Means", "Group 4: Flaky | Passed (with variation: CV &gt; 0) AND Failed (no variation: CV = 0) | Different Means"))), IF(AND(IFERROR(ROUND(AC170,8),0)=0, IFERROR(ROUND(AF170,8),0)=0), "Group 5: Flaky | Passed (no var CV = 0) AND Failed (no var CV = 0) | Equal Means", IF(AND(IFERROR(ROUND(AC170,8),0)&gt;0, IFERROR(ROUND(AF170,8),0)&gt;0), "Group 6: Flaky | Passed (with var CV &gt; 0) AND Failed (with var CV &gt; 0) | Equal Means", IF(AND(IFERROR(ROUND(AC170,8),0)=0, IFERROR(ROUND(AF170,8),0)&gt;0),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70" s="22" t="n">
        <v>96</v>
      </c>
      <c r="AI170" s="17" t="n">
        <v>4</v>
      </c>
      <c r="AJ170" s="39" t="str">
        <f aca="false">IF(AND(AH170&gt;0, AI170&gt;0), "Observed Flaky Test", "Non-observed Flaky Test")</f>
        <v>Observed Flaky Test</v>
      </c>
      <c r="AK170" s="90" t="n">
        <v>540</v>
      </c>
      <c r="AL170" s="90" t="n">
        <v>0</v>
      </c>
      <c r="AM170" s="33" t="n">
        <f aca="false">IFERROR(AL170/AK170*100,"N/A")</f>
        <v>0</v>
      </c>
      <c r="AN170" s="90" t="n">
        <v>540</v>
      </c>
      <c r="AO170" s="90" t="n">
        <v>0</v>
      </c>
      <c r="AP170" s="35" t="n">
        <f aca="false">IFERROR(AO170/AN170*100,"N/A")</f>
        <v>0</v>
      </c>
      <c r="AQ170" s="51" t="str">
        <f aca="false">IF(AND(AH170&gt;0, AI170&gt;0),
    IF(ROUND(N(AK170),5)&lt;&gt;ROUND(N(AN170),5),
        IF(AND(ROUND(N(AL170),8)=0, ROUND(N(AO170),8)=0), "Group 1: Flaky | Passed (no variation: SD = 0) AND Failed (no variation: SD = 0) | Different Means",
        IF(AND(ROUND(N(AL170),8)&gt;0, ROUND(N(AO170),8)&gt;0), "Group 2: Flaky | Passed (with variation: SD &gt; 0) AND Failed (with variation: SD &gt; 0) | Different Means",
        IF(AND(ROUND(N(AL170),8)=0, ROUND(N(AO170),8)&gt;0), "Group 3: Flaky | Passed (no variation: SD = 0) AND Failed (with variation: SD &gt; 0) | Different Means",
        "Group 4: Flaky | Passed (with variation: SD &gt; 0) AND Failed (no variation: SD = 0) | Different Means"))),
        IF(AND(ROUND(N(AL170),8)=0, ROUND(N(AO170),8)=0), "Group 5: Flaky | Passed (no var SD = 0) AND Failed (no var SD = 0) | Equal Means",
        IF(AND(ROUND(N(AL170),8)&gt;0, ROUND(N(AO170),8)&gt;0), "Group 6: Flaky | Passed (with var SD &gt; 0 ) AND Failed (with var SD &gt; 0) | Equal Means",
        IF(AND(ROUND(N(AL170),8)=0, ROUND(N(AO170),8)&gt;0), "Group 7: Flaky | Passed (no var SD = 0) AND Failed (with var SD &gt; 0) | Equal Means",
        "Group 8: Flaky | Passed (with var SD &gt; 0 ) AND Failed (no var SD = 0) | Equal Means")))
    ),
    IF(AH170&gt;0,
        IF(N(AL170)&gt;0, "Group 10: Only Passed | With variation (with var SD &gt; 0)", "Group 9: Only Passed | Without variation (no var SD = 0)"),
        IF(AI170&gt;0,
            IF(N(AO170)&gt;0,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170" s="42" t="str">
        <f aca="false">IF(OR(F170="Observed Flaky Test", I170="Observed Flaky Test", S170="Observed Flaky Test", AJ170="Observed Flaky Test"), "Observed Flaky Test", "Non-observed Flaky Test")</f>
        <v>Observed Flaky Test</v>
      </c>
    </row>
    <row r="171" customFormat="false" ht="15.75" hidden="false" customHeight="true" outlineLevel="0" collapsed="false">
      <c r="A171" s="81" t="s">
        <v>393</v>
      </c>
      <c r="B171" s="14" t="s">
        <v>394</v>
      </c>
      <c r="C171" s="14" t="s">
        <v>395</v>
      </c>
      <c r="D171" s="15" t="n">
        <v>47</v>
      </c>
      <c r="E171" s="15" t="n">
        <v>53</v>
      </c>
      <c r="F171" s="61" t="str">
        <f aca="false">IF(AND(D171&gt;0, E171&gt;0), "Observed Flaky Test", "Non-observed Flaky Test")</f>
        <v>Observed Flaky Test</v>
      </c>
      <c r="G171" s="22" t="n">
        <v>31</v>
      </c>
      <c r="H171" s="22" t="n">
        <v>69</v>
      </c>
      <c r="I171" s="61" t="str">
        <f aca="false">IF(AND(G171&gt;0, H171&gt;0), "Observed Flaky Test", "Non-observed Flaky Test")</f>
        <v>Observed Flaky Test</v>
      </c>
      <c r="J171" s="18" t="n">
        <v>4.08</v>
      </c>
      <c r="K171" s="18" t="n">
        <v>0</v>
      </c>
      <c r="L171" s="19" t="n">
        <f aca="false">IFERROR(K171/J171*100,"N/A")</f>
        <v>0</v>
      </c>
      <c r="M171" s="66" t="n">
        <v>3.76</v>
      </c>
      <c r="N171" s="18" t="n">
        <v>0</v>
      </c>
      <c r="O171" s="20" t="n">
        <f aca="false">IFERROR(N171/M171*100,"N/A")</f>
        <v>0</v>
      </c>
      <c r="P171" s="78" t="str">
        <f aca="false">IF(AND(G171&gt;0, H171=0), IF(ROUND(K171,8)=0, "Group 9: Only Passed | Without variation (SD Passed = 0)", "Group 10: Only Passed | With variation (SD Passed &gt; 0)"), IF(AND(G171=0, H171&gt;0), IF(ROUND(N171,8)=0, "Group 11: Only Failed | Without variation (SD Failed = 0)", "Group 12: Only Failed | With variation (SD Failed &gt; 0)"), IF(AND(G171&gt;0, H171&gt;0), IF(ROUND(J171,5)&lt;&gt;ROUND(M171,5), IF(AND(ROUND(K171,8)=0, ROUND(N171,8)=0), "Group 1: Flaky | Passed (no variation) AND Failed (no variation) | Different Means", IF(AND(ROUND(K171,8)&gt;0, ROUND(N171,8)&gt;0), "Group 2: Flaky | Passed (with variation) AND Failed (with variation) | Different Means", IF(AND(ROUND(K171,8)=0, ROUND(N171,8)&gt;0), "Group 3: Flaky | Passed (no variation) AND Failed (with variation) | Different Means", "Group 4: Flaky | Passed (with variation) AND Failed (no variation) | Different Means"))), IF(AND(ROUND(K171,8)=0, ROUND(N171,8)=0), "Group 5: Flaky | Passed (no variation) AND Failed (no variation) | Equal Means", IF(AND(ROUND(K171,8)&gt;0, ROUND(N171,8)&gt;0), "Group 6: Flaky | Passed (with variation) AND Failed (with variation) | Equal Means", IF(AND(ROUND(K171,8)=0, ROUND(N171,8)&gt;0),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71" s="22" t="n">
        <v>95</v>
      </c>
      <c r="R171" s="22" t="n">
        <v>5</v>
      </c>
      <c r="S171" s="43" t="str">
        <f aca="false">IF(AND(Q171&gt;0, R171&gt;0), "Observed Flaky Test", "Non-observed Flaky Test")</f>
        <v>Observed Flaky Test</v>
      </c>
      <c r="T171" s="24" t="n">
        <v>364594.484211</v>
      </c>
      <c r="U171" s="24" t="n">
        <v>23.118963</v>
      </c>
      <c r="V171" s="25" t="n">
        <f aca="false">IFERROR(U171/T171*100,"N/A")</f>
        <v>0.00634100733861362</v>
      </c>
      <c r="W171" s="55" t="n">
        <v>463002.4</v>
      </c>
      <c r="X171" s="24" t="n">
        <v>11.326959</v>
      </c>
      <c r="Y171" s="27" t="n">
        <f aca="false">IFERROR(X171/W171*100,"N/A")</f>
        <v>0.00244641474860606</v>
      </c>
      <c r="Z171" s="68" t="str">
        <f aca="false">IF(AND(Q171&gt;0, R171=0), IF(IFERROR(ROUND(V171,8),0)=0, "Group 9: Only Passed | Without variation (no var CV = 0)", "Group 10: Only Passed | With variation (with var CV &gt; 0)"), IF(AND(Q171=0, R171&gt;0), IF(IFERROR(ROUND(Y171,8),0)=0, "Group 11: Only Failed | Without variation (no var CV = 0)", "Group 12: Only Failed | With variation (with var CV &gt; 0)"), IF(AND(Q171&gt;0, R171&gt;0), IF(ROUND(T171,5)&lt;&gt;ROUND(W171,5), IF(AND(IFERROR(ROUND(V171,8),0)=0, IFERROR(ROUND(Y171,8),0)=0), "Group 1: Flaky | Passed (no variation: CV = 0) AND Failed (no variation: CV = 0) | Different Means", IF(AND(IFERROR(ROUND(V171,8),0)&gt;0, IFERROR(ROUND(Y171,8),0)&gt;0), "Group 2: Flaky | Passed (with variation: CV &gt; 0) AND Failed (with variation: CV &gt; 0) | Different Means", IF(AND(IFERROR(ROUND(V171,8),0)=0, IFERROR(ROUND(Y171,8),0)&gt;0), "Group 3: Flaky | Passed (no variation: CV = 0) AND Failed (with variation: CV &gt; 0) | Different Means", "Group 4: Flaky | Passed (with variation: CV &gt; 0) AND Failed (no variation: CV = 0) | Different Means"))), IF(AND(IFERROR(ROUND(V171,8),0)=0, IFERROR(ROUND(Y171,8),0)=0), "Group 5: Flaky | Passed (no var CV = 0) AND Failed (no var CV = 0) | Equal Means", IF(AND(IFERROR(ROUND(V171,8),0)&gt;0, IFERROR(ROUND(Y171,8),0)&gt;0), "Group 6: Flaky | Passed (with var CV &gt; 0) AND Failed (with var CV &gt; 0) | Equal Means", IF(AND(IFERROR(ROUND(V171,8),0)=0, IFERROR(ROUND(Y171,8),0)&gt;0),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1" s="29" t="n">
        <v>0.307811</v>
      </c>
      <c r="AB171" s="29" t="n">
        <v>0.010537</v>
      </c>
      <c r="AC171" s="29" t="n">
        <f aca="false">IFERROR(AB171/AA171*100,"N/A")</f>
        <v>3.42320449886456</v>
      </c>
      <c r="AD171" s="29" t="n">
        <v>0.234514</v>
      </c>
      <c r="AE171" s="29" t="n">
        <v>0.002385</v>
      </c>
      <c r="AF171" s="29" t="n">
        <f aca="false">IFERROR(AE171/AD171*100,"N/A")</f>
        <v>1.01699685306634</v>
      </c>
      <c r="AG171" s="36" t="str">
        <f aca="false">IF(AND(Q171&gt;0, R171=0), IF(IFERROR(ROUND(AC171,8),0)=0, "Group 9: Only Passed | Without variation (no var CV = 0)", "Group 10: Only Passed | With variation (with var CV &gt; 0)"), IF(AND(Q171=0, R171&gt;0), IF(IFERROR(ROUND(AF171,8),0)=0, "Group 11: Only Failed | Without variation (no var CV = 0)", "Group 12: Only Failed | With variation (with var CV &gt; 0)"), IF(AND(Q171&gt;0, R171&gt;0), IF(ROUND(AA171,5)&lt;&gt;ROUND(AD171,5), IF(AND(IFERROR(ROUND(AC171,8),0)=0, IFERROR(ROUND(AF171,8),0)=0), "Group 1: Flaky | Passed (no variation: CV = 0) AND Failed (no variation: CV = 0) | Different Means", IF(AND(IFERROR(ROUND(AC171,8),0)&gt;0, IFERROR(ROUND(AF171,8),0)&gt;0), "Group 2: Flaky | Passed (with variation: CV &gt; 0) AND Failed (with variation: CV &gt; 0) | Different Means", IF(AND(IFERROR(ROUND(AC171,8),0)=0, IFERROR(ROUND(AF171,8),0)&gt;0), "Group 3: Flaky | Passed (no variation: CV = 0) AND Failed (with variation: CV &gt; 0) | Different Means", "Group 4: Flaky | Passed (with variation: CV &gt; 0) AND Failed (no variation: CV = 0) | Different Means"))), IF(AND(IFERROR(ROUND(AC171,8),0)=0, IFERROR(ROUND(AF171,8),0)=0), "Group 5: Flaky | Passed (no var CV = 0) AND Failed (no var CV = 0) | Equal Means", IF(AND(IFERROR(ROUND(AC171,8),0)&gt;0, IFERROR(ROUND(AF171,8),0)&gt;0), "Group 6: Flaky | Passed (with var CV &gt; 0) AND Failed (with var CV &gt; 0) | Equal Means", IF(AND(IFERROR(ROUND(AC171,8),0)=0, IFERROR(ROUND(AF171,8),0)&gt;0),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1" s="22" t="n">
        <v>32</v>
      </c>
      <c r="AI171" s="17" t="n">
        <v>68</v>
      </c>
      <c r="AJ171" s="39" t="str">
        <f aca="false">IF(AND(AH171&gt;0, AI171&gt;0), "Observed Flaky Test", "Non-observed Flaky Test")</f>
        <v>Observed Flaky Test</v>
      </c>
      <c r="AK171" s="90" t="n">
        <v>6967</v>
      </c>
      <c r="AL171" s="90" t="n">
        <v>0</v>
      </c>
      <c r="AM171" s="33" t="n">
        <f aca="false">IFERROR(AL171/AK171*100,"N/A")</f>
        <v>0</v>
      </c>
      <c r="AN171" s="100" t="n">
        <v>5648.82352941176</v>
      </c>
      <c r="AO171" s="94" t="n">
        <v>241.311462895302</v>
      </c>
      <c r="AP171" s="35" t="n">
        <f aca="false">IFERROR(AO171/AN171*100,"N/A")</f>
        <v>4.27188885683655</v>
      </c>
      <c r="AQ171" s="41" t="str">
        <f aca="false">IF(AND(AH171&gt;0, AI171&gt;0),
    IF(ROUND(N(AK171),5)&lt;&gt;ROUND(N(AN171),5),
        IF(AND(ROUND(N(AL171),8)=0, ROUND(N(AO171),8)=0), "Group 1: Flaky | Passed (no variation: SD = 0) AND Failed (no variation: SD = 0) | Different Means",
        IF(AND(ROUND(N(AL171),8)&gt;0, ROUND(N(AO171),8)&gt;0), "Group 2: Flaky | Passed (with variation: SD &gt; 0) AND Failed (with variation: SD &gt; 0) | Different Means",
        IF(AND(ROUND(N(AL171),8)=0, ROUND(N(AO171),8)&gt;0), "Group 3: Flaky | Passed (no variation: SD = 0) AND Failed (with variation: SD &gt; 0) | Different Means",
        "Group 4: Flaky | Passed (with variation: SD &gt; 0) AND Failed (no variation: SD = 0) | Different Means"))),
        IF(AND(ROUND(N(AL171),8)=0, ROUND(N(AO171),8)=0), "Group 5: Flaky | Passed (no var SD = 0) AND Failed (no var SD = 0) | Equal Means",
        IF(AND(ROUND(N(AL171),8)&gt;0, ROUND(N(AO171),8)&gt;0), "Group 6: Flaky | Passed (with var SD &gt; 0 ) AND Failed (with var SD &gt; 0) | Equal Means",
        IF(AND(ROUND(N(AL171),8)=0, ROUND(N(AO171),8)&gt;0), "Group 7: Flaky | Passed (no var SD = 0) AND Failed (with var SD &gt; 0) | Equal Means",
        "Group 8: Flaky | Passed (with var SD &gt; 0 ) AND Failed (no var SD = 0) | Equal Means")))
    ),
    IF(AH171&gt;0,
        IF(N(AL171)&gt;0, "Group 10: Only Passed | With variation (with var SD &gt; 0)", "Group 9: Only Passed | Without variation (no var SD = 0)"),
        IF(AI171&gt;0,
            IF(N(AO171)&gt;0,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171" s="42" t="str">
        <f aca="false">IF(OR(F171="Observed Flaky Test", I171="Observed Flaky Test", S171="Observed Flaky Test", AJ171="Observed Flaky Test"), "Observed Flaky Test", "Non-observed Flaky Test")</f>
        <v>Observed Flaky Test</v>
      </c>
    </row>
    <row r="172" customFormat="false" ht="15.75" hidden="false" customHeight="true" outlineLevel="0" collapsed="false">
      <c r="A172" s="81" t="s">
        <v>396</v>
      </c>
      <c r="B172" s="14" t="s">
        <v>397</v>
      </c>
      <c r="C172" s="14" t="s">
        <v>398</v>
      </c>
      <c r="D172" s="15" t="n">
        <v>95</v>
      </c>
      <c r="E172" s="15" t="n">
        <v>5</v>
      </c>
      <c r="F172" s="61" t="str">
        <f aca="false">IF(AND(D172&gt;0, E172&gt;0), "Observed Flaky Test", "Non-observed Flaky Test")</f>
        <v>Observed Flaky Test</v>
      </c>
      <c r="G172" s="22" t="n">
        <v>86</v>
      </c>
      <c r="H172" s="22" t="n">
        <v>14</v>
      </c>
      <c r="I172" s="61" t="str">
        <f aca="false">IF(AND(G172&gt;0, H172&gt;0), "Observed Flaky Test", "Non-observed Flaky Test")</f>
        <v>Observed Flaky Test</v>
      </c>
      <c r="J172" s="18" t="n">
        <v>56.92</v>
      </c>
      <c r="K172" s="18" t="n">
        <v>0</v>
      </c>
      <c r="L172" s="19" t="n">
        <f aca="false">IFERROR(K172/J172*100,"N/A")</f>
        <v>0</v>
      </c>
      <c r="M172" s="18" t="n">
        <v>56.29</v>
      </c>
      <c r="N172" s="18" t="n">
        <v>0</v>
      </c>
      <c r="O172" s="20" t="n">
        <f aca="false">IFERROR(N172/M172*100,"N/A")</f>
        <v>0</v>
      </c>
      <c r="P172" s="78" t="str">
        <f aca="false">IF(AND(G172&gt;0, H172=0), IF(ROUND(K172,8)=0, "Group 9: Only Passed | Without variation (SD Passed = 0)", "Group 10: Only Passed | With variation (SD Passed &gt; 0)"), IF(AND(G172=0, H172&gt;0), IF(ROUND(N172,8)=0, "Group 11: Only Failed | Without variation (SD Failed = 0)", "Group 12: Only Failed | With variation (SD Failed &gt; 0)"), IF(AND(G172&gt;0, H172&gt;0), IF(ROUND(J172,5)&lt;&gt;ROUND(M172,5), IF(AND(ROUND(K172,8)=0, ROUND(N172,8)=0), "Group 1: Flaky | Passed (no variation) AND Failed (no variation) | Different Means", IF(AND(ROUND(K172,8)&gt;0, ROUND(N172,8)&gt;0), "Group 2: Flaky | Passed (with variation) AND Failed (with variation) | Different Means", IF(AND(ROUND(K172,8)=0, ROUND(N172,8)&gt;0), "Group 3: Flaky | Passed (no variation) AND Failed (with variation) | Different Means", "Group 4: Flaky | Passed (with variation) AND Failed (no variation) | Different Means"))), IF(AND(ROUND(K172,8)=0, ROUND(N172,8)=0), "Group 5: Flaky | Passed (no variation) AND Failed (no variation) | Equal Means", IF(AND(ROUND(K172,8)&gt;0, ROUND(N172,8)&gt;0), "Group 6: Flaky | Passed (with variation) AND Failed (with variation) | Equal Means", IF(AND(ROUND(K172,8)=0, ROUND(N172,8)&gt;0),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72" s="22" t="n">
        <v>91</v>
      </c>
      <c r="R172" s="22" t="n">
        <v>9</v>
      </c>
      <c r="S172" s="43" t="str">
        <f aca="false">IF(AND(Q172&gt;0, R172&gt;0), "Observed Flaky Test", "Non-observed Flaky Test")</f>
        <v>Observed Flaky Test</v>
      </c>
      <c r="T172" s="24" t="n">
        <v>421504.351648</v>
      </c>
      <c r="U172" s="24" t="n">
        <v>28.271451</v>
      </c>
      <c r="V172" s="25" t="n">
        <f aca="false">IFERROR(U172/T172*100,"N/A")</f>
        <v>0.00670727381329852</v>
      </c>
      <c r="W172" s="24" t="n">
        <v>713451.222222</v>
      </c>
      <c r="X172" s="24" t="n">
        <v>56.627683</v>
      </c>
      <c r="Y172" s="27" t="n">
        <f aca="false">IFERROR(X172/W172*100,"N/A")</f>
        <v>0.00793714850240729</v>
      </c>
      <c r="Z172" s="68" t="str">
        <f aca="false">IF(AND(Q172&gt;0, R172=0), IF(IFERROR(ROUND(V172,8),0)=0, "Group 9: Only Passed | Without variation (no var CV = 0)", "Group 10: Only Passed | With variation (with var CV &gt; 0)"), IF(AND(Q172=0, R172&gt;0), IF(IFERROR(ROUND(Y172,8),0)=0, "Group 11: Only Failed | Without variation (no var CV = 0)", "Group 12: Only Failed | With variation (with var CV &gt; 0)"), IF(AND(Q172&gt;0, R172&gt;0), IF(ROUND(T172,5)&lt;&gt;ROUND(W172,5), IF(AND(IFERROR(ROUND(V172,8),0)=0, IFERROR(ROUND(Y172,8),0)=0), "Group 1: Flaky | Passed (no variation: CV = 0) AND Failed (no variation: CV = 0) | Different Means", IF(AND(IFERROR(ROUND(V172,8),0)&gt;0, IFERROR(ROUND(Y172,8),0)&gt;0), "Group 2: Flaky | Passed (with variation: CV &gt; 0) AND Failed (with variation: CV &gt; 0) | Different Means", IF(AND(IFERROR(ROUND(V172,8),0)=0, IFERROR(ROUND(Y172,8),0)&gt;0), "Group 3: Flaky | Passed (no variation: CV = 0) AND Failed (with variation: CV &gt; 0) | Different Means", "Group 4: Flaky | Passed (with variation: CV &gt; 0) AND Failed (no variation: CV = 0) | Different Means"))), IF(AND(IFERROR(ROUND(V172,8),0)=0, IFERROR(ROUND(Y172,8),0)=0), "Group 5: Flaky | Passed (no var CV = 0) AND Failed (no var CV = 0) | Equal Means", IF(AND(IFERROR(ROUND(V172,8),0)&gt;0, IFERROR(ROUND(Y172,8),0)&gt;0), "Group 6: Flaky | Passed (with var CV &gt; 0) AND Failed (with var CV &gt; 0) | Equal Means", IF(AND(IFERROR(ROUND(V172,8),0)=0, IFERROR(ROUND(Y172,8),0)&gt;0),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2" s="29" t="n">
        <v>0.55837</v>
      </c>
      <c r="AB172" s="29" t="n">
        <v>0.037997</v>
      </c>
      <c r="AC172" s="29" t="n">
        <f aca="false">IFERROR(AB172/AA172*100,"N/A")</f>
        <v>6.80498594122177</v>
      </c>
      <c r="AD172" s="29" t="n">
        <v>0.369123</v>
      </c>
      <c r="AE172" s="29" t="n">
        <v>0.00492</v>
      </c>
      <c r="AF172" s="29" t="n">
        <f aca="false">IFERROR(AE172/AD172*100,"N/A")</f>
        <v>1.33288903698767</v>
      </c>
      <c r="AG172" s="36" t="str">
        <f aca="false">IF(AND(Q172&gt;0, R172=0), IF(IFERROR(ROUND(AC172,8),0)=0, "Group 9: Only Passed | Without variation (no var CV = 0)", "Group 10: Only Passed | With variation (with var CV &gt; 0)"), IF(AND(Q172=0, R172&gt;0), IF(IFERROR(ROUND(AF172,8),0)=0, "Group 11: Only Failed | Without variation (no var CV = 0)", "Group 12: Only Failed | With variation (with var CV &gt; 0)"), IF(AND(Q172&gt;0, R172&gt;0), IF(ROUND(AA172,5)&lt;&gt;ROUND(AD172,5), IF(AND(IFERROR(ROUND(AC172,8),0)=0, IFERROR(ROUND(AF172,8),0)=0), "Group 1: Flaky | Passed (no variation: CV = 0) AND Failed (no variation: CV = 0) | Different Means", IF(AND(IFERROR(ROUND(AC172,8),0)&gt;0, IFERROR(ROUND(AF172,8),0)&gt;0), "Group 2: Flaky | Passed (with variation: CV &gt; 0) AND Failed (with variation: CV &gt; 0) | Different Means", IF(AND(IFERROR(ROUND(AC172,8),0)=0, IFERROR(ROUND(AF172,8),0)&gt;0), "Group 3: Flaky | Passed (no variation: CV = 0) AND Failed (with variation: CV &gt; 0) | Different Means", "Group 4: Flaky | Passed (with variation: CV &gt; 0) AND Failed (no variation: CV = 0) | Different Means"))), IF(AND(IFERROR(ROUND(AC172,8),0)=0, IFERROR(ROUND(AF172,8),0)=0), "Group 5: Flaky | Passed (no var CV = 0) AND Failed (no var CV = 0) | Equal Means", IF(AND(IFERROR(ROUND(AC172,8),0)&gt;0, IFERROR(ROUND(AF172,8),0)&gt;0), "Group 6: Flaky | Passed (with var CV &gt; 0) AND Failed (with var CV &gt; 0) | Equal Means", IF(AND(IFERROR(ROUND(AC172,8),0)=0, IFERROR(ROUND(AF172,8),0)&gt;0),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2" s="22" t="n">
        <v>83</v>
      </c>
      <c r="AI172" s="17" t="n">
        <v>17</v>
      </c>
      <c r="AJ172" s="39" t="str">
        <f aca="false">IF(AND(AH172&gt;0, AI172&gt;0), "Observed Flaky Test", "Non-observed Flaky Test")</f>
        <v>Observed Flaky Test</v>
      </c>
      <c r="AK172" s="20" t="n">
        <v>27183.4096385542</v>
      </c>
      <c r="AL172" s="97" t="n">
        <v>5.5304834715185</v>
      </c>
      <c r="AM172" s="33" t="n">
        <f aca="false">IFERROR(AL172/AK172*100,"N/A")</f>
        <v>0.0203450690882965</v>
      </c>
      <c r="AN172" s="20" t="n">
        <v>27184.7058823529</v>
      </c>
      <c r="AO172" s="99" t="n">
        <v>3.65316140285289</v>
      </c>
      <c r="AP172" s="35" t="n">
        <f aca="false">IFERROR(AO172/AN172*100,"N/A")</f>
        <v>0.0134382965872894</v>
      </c>
      <c r="AQ172" s="63" t="str">
        <f aca="false">IF(AND(AH172&gt;0, AI172&gt;0),
    IF(ROUND(N(AK172),5)&lt;&gt;ROUND(N(AN172),5),
        IF(AND(ROUND(N(AL172),8)=0, ROUND(N(AO172),8)=0), "Group 1: Flaky | Passed (no variation: SD = 0) AND Failed (no variation: SD = 0) | Different Means",
        IF(AND(ROUND(N(AL172),8)&gt;0, ROUND(N(AO172),8)&gt;0), "Group 2: Flaky | Passed (with variation: SD &gt; 0) AND Failed (with variation: SD &gt; 0) | Different Means",
        IF(AND(ROUND(N(AL172),8)=0, ROUND(N(AO172),8)&gt;0), "Group 3: Flaky | Passed (no variation: SD = 0) AND Failed (with variation: SD &gt; 0) | Different Means",
        "Group 4: Flaky | Passed (with variation: SD &gt; 0) AND Failed (no variation: SD = 0) | Different Means"))),
        IF(AND(ROUND(N(AL172),8)=0, ROUND(N(AO172),8)=0), "Group 5: Flaky | Passed (no var SD = 0) AND Failed (no var SD = 0) | Equal Means",
        IF(AND(ROUND(N(AL172),8)&gt;0, ROUND(N(AO172),8)&gt;0), "Group 6: Flaky | Passed (with var SD &gt; 0 ) AND Failed (with var SD &gt; 0) | Equal Means",
        IF(AND(ROUND(N(AL172),8)=0, ROUND(N(AO172),8)&gt;0), "Group 7: Flaky | Passed (no var SD = 0) AND Failed (with var SD &gt; 0) | Equal Means",
        "Group 8: Flaky | Passed (with var SD &gt; 0 ) AND Failed (no var SD = 0) | Equal Means")))
    ),
    IF(AH172&gt;0,
        IF(N(AL172)&gt;0, "Group 10: Only Passed | With variation (with var SD &gt; 0)", "Group 9: Only Passed | Without variation (no var SD = 0)"),
        IF(AI172&gt;0,
            IF(N(AO172)&gt;0,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72" s="42" t="str">
        <f aca="false">IF(OR(F172="Observed Flaky Test", I172="Observed Flaky Test", S172="Observed Flaky Test", AJ172="Observed Flaky Test"), "Observed Flaky Test", "Non-observed Flaky Test")</f>
        <v>Observed Flaky Test</v>
      </c>
    </row>
    <row r="173" customFormat="false" ht="15.75" hidden="false" customHeight="true" outlineLevel="0" collapsed="false">
      <c r="A173" s="81" t="s">
        <v>399</v>
      </c>
      <c r="B173" s="14" t="s">
        <v>400</v>
      </c>
      <c r="C173" s="14" t="s">
        <v>401</v>
      </c>
      <c r="D173" s="15" t="n">
        <v>90</v>
      </c>
      <c r="E173" s="15" t="n">
        <v>10</v>
      </c>
      <c r="F173" s="61" t="str">
        <f aca="false">IF(AND(D173&gt;0, E173&gt;0), "Observed Flaky Test", "Non-observed Flaky Test")</f>
        <v>Observed Flaky Test</v>
      </c>
      <c r="G173" s="22" t="n">
        <v>88</v>
      </c>
      <c r="H173" s="22" t="n">
        <v>12</v>
      </c>
      <c r="I173" s="61" t="str">
        <f aca="false">IF(AND(G173&gt;0, H173&gt;0), "Observed Flaky Test", "Non-observed Flaky Test")</f>
        <v>Observed Flaky Test</v>
      </c>
      <c r="J173" s="18" t="n">
        <v>39.77</v>
      </c>
      <c r="K173" s="18" t="n">
        <v>0</v>
      </c>
      <c r="L173" s="19" t="n">
        <f aca="false">IFERROR(K173/J173*100,"N/A")</f>
        <v>0</v>
      </c>
      <c r="M173" s="18" t="n">
        <v>39.77</v>
      </c>
      <c r="N173" s="18" t="n">
        <v>0</v>
      </c>
      <c r="O173" s="20" t="n">
        <f aca="false">IFERROR(N173/M173*100,"N/A")</f>
        <v>0</v>
      </c>
      <c r="P173" s="92" t="str">
        <f aca="false">IF(AND(G173&gt;0, H173=0), IF(ROUND(K173,8)=0, "Group 9: Only Passed | Without variation (SD Passed = 0)", "Group 10: Only Passed | With variation (SD Passed &gt; 0)"), IF(AND(G173=0, H173&gt;0), IF(ROUND(N173,8)=0, "Group 11: Only Failed | Without variation (SD Failed = 0)", "Group 12: Only Failed | With variation (SD Failed &gt; 0)"), IF(AND(G173&gt;0, H173&gt;0), IF(ROUND(J173,5)&lt;&gt;ROUND(M173,5), IF(AND(ROUND(K173,8)=0, ROUND(N173,8)=0), "Group 1: Flaky | Passed (no variation) AND Failed (no variation) | Different Means", IF(AND(ROUND(K173,8)&gt;0, ROUND(N173,8)&gt;0), "Group 2: Flaky | Passed (with variation) AND Failed (with variation) | Different Means", IF(AND(ROUND(K173,8)=0, ROUND(N173,8)&gt;0), "Group 3: Flaky | Passed (no variation) AND Failed (with variation) | Different Means", "Group 4: Flaky | Passed (with variation) AND Failed (no variation) | Different Means"))), IF(AND(ROUND(K173,8)=0, ROUND(N173,8)=0), "Group 5: Flaky | Passed (no variation) AND Failed (no variation) | Equal Means", IF(AND(ROUND(K173,8)&gt;0, ROUND(N173,8)&gt;0), "Group 6: Flaky | Passed (with variation) AND Failed (with variation) | Equal Means", IF(AND(ROUND(K173,8)=0, ROUND(N173,8)&gt;0),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73" s="17" t="n">
        <v>92</v>
      </c>
      <c r="R173" s="17" t="n">
        <v>8</v>
      </c>
      <c r="S173" s="43" t="str">
        <f aca="false">IF(AND(Q173&gt;0, R173&gt;0), "Observed Flaky Test", "Non-observed Flaky Test")</f>
        <v>Observed Flaky Test</v>
      </c>
      <c r="T173" s="24" t="n">
        <v>723807.467391</v>
      </c>
      <c r="U173" s="24" t="n">
        <v>1887.353409</v>
      </c>
      <c r="V173" s="25" t="n">
        <f aca="false">IFERROR(U173/T173*100,"N/A")</f>
        <v>0.260753514439836</v>
      </c>
      <c r="W173" s="55" t="n">
        <v>807400125</v>
      </c>
      <c r="X173" s="24" t="n">
        <v>3187.139131</v>
      </c>
      <c r="Y173" s="27" t="n">
        <f aca="false">IFERROR(X173/W173*100,"N/A")</f>
        <v>0.000394740975671759</v>
      </c>
      <c r="Z173" s="68" t="str">
        <f aca="false">IF(AND(Q173&gt;0, R173=0), IF(IFERROR(ROUND(V173,8),0)=0, "Group 9: Only Passed | Without variation (no var CV = 0)", "Group 10: Only Passed | With variation (with var CV &gt; 0)"), IF(AND(Q173=0, R173&gt;0), IF(IFERROR(ROUND(Y173,8),0)=0, "Group 11: Only Failed | Without variation (no var CV = 0)", "Group 12: Only Failed | With variation (with var CV &gt; 0)"), IF(AND(Q173&gt;0, R173&gt;0), IF(ROUND(T173,5)&lt;&gt;ROUND(W173,5), IF(AND(IFERROR(ROUND(V173,8),0)=0, IFERROR(ROUND(Y173,8),0)=0), "Group 1: Flaky | Passed (no variation: CV = 0) AND Failed (no variation: CV = 0) | Different Means", IF(AND(IFERROR(ROUND(V173,8),0)&gt;0, IFERROR(ROUND(Y173,8),0)&gt;0), "Group 2: Flaky | Passed (with variation: CV &gt; 0) AND Failed (with variation: CV &gt; 0) | Different Means", IF(AND(IFERROR(ROUND(V173,8),0)=0, IFERROR(ROUND(Y173,8),0)&gt;0), "Group 3: Flaky | Passed (no variation: CV = 0) AND Failed (with variation: CV &gt; 0) | Different Means", "Group 4: Flaky | Passed (with variation: CV &gt; 0) AND Failed (no variation: CV = 0) | Different Means"))), IF(AND(IFERROR(ROUND(V173,8),0)=0, IFERROR(ROUND(Y173,8),0)=0), "Group 5: Flaky | Passed (no var CV = 0) AND Failed (no var CV = 0) | Equal Means", IF(AND(IFERROR(ROUND(V173,8),0)&gt;0, IFERROR(ROUND(Y173,8),0)&gt;0), "Group 6: Flaky | Passed (with var CV &gt; 0) AND Failed (with var CV &gt; 0) | Equal Means", IF(AND(IFERROR(ROUND(V173,8),0)=0, IFERROR(ROUND(Y173,8),0)&gt;0),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3" s="29" t="n">
        <v>0.565998</v>
      </c>
      <c r="AB173" s="29" t="n">
        <v>0.006276</v>
      </c>
      <c r="AC173" s="29" t="n">
        <f aca="false">IFERROR(AB173/AA173*100,"N/A")</f>
        <v>1.1088378404164</v>
      </c>
      <c r="AD173" s="29" t="n">
        <v>0.583344</v>
      </c>
      <c r="AE173" s="29" t="n">
        <v>0.013081</v>
      </c>
      <c r="AF173" s="29" t="n">
        <f aca="false">IFERROR(AE173/AD173*100,"N/A")</f>
        <v>2.24241613867632</v>
      </c>
      <c r="AG173" s="36" t="str">
        <f aca="false">IF(AND(Q173&gt;0, R173=0), IF(IFERROR(ROUND(AC173,8),0)=0, "Group 9: Only Passed | Without variation (no var CV = 0)", "Group 10: Only Passed | With variation (with var CV &gt; 0)"), IF(AND(Q173=0, R173&gt;0), IF(IFERROR(ROUND(AF173,8),0)=0, "Group 11: Only Failed | Without variation (no var CV = 0)", "Group 12: Only Failed | With variation (with var CV &gt; 0)"), IF(AND(Q173&gt;0, R173&gt;0), IF(ROUND(AA173,5)&lt;&gt;ROUND(AD173,5), IF(AND(IFERROR(ROUND(AC173,8),0)=0, IFERROR(ROUND(AF173,8),0)=0), "Group 1: Flaky | Passed (no variation: CV = 0) AND Failed (no variation: CV = 0) | Different Means", IF(AND(IFERROR(ROUND(AC173,8),0)&gt;0, IFERROR(ROUND(AF173,8),0)&gt;0), "Group 2: Flaky | Passed (with variation: CV &gt; 0) AND Failed (with variation: CV &gt; 0) | Different Means", IF(AND(IFERROR(ROUND(AC173,8),0)=0, IFERROR(ROUND(AF173,8),0)&gt;0), "Group 3: Flaky | Passed (no variation: CV = 0) AND Failed (with variation: CV &gt; 0) | Different Means", "Group 4: Flaky | Passed (with variation: CV &gt; 0) AND Failed (no variation: CV = 0) | Different Means"))), IF(AND(IFERROR(ROUND(AC173,8),0)=0, IFERROR(ROUND(AF173,8),0)=0), "Group 5: Flaky | Passed (no var CV = 0) AND Failed (no var CV = 0) | Equal Means", IF(AND(IFERROR(ROUND(AC173,8),0)&gt;0, IFERROR(ROUND(AF173,8),0)&gt;0), "Group 6: Flaky | Passed (with var CV &gt; 0) AND Failed (with var CV &gt; 0) | Equal Means", IF(AND(IFERROR(ROUND(AC173,8),0)=0, IFERROR(ROUND(AF173,8),0)&gt;0),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3" s="22" t="n">
        <v>83</v>
      </c>
      <c r="AI173" s="17" t="n">
        <v>17</v>
      </c>
      <c r="AJ173" s="39" t="str">
        <f aca="false">IF(AND(AH173&gt;0, AI173&gt;0), "Observed Flaky Test", "Non-observed Flaky Test")</f>
        <v>Observed Flaky Test</v>
      </c>
      <c r="AK173" s="90" t="n">
        <v>616</v>
      </c>
      <c r="AL173" s="90" t="n">
        <v>0</v>
      </c>
      <c r="AM173" s="33" t="n">
        <f aca="false">IFERROR(AL173/AK173*100,"N/A")</f>
        <v>0</v>
      </c>
      <c r="AN173" s="90" t="n">
        <v>616</v>
      </c>
      <c r="AO173" s="90" t="n">
        <v>0</v>
      </c>
      <c r="AP173" s="35" t="n">
        <f aca="false">IFERROR(AO173/AN173*100,"N/A")</f>
        <v>0</v>
      </c>
      <c r="AQ173" s="51" t="str">
        <f aca="false">IF(AND(AH173&gt;0, AI173&gt;0),
    IF(ROUND(N(AK173),5)&lt;&gt;ROUND(N(AN173),5),
        IF(AND(ROUND(N(AL173),8)=0, ROUND(N(AO173),8)=0), "Group 1: Flaky | Passed (no variation: SD = 0) AND Failed (no variation: SD = 0) | Different Means",
        IF(AND(ROUND(N(AL173),8)&gt;0, ROUND(N(AO173),8)&gt;0), "Group 2: Flaky | Passed (with variation: SD &gt; 0) AND Failed (with variation: SD &gt; 0) | Different Means",
        IF(AND(ROUND(N(AL173),8)=0, ROUND(N(AO173),8)&gt;0), "Group 3: Flaky | Passed (no variation: SD = 0) AND Failed (with variation: SD &gt; 0) | Different Means",
        "Group 4: Flaky | Passed (with variation: SD &gt; 0) AND Failed (no variation: SD = 0) | Different Means"))),
        IF(AND(ROUND(N(AL173),8)=0, ROUND(N(AO173),8)=0), "Group 5: Flaky | Passed (no var SD = 0) AND Failed (no var SD = 0) | Equal Means",
        IF(AND(ROUND(N(AL173),8)&gt;0, ROUND(N(AO173),8)&gt;0), "Group 6: Flaky | Passed (with var SD &gt; 0 ) AND Failed (with var SD &gt; 0) | Equal Means",
        IF(AND(ROUND(N(AL173),8)=0, ROUND(N(AO173),8)&gt;0), "Group 7: Flaky | Passed (no var SD = 0) AND Failed (with var SD &gt; 0) | Equal Means",
        "Group 8: Flaky | Passed (with var SD &gt; 0 ) AND Failed (no var SD = 0) | Equal Means")))
    ),
    IF(AH173&gt;0,
        IF(N(AL173)&gt;0, "Group 10: Only Passed | With variation (with var SD &gt; 0)", "Group 9: Only Passed | Without variation (no var SD = 0)"),
        IF(AI173&gt;0,
            IF(N(AO173)&gt;0,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173" s="42" t="str">
        <f aca="false">IF(OR(F173="Observed Flaky Test", I173="Observed Flaky Test", S173="Observed Flaky Test", AJ173="Observed Flaky Test"), "Observed Flaky Test", "Non-observed Flaky Test")</f>
        <v>Observed Flaky Test</v>
      </c>
    </row>
    <row r="174" customFormat="false" ht="15.75" hidden="false" customHeight="true" outlineLevel="0" collapsed="false">
      <c r="A174" s="81" t="s">
        <v>402</v>
      </c>
      <c r="B174" s="14" t="s">
        <v>403</v>
      </c>
      <c r="C174" s="14" t="s">
        <v>404</v>
      </c>
      <c r="D174" s="15" t="n">
        <v>0</v>
      </c>
      <c r="E174" s="15" t="n">
        <v>100</v>
      </c>
      <c r="F174" s="16" t="str">
        <f aca="false">IF(AND(D174&gt;0, E174&gt;0), "Observed Flaky Test", "Non-observed Flaky Test")</f>
        <v>Non-observed Flaky Test</v>
      </c>
      <c r="G174" s="22" t="n">
        <v>0</v>
      </c>
      <c r="H174" s="22" t="n">
        <v>100</v>
      </c>
      <c r="I174" s="16" t="str">
        <f aca="false">IF(AND(G174&gt;0, H174&gt;0), "Observed Flaky Test", "Non-observed Flaky Test")</f>
        <v>Non-observed Flaky Test</v>
      </c>
      <c r="J174" s="18" t="n">
        <v>0</v>
      </c>
      <c r="K174" s="18" t="n">
        <v>0</v>
      </c>
      <c r="L174" s="19" t="str">
        <f aca="false">IFERROR(K174/J174*100,"N/A")</f>
        <v>N/A</v>
      </c>
      <c r="M174" s="18" t="n">
        <v>19.78</v>
      </c>
      <c r="N174" s="18" t="n">
        <v>0</v>
      </c>
      <c r="O174" s="20" t="n">
        <f aca="false">IFERROR(N174/M174*100,"N/A")</f>
        <v>0</v>
      </c>
      <c r="P174" s="21" t="str">
        <f aca="false">IF(AND(G174&gt;0, H174=0), IF(ROUND(K174,8)=0, "Group 9: Only Passed | Without variation (SD Passed = 0)", "Group 10: Only Passed | With variation (SD Passed &gt; 0)"), IF(AND(G174=0, H174&gt;0), IF(ROUND(N174,8)=0, "Group 11: Only Failed | Without variation (SD Failed = 0)", "Group 12: Only Failed | With variation (SD Failed &gt; 0)"), IF(AND(G174&gt;0, H174&gt;0), IF(ROUND(J174,5)&lt;&gt;ROUND(M174,5), IF(AND(ROUND(K174,8)=0, ROUND(N174,8)=0), "Group 1: Flaky | Passed (no variation) AND Failed (no variation) | Different Means", IF(AND(ROUND(K174,8)&gt;0, ROUND(N174,8)&gt;0), "Group 2: Flaky | Passed (with variation) AND Failed (with variation) | Different Means", IF(AND(ROUND(K174,8)=0, ROUND(N174,8)&gt;0), "Group 3: Flaky | Passed (no variation) AND Failed (with variation) | Different Means", "Group 4: Flaky | Passed (with variation) AND Failed (no variation) | Different Means"))), IF(AND(ROUND(K174,8)=0, ROUND(N174,8)=0), "Group 5: Flaky | Passed (no variation) AND Failed (no variation) | Equal Means", IF(AND(ROUND(K174,8)&gt;0, ROUND(N174,8)&gt;0), "Group 6: Flaky | Passed (with variation) AND Failed (with variation) | Equal Means", IF(AND(ROUND(K174,8)=0, ROUND(N174,8)&gt;0),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174" s="17" t="n">
        <v>0</v>
      </c>
      <c r="R174" s="17" t="n">
        <v>12</v>
      </c>
      <c r="S174" s="23" t="str">
        <f aca="false">IF(AND(Q174&gt;0, R174&gt;0), "Observed Flaky Test", "Non-observed Flaky Test")</f>
        <v>Non-observed Flaky Test</v>
      </c>
      <c r="T174" s="22" t="n">
        <v>0</v>
      </c>
      <c r="U174" s="22" t="n">
        <v>0</v>
      </c>
      <c r="V174" s="25" t="str">
        <f aca="false">IFERROR(U174/T174*100,"N/A")</f>
        <v>N/A</v>
      </c>
      <c r="W174" s="22" t="n">
        <v>761169.52</v>
      </c>
      <c r="X174" s="24" t="n">
        <v>13.559059</v>
      </c>
      <c r="Y174" s="27" t="n">
        <f aca="false">IFERROR(X174/W174*100,"N/A")</f>
        <v>0.00178134550106526</v>
      </c>
      <c r="Z174" s="28" t="str">
        <f aca="false">IF(AND(Q174&gt;0, R174=0), IF(IFERROR(ROUND(V174,8),0)=0, "Group 9: Only Passed | Without variation (no var CV = 0)", "Group 10: Only Passed | With variation (with var CV &gt; 0)"), IF(AND(Q174=0, R174&gt;0), IF(IFERROR(ROUND(Y174,8),0)=0, "Group 11: Only Failed | Without variation (no var CV = 0)", "Group 12: Only Failed | With variation (with var CV &gt; 0)"), IF(AND(Q174&gt;0, R174&gt;0), IF(ROUND(T174,5)&lt;&gt;ROUND(W174,5), IF(AND(IFERROR(ROUND(V174,8),0)=0, IFERROR(ROUND(Y174,8),0)=0), "Group 1: Flaky | Passed (no variation: CV = 0) AND Failed (no variation: CV = 0) | Different Means", IF(AND(IFERROR(ROUND(V174,8),0)&gt;0, IFERROR(ROUND(Y174,8),0)&gt;0), "Group 2: Flaky | Passed (with variation: CV &gt; 0) AND Failed (with variation: CV &gt; 0) | Different Means", IF(AND(IFERROR(ROUND(V174,8),0)=0, IFERROR(ROUND(Y174,8),0)&gt;0), "Group 3: Flaky | Passed (no variation: CV = 0) AND Failed (with variation: CV &gt; 0) | Different Means", "Group 4: Flaky | Passed (with variation: CV &gt; 0) AND Failed (no variation: CV = 0) | Different Means"))), IF(AND(IFERROR(ROUND(V174,8),0)=0, IFERROR(ROUND(Y174,8),0)=0), "Group 5: Flaky | Passed (no var CV = 0) AND Failed (no var CV = 0) | Equal Means", IF(AND(IFERROR(ROUND(V174,8),0)&gt;0, IFERROR(ROUND(Y174,8),0)&gt;0), "Group 6: Flaky | Passed (with var CV &gt; 0) AND Failed (with var CV &gt; 0) | Equal Means", IF(AND(IFERROR(ROUND(V174,8),0)=0, IFERROR(ROUND(Y174,8),0)&gt;0),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174" s="29" t="n">
        <v>0</v>
      </c>
      <c r="AB174" s="29" t="n">
        <v>0</v>
      </c>
      <c r="AC174" s="29" t="str">
        <f aca="false">IFERROR(AB174/AA174*100,"N/A")</f>
        <v>N/A</v>
      </c>
      <c r="AD174" s="29" t="n">
        <v>1.26795</v>
      </c>
      <c r="AE174" s="29" t="n">
        <v>0.235324</v>
      </c>
      <c r="AF174" s="29" t="n">
        <f aca="false">IFERROR(AE174/AD174*100,"N/A")</f>
        <v>18.5594069166765</v>
      </c>
      <c r="AG174" s="30" t="str">
        <f aca="false">IF(AND(Q174&gt;0, R174=0), IF(IFERROR(ROUND(AC174,8),0)=0, "Group 9: Only Passed | Without variation (no var CV = 0)", "Group 10: Only Passed | With variation (with var CV &gt; 0)"), IF(AND(Q174=0, R174&gt;0), IF(IFERROR(ROUND(AF174,8),0)=0, "Group 11: Only Failed | Without variation (no var CV = 0)", "Group 12: Only Failed | With variation (with var CV &gt; 0)"), IF(AND(Q174&gt;0, R174&gt;0), IF(ROUND(AA174,5)&lt;&gt;ROUND(AD174,5), IF(AND(IFERROR(ROUND(AC174,8),0)=0, IFERROR(ROUND(AF174,8),0)=0), "Group 1: Flaky | Passed (no variation: CV = 0) AND Failed (no variation: CV = 0) | Different Means", IF(AND(IFERROR(ROUND(AC174,8),0)&gt;0, IFERROR(ROUND(AF174,8),0)&gt;0), "Group 2: Flaky | Passed (with variation: CV &gt; 0) AND Failed (with variation: CV &gt; 0) | Different Means", IF(AND(IFERROR(ROUND(AC174,8),0)=0, IFERROR(ROUND(AF174,8),0)&gt;0), "Group 3: Flaky | Passed (no variation: CV = 0) AND Failed (with variation: CV &gt; 0) | Different Means", "Group 4: Flaky | Passed (with variation: CV &gt; 0) AND Failed (no variation: CV = 0) | Different Means"))), IF(AND(IFERROR(ROUND(AC174,8),0)=0, IFERROR(ROUND(AF174,8),0)=0), "Group 5: Flaky | Passed (no var CV = 0) AND Failed (no var CV = 0) | Equal Means", IF(AND(IFERROR(ROUND(AC174,8),0)&gt;0, IFERROR(ROUND(AF174,8),0)&gt;0), "Group 6: Flaky | Passed (with var CV &gt; 0) AND Failed (with var CV &gt; 0) | Equal Means", IF(AND(IFERROR(ROUND(AC174,8),0)=0, IFERROR(ROUND(AF174,8),0)&gt;0),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174" s="22" t="n">
        <v>0</v>
      </c>
      <c r="AI174" s="17" t="n">
        <v>100</v>
      </c>
      <c r="AJ174" s="31" t="str">
        <f aca="false">IF(AND(AH174&gt;0, AI174&gt;0), "Observed Flaky Test", "Non-observed Flaky Test")</f>
        <v>Non-observed Flaky Test</v>
      </c>
      <c r="AK174" s="90" t="n">
        <v>0</v>
      </c>
      <c r="AL174" s="90" t="n">
        <v>0</v>
      </c>
      <c r="AM174" s="33" t="str">
        <f aca="false">IFERROR(AL174/AK174*100,"N/A")</f>
        <v>N/A</v>
      </c>
      <c r="AN174" s="90" t="n">
        <v>293</v>
      </c>
      <c r="AO174" s="90" t="n">
        <v>0</v>
      </c>
      <c r="AP174" s="35" t="n">
        <f aca="false">IFERROR(AO174/AN174*100,"N/A")</f>
        <v>0</v>
      </c>
      <c r="AQ174" s="73" t="str">
        <f aca="false">IF(AND(AH174&gt;0, AI174&gt;0),
    IF(ROUND(N(AK174),5)&lt;&gt;ROUND(N(AN174),5),
        IF(AND(ROUND(N(AL174),8)=0, ROUND(N(AO174),8)=0), "Group 1: Flaky | Passed (no variation: SD = 0) AND Failed (no variation: SD = 0) | Different Means",
        IF(AND(ROUND(N(AL174),8)&gt;0, ROUND(N(AO174),8)&gt;0), "Group 2: Flaky | Passed (with variation: SD &gt; 0) AND Failed (with variation: SD &gt; 0) | Different Means",
        IF(AND(ROUND(N(AL174),8)=0, ROUND(N(AO174),8)&gt;0), "Group 3: Flaky | Passed (no variation: SD = 0) AND Failed (with variation: SD &gt; 0) | Different Means",
        "Group 4: Flaky | Passed (with variation: SD &gt; 0) AND Failed (no variation: SD = 0) | Different Means"))),
        IF(AND(ROUND(N(AL174),8)=0, ROUND(N(AO174),8)=0), "Group 5: Flaky | Passed (no var SD = 0) AND Failed (no var SD = 0) | Equal Means",
        IF(AND(ROUND(N(AL174),8)&gt;0, ROUND(N(AO174),8)&gt;0), "Group 6: Flaky | Passed (with var SD &gt; 0 ) AND Failed (with var SD &gt; 0) | Equal Means",
        IF(AND(ROUND(N(AL174),8)=0, ROUND(N(AO174),8)&gt;0), "Group 7: Flaky | Passed (no var SD = 0) AND Failed (with var SD &gt; 0) | Equal Means",
        "Group 8: Flaky | Passed (with var SD &gt; 0 ) AND Failed (no var SD = 0) | Equal Means")))
    ),
    IF(AH174&gt;0,
        IF(N(AL174)&gt;0, "Group 10: Only Passed | With variation (with var SD &gt; 0)", "Group 9: Only Passed | Without variation (no var SD = 0)"),
        IF(AI174&gt;0,
            IF(N(AO174)&gt;0,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174" s="37" t="str">
        <f aca="false">IF(OR(F174="Observed Flaky Test", I174="Observed Flaky Test", S174="Observed Flaky Test", AJ174="Observed Flaky Test"), "Observed Flaky Test", "Non-observed Flaky Test")</f>
        <v>Non-observed Flaky Test</v>
      </c>
    </row>
    <row r="175" customFormat="false" ht="51.75" hidden="false" customHeight="true" outlineLevel="0" collapsed="false">
      <c r="A175" s="81" t="s">
        <v>405</v>
      </c>
      <c r="B175" s="14" t="s">
        <v>406</v>
      </c>
      <c r="C175" s="14" t="s">
        <v>407</v>
      </c>
      <c r="D175" s="15" t="n">
        <v>100</v>
      </c>
      <c r="E175" s="15" t="n">
        <v>0</v>
      </c>
      <c r="F175" s="16" t="str">
        <f aca="false">IF(AND(D175&gt;0, E175&gt;0), "Observed Flaky Test", "Non-observed Flaky Test")</f>
        <v>Non-observed Flaky Test</v>
      </c>
      <c r="G175" s="22" t="n">
        <v>100</v>
      </c>
      <c r="H175" s="22" t="n">
        <v>0</v>
      </c>
      <c r="I175" s="16" t="str">
        <f aca="false">IF(AND(G175&gt;0, H175&gt;0), "Observed Flaky Test", "Non-observed Flaky Test")</f>
        <v>Non-observed Flaky Test</v>
      </c>
      <c r="J175" s="18" t="n">
        <v>37.38</v>
      </c>
      <c r="K175" s="18" t="n">
        <v>0</v>
      </c>
      <c r="L175" s="19" t="n">
        <f aca="false">IFERROR(K175/J175*100,"N/A")</f>
        <v>0</v>
      </c>
      <c r="M175" s="18" t="n">
        <v>0</v>
      </c>
      <c r="N175" s="18" t="n">
        <v>0</v>
      </c>
      <c r="O175" s="20" t="str">
        <f aca="false">IFERROR(N175/M175*100,"N/A")</f>
        <v>N/A</v>
      </c>
      <c r="P175" s="56" t="str">
        <f aca="false">IF(AND(G175&gt;0, H175=0), IF(ROUND(K175,8)=0, "Group 9: Only Passed | Without variation (SD Passed = 0)", "Group 10: Only Passed | With variation (SD Passed &gt; 0)"), IF(AND(G175=0, H175&gt;0), IF(ROUND(N175,8)=0, "Group 11: Only Failed | Without variation (SD Failed = 0)", "Group 12: Only Failed | With variation (SD Failed &gt; 0)"), IF(AND(G175&gt;0, H175&gt;0), IF(ROUND(J175,5)&lt;&gt;ROUND(M175,5), IF(AND(ROUND(K175,8)=0, ROUND(N175,8)=0), "Group 1: Flaky | Passed (no variation) AND Failed (no variation) | Different Means", IF(AND(ROUND(K175,8)&gt;0, ROUND(N175,8)&gt;0), "Group 2: Flaky | Passed (with variation) AND Failed (with variation) | Different Means", IF(AND(ROUND(K175,8)=0, ROUND(N175,8)&gt;0), "Group 3: Flaky | Passed (no variation) AND Failed (with variation) | Different Means", "Group 4: Flaky | Passed (with variation) AND Failed (no variation) | Different Means"))), IF(AND(ROUND(K175,8)=0, ROUND(N175,8)=0), "Group 5: Flaky | Passed (no variation) AND Failed (no variation) | Equal Means", IF(AND(ROUND(K175,8)&gt;0, ROUND(N175,8)&gt;0), "Group 6: Flaky | Passed (with variation) AND Failed (with variation) | Equal Means", IF(AND(ROUND(K175,8)=0, ROUND(N175,8)&gt;0),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75" s="17" t="n">
        <v>100</v>
      </c>
      <c r="R175" s="17" t="n">
        <v>0</v>
      </c>
      <c r="S175" s="23" t="str">
        <f aca="false">IF(AND(Q175&gt;0, R175&gt;0), "Observed Flaky Test", "Non-observed Flaky Test")</f>
        <v>Non-observed Flaky Test</v>
      </c>
      <c r="T175" s="22" t="n">
        <v>7135666.75</v>
      </c>
      <c r="U175" s="26" t="n">
        <v>103408.438058</v>
      </c>
      <c r="V175" s="25" t="n">
        <f aca="false">IFERROR(U175/T175*100,"N/A")</f>
        <v>1.44917695403867</v>
      </c>
      <c r="W175" s="22" t="n">
        <v>0</v>
      </c>
      <c r="X175" s="22" t="n">
        <v>0</v>
      </c>
      <c r="Y175" s="27" t="str">
        <f aca="false">IFERROR(X175/W175*100,"N/A")</f>
        <v>N/A</v>
      </c>
      <c r="Z175" s="50" t="str">
        <f aca="false">IF(AND(Q175&gt;0, R175=0), IF(IFERROR(ROUND(V175,8),0)=0, "Group 9: Only Passed | Without variation (no var CV = 0)", "Group 10: Only Passed | With variation (with var CV &gt; 0)"), IF(AND(Q175=0, R175&gt;0), IF(IFERROR(ROUND(Y175,8),0)=0, "Group 11: Only Failed | Without variation (no var CV = 0)", "Group 12: Only Failed | With variation (with var CV &gt; 0)"), IF(AND(Q175&gt;0, R175&gt;0), IF(ROUND(T175,5)&lt;&gt;ROUND(W175,5), IF(AND(IFERROR(ROUND(V175,8),0)=0, IFERROR(ROUND(Y175,8),0)=0), "Group 1: Flaky | Passed (no variation: CV = 0) AND Failed (no variation: CV = 0) | Different Means", IF(AND(IFERROR(ROUND(V175,8),0)&gt;0, IFERROR(ROUND(Y175,8),0)&gt;0), "Group 2: Flaky | Passed (with variation: CV &gt; 0) AND Failed (with variation: CV &gt; 0) | Different Means", IF(AND(IFERROR(ROUND(V175,8),0)=0, IFERROR(ROUND(Y175,8),0)&gt;0), "Group 3: Flaky | Passed (no variation: CV = 0) AND Failed (with variation: CV &gt; 0) | Different Means", "Group 4: Flaky | Passed (with variation: CV &gt; 0) AND Failed (no variation: CV = 0) | Different Means"))), IF(AND(IFERROR(ROUND(V175,8),0)=0, IFERROR(ROUND(Y175,8),0)=0), "Group 5: Flaky | Passed (no var CV = 0) AND Failed (no var CV = 0) | Equal Means", IF(AND(IFERROR(ROUND(V175,8),0)&gt;0, IFERROR(ROUND(Y175,8),0)&gt;0), "Group 6: Flaky | Passed (with var CV &gt; 0) AND Failed (with var CV &gt; 0) | Equal Means", IF(AND(IFERROR(ROUND(V175,8),0)=0, IFERROR(ROUND(Y175,8),0)&gt;0),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75" s="29" t="n">
        <v>4.258521</v>
      </c>
      <c r="AB175" s="29" t="n">
        <v>0.140841</v>
      </c>
      <c r="AC175" s="29" t="n">
        <f aca="false">IFERROR(AB175/AA175*100,"N/A")</f>
        <v>3.30727499054249</v>
      </c>
      <c r="AD175" s="29" t="n">
        <v>0</v>
      </c>
      <c r="AE175" s="29" t="n">
        <v>0</v>
      </c>
      <c r="AF175" s="29" t="str">
        <f aca="false">IFERROR(AE175/AD175*100,"N/A")</f>
        <v>N/A</v>
      </c>
      <c r="AG175" s="51" t="str">
        <f aca="false">IF(AND(Q175&gt;0, R175=0), IF(IFERROR(ROUND(AC175,8),0)=0, "Group 9: Only Passed | Without variation (no var CV = 0)", "Group 10: Only Passed | With variation (with var CV &gt; 0)"), IF(AND(Q175=0, R175&gt;0), IF(IFERROR(ROUND(AF175,8),0)=0, "Group 11: Only Failed | Without variation (no var CV = 0)", "Group 12: Only Failed | With variation (with var CV &gt; 0)"), IF(AND(Q175&gt;0, R175&gt;0), IF(ROUND(AA175,5)&lt;&gt;ROUND(AD175,5), IF(AND(IFERROR(ROUND(AC175,8),0)=0, IFERROR(ROUND(AF175,8),0)=0), "Group 1: Flaky | Passed (no variation: CV = 0) AND Failed (no variation: CV = 0) | Different Means", IF(AND(IFERROR(ROUND(AC175,8),0)&gt;0, IFERROR(ROUND(AF175,8),0)&gt;0), "Group 2: Flaky | Passed (with variation: CV &gt; 0) AND Failed (with variation: CV &gt; 0) | Different Means", IF(AND(IFERROR(ROUND(AC175,8),0)=0, IFERROR(ROUND(AF175,8),0)&gt;0), "Group 3: Flaky | Passed (no variation: CV = 0) AND Failed (with variation: CV &gt; 0) | Different Means", "Group 4: Flaky | Passed (with variation: CV &gt; 0) AND Failed (no variation: CV = 0) | Different Means"))), IF(AND(IFERROR(ROUND(AC175,8),0)=0, IFERROR(ROUND(AF175,8),0)=0), "Group 5: Flaky | Passed (no var CV = 0) AND Failed (no var CV = 0) | Equal Means", IF(AND(IFERROR(ROUND(AC175,8),0)&gt;0, IFERROR(ROUND(AF175,8),0)&gt;0), "Group 6: Flaky | Passed (with var CV &gt; 0) AND Failed (with var CV &gt; 0) | Equal Means", IF(AND(IFERROR(ROUND(AC175,8),0)=0, IFERROR(ROUND(AF175,8),0)&gt;0),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75" s="22" t="n">
        <v>97</v>
      </c>
      <c r="AI175" s="17" t="n">
        <v>3</v>
      </c>
      <c r="AJ175" s="39" t="str">
        <f aca="false">IF(AND(AH175&gt;0, AI175&gt;0), "Observed Flaky Test", "Non-observed Flaky Test")</f>
        <v>Observed Flaky Test</v>
      </c>
      <c r="AK175" s="72" t="n">
        <v>2686436.15463917</v>
      </c>
      <c r="AL175" s="94" t="n">
        <v>941.600093592972</v>
      </c>
      <c r="AM175" s="33" t="n">
        <f aca="false">IFERROR(AL175/AK175*100,"N/A")</f>
        <v>0.0350501571372517</v>
      </c>
      <c r="AN175" s="93" t="n">
        <v>922406.333333333</v>
      </c>
      <c r="AO175" s="93" t="n">
        <v>393136.285714424</v>
      </c>
      <c r="AP175" s="35" t="n">
        <f aca="false">IFERROR(AO175/AN175*100,"N/A")</f>
        <v>42.6207270600293</v>
      </c>
      <c r="AQ175" s="63" t="str">
        <f aca="false">IF(AND(AH175&gt;0, AI175&gt;0),
    IF(ROUND(N(AK175),5)&lt;&gt;ROUND(N(AN175),5),
        IF(AND(ROUND(N(AL175),8)=0, ROUND(N(AO175),8)=0), "Group 1: Flaky | Passed (no variation: SD = 0) AND Failed (no variation: SD = 0) | Different Means",
        IF(AND(ROUND(N(AL175),8)&gt;0, ROUND(N(AO175),8)&gt;0), "Group 2: Flaky | Passed (with variation: SD &gt; 0) AND Failed (with variation: SD &gt; 0) | Different Means",
        IF(AND(ROUND(N(AL175),8)=0, ROUND(N(AO175),8)&gt;0), "Group 3: Flaky | Passed (no variation: SD = 0) AND Failed (with variation: SD &gt; 0) | Different Means",
        "Group 4: Flaky | Passed (with variation: SD &gt; 0) AND Failed (no variation: SD = 0) | Different Means"))),
        IF(AND(ROUND(N(AL175),8)=0, ROUND(N(AO175),8)=0), "Group 5: Flaky | Passed (no var SD = 0) AND Failed (no var SD = 0) | Equal Means",
        IF(AND(ROUND(N(AL175),8)&gt;0, ROUND(N(AO175),8)&gt;0), "Group 6: Flaky | Passed (with var SD &gt; 0 ) AND Failed (with var SD &gt; 0) | Equal Means",
        IF(AND(ROUND(N(AL175),8)=0, ROUND(N(AO175),8)&gt;0), "Group 7: Flaky | Passed (no var SD = 0) AND Failed (with var SD &gt; 0) | Equal Means",
        "Group 8: Flaky | Passed (with var SD &gt; 0 ) AND Failed (no var SD = 0) | Equal Means")))
    ),
    IF(AH175&gt;0,
        IF(N(AL175)&gt;0, "Group 10: Only Passed | With variation (with var SD &gt; 0)", "Group 9: Only Passed | Without variation (no var SD = 0)"),
        IF(AI175&gt;0,
            IF(N(AO175)&gt;0,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75" s="42" t="str">
        <f aca="false">IF(OR(F175="Observed Flaky Test", I175="Observed Flaky Test", S175="Observed Flaky Test", AJ175="Observed Flaky Test"), "Observed Flaky Test", "Non-observed Flaky Test")</f>
        <v>Observed Flaky Test</v>
      </c>
    </row>
    <row r="176" customFormat="false" ht="15.75" hidden="false" customHeight="true" outlineLevel="0" collapsed="false">
      <c r="A176" s="81"/>
      <c r="B176" s="14" t="s">
        <v>408</v>
      </c>
      <c r="C176" s="14" t="s">
        <v>409</v>
      </c>
      <c r="D176" s="15" t="n">
        <v>99</v>
      </c>
      <c r="E176" s="15" t="n">
        <v>1</v>
      </c>
      <c r="F176" s="61" t="str">
        <f aca="false">IF(AND(D176&gt;0, E176&gt;0), "Observed Flaky Test", "Non-observed Flaky Test")</f>
        <v>Observed Flaky Test</v>
      </c>
      <c r="G176" s="22" t="n">
        <v>100</v>
      </c>
      <c r="H176" s="22" t="n">
        <v>0</v>
      </c>
      <c r="I176" s="16" t="str">
        <f aca="false">IF(AND(G176&gt;0, H176&gt;0), "Observed Flaky Test", "Non-observed Flaky Test")</f>
        <v>Non-observed Flaky Test</v>
      </c>
      <c r="J176" s="18" t="n">
        <v>38.42</v>
      </c>
      <c r="K176" s="18" t="n">
        <v>0</v>
      </c>
      <c r="L176" s="19" t="n">
        <f aca="false">IFERROR(K176/J176*100,"N/A")</f>
        <v>0</v>
      </c>
      <c r="M176" s="18" t="n">
        <v>0</v>
      </c>
      <c r="N176" s="18" t="n">
        <v>0</v>
      </c>
      <c r="O176" s="20" t="str">
        <f aca="false">IFERROR(N176/M176*100,"N/A")</f>
        <v>N/A</v>
      </c>
      <c r="P176" s="56" t="str">
        <f aca="false">IF(AND(G176&gt;0, H176=0), IF(ROUND(K176,8)=0, "Group 9: Only Passed | Without variation (SD Passed = 0)", "Group 10: Only Passed | With variation (SD Passed &gt; 0)"), IF(AND(G176=0, H176&gt;0), IF(ROUND(N176,8)=0, "Group 11: Only Failed | Without variation (SD Failed = 0)", "Group 12: Only Failed | With variation (SD Failed &gt; 0)"), IF(AND(G176&gt;0, H176&gt;0), IF(ROUND(J176,5)&lt;&gt;ROUND(M176,5), IF(AND(ROUND(K176,8)=0, ROUND(N176,8)=0), "Group 1: Flaky | Passed (no variation) AND Failed (no variation) | Different Means", IF(AND(ROUND(K176,8)&gt;0, ROUND(N176,8)&gt;0), "Group 2: Flaky | Passed (with variation) AND Failed (with variation) | Different Means", IF(AND(ROUND(K176,8)=0, ROUND(N176,8)&gt;0), "Group 3: Flaky | Passed (no variation) AND Failed (with variation) | Different Means", "Group 4: Flaky | Passed (with variation) AND Failed (no variation) | Different Means"))), IF(AND(ROUND(K176,8)=0, ROUND(N176,8)=0), "Group 5: Flaky | Passed (no variation) AND Failed (no variation) | Equal Means", IF(AND(ROUND(K176,8)&gt;0, ROUND(N176,8)&gt;0), "Group 6: Flaky | Passed (with variation) AND Failed (with variation) | Equal Means", IF(AND(ROUND(K176,8)=0, ROUND(N176,8)&gt;0),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76" s="17" t="n">
        <v>96</v>
      </c>
      <c r="R176" s="17" t="n">
        <v>4</v>
      </c>
      <c r="S176" s="43" t="str">
        <f aca="false">IF(AND(Q176&gt;0, R176&gt;0), "Observed Flaky Test", "Non-observed Flaky Test")</f>
        <v>Observed Flaky Test</v>
      </c>
      <c r="T176" s="26" t="n">
        <v>7181082.40625</v>
      </c>
      <c r="U176" s="24" t="n">
        <v>133086.159315</v>
      </c>
      <c r="V176" s="25" t="n">
        <f aca="false">IFERROR(U176/T176*100,"N/A")</f>
        <v>1.8532882897872</v>
      </c>
      <c r="W176" s="22" t="n">
        <v>7267332.25</v>
      </c>
      <c r="X176" s="24" t="n">
        <v>228248.110328</v>
      </c>
      <c r="Y176" s="27" t="n">
        <f aca="false">IFERROR(X176/W176*100,"N/A")</f>
        <v>3.14074136803089</v>
      </c>
      <c r="Z176" s="68" t="str">
        <f aca="false">IF(AND(Q176&gt;0, R176=0), IF(IFERROR(ROUND(V176,8),0)=0, "Group 9: Only Passed | Without variation (no var CV = 0)", "Group 10: Only Passed | With variation (with var CV &gt; 0)"), IF(AND(Q176=0, R176&gt;0), IF(IFERROR(ROUND(Y176,8),0)=0, "Group 11: Only Failed | Without variation (no var CV = 0)", "Group 12: Only Failed | With variation (with var CV &gt; 0)"), IF(AND(Q176&gt;0, R176&gt;0), IF(ROUND(T176,5)&lt;&gt;ROUND(W176,5), IF(AND(IFERROR(ROUND(V176,8),0)=0, IFERROR(ROUND(Y176,8),0)=0), "Group 1: Flaky | Passed (no variation: CV = 0) AND Failed (no variation: CV = 0) | Different Means", IF(AND(IFERROR(ROUND(V176,8),0)&gt;0, IFERROR(ROUND(Y176,8),0)&gt;0), "Group 2: Flaky | Passed (with variation: CV &gt; 0) AND Failed (with variation: CV &gt; 0) | Different Means", IF(AND(IFERROR(ROUND(V176,8),0)=0, IFERROR(ROUND(Y176,8),0)&gt;0), "Group 3: Flaky | Passed (no variation: CV = 0) AND Failed (with variation: CV &gt; 0) | Different Means", "Group 4: Flaky | Passed (with variation: CV &gt; 0) AND Failed (no variation: CV = 0) | Different Means"))), IF(AND(IFERROR(ROUND(V176,8),0)=0, IFERROR(ROUND(Y176,8),0)=0), "Group 5: Flaky | Passed (no var CV = 0) AND Failed (no var CV = 0) | Equal Means", IF(AND(IFERROR(ROUND(V176,8),0)&gt;0, IFERROR(ROUND(Y176,8),0)&gt;0), "Group 6: Flaky | Passed (with var CV &gt; 0) AND Failed (with var CV &gt; 0) | Equal Means", IF(AND(IFERROR(ROUND(V176,8),0)=0, IFERROR(ROUND(Y176,8),0)&gt;0),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6" s="29" t="n">
        <v>4.261729</v>
      </c>
      <c r="AB176" s="29" t="n">
        <v>0.205994</v>
      </c>
      <c r="AC176" s="29" t="n">
        <f aca="false">IFERROR(AB176/AA176*100,"N/A")</f>
        <v>4.83357810879106</v>
      </c>
      <c r="AD176" s="29" t="n">
        <v>4.235387</v>
      </c>
      <c r="AE176" s="29" t="n">
        <v>0.270252</v>
      </c>
      <c r="AF176" s="29" t="n">
        <f aca="false">IFERROR(AE176/AD176*100,"N/A")</f>
        <v>6.38081006529037</v>
      </c>
      <c r="AG176" s="36" t="str">
        <f aca="false">IF(AND(Q176&gt;0, R176=0), IF(IFERROR(ROUND(AC176,8),0)=0, "Group 9: Only Passed | Without variation (no var CV = 0)", "Group 10: Only Passed | With variation (with var CV &gt; 0)"), IF(AND(Q176=0, R176&gt;0), IF(IFERROR(ROUND(AF176,8),0)=0, "Group 11: Only Failed | Without variation (no var CV = 0)", "Group 12: Only Failed | With variation (with var CV &gt; 0)"), IF(AND(Q176&gt;0, R176&gt;0), IF(ROUND(AA176,5)&lt;&gt;ROUND(AD176,5), IF(AND(IFERROR(ROUND(AC176,8),0)=0, IFERROR(ROUND(AF176,8),0)=0), "Group 1: Flaky | Passed (no variation: CV = 0) AND Failed (no variation: CV = 0) | Different Means", IF(AND(IFERROR(ROUND(AC176,8),0)&gt;0, IFERROR(ROUND(AF176,8),0)&gt;0), "Group 2: Flaky | Passed (with variation: CV &gt; 0) AND Failed (with variation: CV &gt; 0) | Different Means", IF(AND(IFERROR(ROUND(AC176,8),0)=0, IFERROR(ROUND(AF176,8),0)&gt;0), "Group 3: Flaky | Passed (no variation: CV = 0) AND Failed (with variation: CV &gt; 0) | Different Means", "Group 4: Flaky | Passed (with variation: CV &gt; 0) AND Failed (no variation: CV = 0) | Different Means"))), IF(AND(IFERROR(ROUND(AC176,8),0)=0, IFERROR(ROUND(AF176,8),0)=0), "Group 5: Flaky | Passed (no var CV = 0) AND Failed (no var CV = 0) | Equal Means", IF(AND(IFERROR(ROUND(AC176,8),0)&gt;0, IFERROR(ROUND(AF176,8),0)&gt;0), "Group 6: Flaky | Passed (with var CV &gt; 0) AND Failed (with var CV &gt; 0) | Equal Means", IF(AND(IFERROR(ROUND(AC176,8),0)=0, IFERROR(ROUND(AF176,8),0)&gt;0),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6" s="22" t="n">
        <v>96</v>
      </c>
      <c r="AI176" s="17" t="n">
        <v>4</v>
      </c>
      <c r="AJ176" s="39" t="str">
        <f aca="false">IF(AND(AH176&gt;0, AI176&gt;0), "Observed Flaky Test", "Non-observed Flaky Test")</f>
        <v>Observed Flaky Test</v>
      </c>
      <c r="AK176" s="90" t="n">
        <v>2742058</v>
      </c>
      <c r="AL176" s="90" t="n">
        <v>0</v>
      </c>
      <c r="AM176" s="33" t="n">
        <f aca="false">IFERROR(AL176/AK176*100,"N/A")</f>
        <v>0</v>
      </c>
      <c r="AN176" s="90" t="n">
        <v>1394601</v>
      </c>
      <c r="AO176" s="93" t="n">
        <v>785483.886531947</v>
      </c>
      <c r="AP176" s="35" t="n">
        <f aca="false">IFERROR(AO176/AN176*100,"N/A")</f>
        <v>56.3231982862444</v>
      </c>
      <c r="AQ176" s="41" t="str">
        <f aca="false">IF(AND(AH176&gt;0, AI176&gt;0),
    IF(ROUND(N(AK176),5)&lt;&gt;ROUND(N(AN176),5),
        IF(AND(ROUND(N(AL176),8)=0, ROUND(N(AO176),8)=0), "Group 1: Flaky | Passed (no variation: SD = 0) AND Failed (no variation: SD = 0) | Different Means",
        IF(AND(ROUND(N(AL176),8)&gt;0, ROUND(N(AO176),8)&gt;0), "Group 2: Flaky | Passed (with variation: SD &gt; 0) AND Failed (with variation: SD &gt; 0) | Different Means",
        IF(AND(ROUND(N(AL176),8)=0, ROUND(N(AO176),8)&gt;0), "Group 3: Flaky | Passed (no variation: SD = 0) AND Failed (with variation: SD &gt; 0) | Different Means",
        "Group 4: Flaky | Passed (with variation: SD &gt; 0) AND Failed (no variation: SD = 0) | Different Means"))),
        IF(AND(ROUND(N(AL176),8)=0, ROUND(N(AO176),8)=0), "Group 5: Flaky | Passed (no var SD = 0) AND Failed (no var SD = 0) | Equal Means",
        IF(AND(ROUND(N(AL176),8)&gt;0, ROUND(N(AO176),8)&gt;0), "Group 6: Flaky | Passed (with var SD &gt; 0 ) AND Failed (with var SD &gt; 0) | Equal Means",
        IF(AND(ROUND(N(AL176),8)=0, ROUND(N(AO176),8)&gt;0), "Group 7: Flaky | Passed (no var SD = 0) AND Failed (with var SD &gt; 0) | Equal Means",
        "Group 8: Flaky | Passed (with var SD &gt; 0 ) AND Failed (no var SD = 0) | Equal Means")))
    ),
    IF(AH176&gt;0,
        IF(N(AL176)&gt;0, "Group 10: Only Passed | With variation (with var SD &gt; 0)", "Group 9: Only Passed | Without variation (no var SD = 0)"),
        IF(AI176&gt;0,
            IF(N(AO176)&gt;0,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176" s="42" t="str">
        <f aca="false">IF(OR(F176="Observed Flaky Test", I176="Observed Flaky Test", S176="Observed Flaky Test", AJ176="Observed Flaky Test"), "Observed Flaky Test", "Non-observed Flaky Test")</f>
        <v>Observed Flaky Test</v>
      </c>
    </row>
    <row r="177" customFormat="false" ht="15.75" hidden="false" customHeight="true" outlineLevel="0" collapsed="false">
      <c r="A177" s="81"/>
      <c r="B177" s="14" t="s">
        <v>410</v>
      </c>
      <c r="C177" s="14" t="s">
        <v>411</v>
      </c>
      <c r="D177" s="15" t="n">
        <v>98</v>
      </c>
      <c r="E177" s="15" t="n">
        <v>2</v>
      </c>
      <c r="F177" s="61" t="str">
        <f aca="false">IF(AND(D177&gt;0, E177&gt;0), "Observed Flaky Test", "Non-observed Flaky Test")</f>
        <v>Observed Flaky Test</v>
      </c>
      <c r="G177" s="22" t="n">
        <v>65</v>
      </c>
      <c r="H177" s="22" t="n">
        <v>5</v>
      </c>
      <c r="I177" s="61" t="str">
        <f aca="false">IF(AND(G177&gt;0, H177&gt;0), "Observed Flaky Test", "Non-observed Flaky Test")</f>
        <v>Observed Flaky Test</v>
      </c>
      <c r="J177" s="18" t="n">
        <v>38.42</v>
      </c>
      <c r="K177" s="18" t="n">
        <v>0</v>
      </c>
      <c r="L177" s="19" t="n">
        <f aca="false">IFERROR(K177/J177*100,"N/A")</f>
        <v>0</v>
      </c>
      <c r="M177" s="66" t="n">
        <v>37.578</v>
      </c>
      <c r="N177" s="53" t="n">
        <v>0.156767</v>
      </c>
      <c r="O177" s="20" t="n">
        <f aca="false">IFERROR(N177/M177*100,"N/A")</f>
        <v>0.417177603917186</v>
      </c>
      <c r="P177" s="67" t="str">
        <f aca="false">IF(AND(G177&gt;0, H177=0), IF(ROUND(K177,8)=0, "Group 9: Only Passed | Without variation (SD Passed = 0)", "Group 10: Only Passed | With variation (SD Passed &gt; 0)"), IF(AND(G177=0, H177&gt;0), IF(ROUND(N177,8)=0, "Group 11: Only Failed | Without variation (SD Failed = 0)", "Group 12: Only Failed | With variation (SD Failed &gt; 0)"), IF(AND(G177&gt;0, H177&gt;0), IF(ROUND(J177,5)&lt;&gt;ROUND(M177,5), IF(AND(ROUND(K177,8)=0, ROUND(N177,8)=0), "Group 1: Flaky | Passed (no variation) AND Failed (no variation) | Different Means", IF(AND(ROUND(K177,8)&gt;0, ROUND(N177,8)&gt;0), "Group 2: Flaky | Passed (with variation) AND Failed (with variation) | Different Means", IF(AND(ROUND(K177,8)=0, ROUND(N177,8)&gt;0), "Group 3: Flaky | Passed (no variation) AND Failed (with variation) | Different Means", "Group 4: Flaky | Passed (with variation) AND Failed (no variation) | Different Means"))), IF(AND(ROUND(K177,8)=0, ROUND(N177,8)=0), "Group 5: Flaky | Passed (no variation) AND Failed (no variation) | Equal Means", IF(AND(ROUND(K177,8)&gt;0, ROUND(N177,8)&gt;0), "Group 6: Flaky | Passed (with variation) AND Failed (with variation) | Equal Means", IF(AND(ROUND(K177,8)=0, ROUND(N177,8)&gt;0),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77" s="17" t="n">
        <v>95</v>
      </c>
      <c r="R177" s="17" t="n">
        <v>5</v>
      </c>
      <c r="S177" s="43" t="str">
        <f aca="false">IF(AND(Q177&gt;0, R177&gt;0), "Observed Flaky Test", "Non-observed Flaky Test")</f>
        <v>Observed Flaky Test</v>
      </c>
      <c r="T177" s="24" t="n">
        <v>7185253.389474</v>
      </c>
      <c r="U177" s="24" t="n">
        <v>127551.631723</v>
      </c>
      <c r="V177" s="25" t="n">
        <f aca="false">IFERROR(U177/T177*100,"N/A")</f>
        <v>1.77518627122957</v>
      </c>
      <c r="W177" s="55" t="n">
        <v>7370459.8</v>
      </c>
      <c r="X177" s="24" t="n">
        <v>11122.392895</v>
      </c>
      <c r="Y177" s="27" t="n">
        <f aca="false">IFERROR(X177/W177*100,"N/A")</f>
        <v>0.15090500724256</v>
      </c>
      <c r="Z177" s="68" t="str">
        <f aca="false">IF(AND(Q177&gt;0, R177=0), IF(IFERROR(ROUND(V177,8),0)=0, "Group 9: Only Passed | Without variation (no var CV = 0)", "Group 10: Only Passed | With variation (with var CV &gt; 0)"), IF(AND(Q177=0, R177&gt;0), IF(IFERROR(ROUND(Y177,8),0)=0, "Group 11: Only Failed | Without variation (no var CV = 0)", "Group 12: Only Failed | With variation (with var CV &gt; 0)"), IF(AND(Q177&gt;0, R177&gt;0), IF(ROUND(T177,5)&lt;&gt;ROUND(W177,5), IF(AND(IFERROR(ROUND(V177,8),0)=0, IFERROR(ROUND(Y177,8),0)=0), "Group 1: Flaky | Passed (no variation: CV = 0) AND Failed (no variation: CV = 0) | Different Means", IF(AND(IFERROR(ROUND(V177,8),0)&gt;0, IFERROR(ROUND(Y177,8),0)&gt;0), "Group 2: Flaky | Passed (with variation: CV &gt; 0) AND Failed (with variation: CV &gt; 0) | Different Means", IF(AND(IFERROR(ROUND(V177,8),0)=0, IFERROR(ROUND(Y177,8),0)&gt;0), "Group 3: Flaky | Passed (no variation: CV = 0) AND Failed (with variation: CV &gt; 0) | Different Means", "Group 4: Flaky | Passed (with variation: CV &gt; 0) AND Failed (no variation: CV = 0) | Different Means"))), IF(AND(IFERROR(ROUND(V177,8),0)=0, IFERROR(ROUND(Y177,8),0)=0), "Group 5: Flaky | Passed (no var CV = 0) AND Failed (no var CV = 0) | Equal Means", IF(AND(IFERROR(ROUND(V177,8),0)&gt;0, IFERROR(ROUND(Y177,8),0)&gt;0), "Group 6: Flaky | Passed (with var CV &gt; 0) AND Failed (with var CV &gt; 0) | Equal Means", IF(AND(IFERROR(ROUND(V177,8),0)=0, IFERROR(ROUND(Y177,8),0)&gt;0),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7" s="29" t="n">
        <v>4.313773</v>
      </c>
      <c r="AB177" s="29" t="n">
        <v>0.145736</v>
      </c>
      <c r="AC177" s="29" t="n">
        <f aca="false">IFERROR(AB177/AA177*100,"N/A")</f>
        <v>3.37838824620582</v>
      </c>
      <c r="AD177" s="29" t="n">
        <v>4.320994</v>
      </c>
      <c r="AE177" s="29" t="n">
        <v>0.091884</v>
      </c>
      <c r="AF177" s="29" t="n">
        <f aca="false">IFERROR(AE177/AD177*100,"N/A")</f>
        <v>2.12645516286299</v>
      </c>
      <c r="AG177" s="36" t="str">
        <f aca="false">IF(AND(Q177&gt;0, R177=0), IF(IFERROR(ROUND(AC177,8),0)=0, "Group 9: Only Passed | Without variation (no var CV = 0)", "Group 10: Only Passed | With variation (with var CV &gt; 0)"), IF(AND(Q177=0, R177&gt;0), IF(IFERROR(ROUND(AF177,8),0)=0, "Group 11: Only Failed | Without variation (no var CV = 0)", "Group 12: Only Failed | With variation (with var CV &gt; 0)"), IF(AND(Q177&gt;0, R177&gt;0), IF(ROUND(AA177,5)&lt;&gt;ROUND(AD177,5), IF(AND(IFERROR(ROUND(AC177,8),0)=0, IFERROR(ROUND(AF177,8),0)=0), "Group 1: Flaky | Passed (no variation: CV = 0) AND Failed (no variation: CV = 0) | Different Means", IF(AND(IFERROR(ROUND(AC177,8),0)&gt;0, IFERROR(ROUND(AF177,8),0)&gt;0), "Group 2: Flaky | Passed (with variation: CV &gt; 0) AND Failed (with variation: CV &gt; 0) | Different Means", IF(AND(IFERROR(ROUND(AC177,8),0)=0, IFERROR(ROUND(AF177,8),0)&gt;0), "Group 3: Flaky | Passed (no variation: CV = 0) AND Failed (with variation: CV &gt; 0) | Different Means", "Group 4: Flaky | Passed (with variation: CV &gt; 0) AND Failed (no variation: CV = 0) | Different Means"))), IF(AND(IFERROR(ROUND(AC177,8),0)=0, IFERROR(ROUND(AF177,8),0)=0), "Group 5: Flaky | Passed (no var CV = 0) AND Failed (no var CV = 0) | Equal Means", IF(AND(IFERROR(ROUND(AC177,8),0)&gt;0, IFERROR(ROUND(AF177,8),0)&gt;0), "Group 6: Flaky | Passed (with var CV &gt; 0) AND Failed (with var CV &gt; 0) | Equal Means", IF(AND(IFERROR(ROUND(AC177,8),0)=0, IFERROR(ROUND(AF177,8),0)&gt;0),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7" s="22" t="n">
        <v>95</v>
      </c>
      <c r="AI177" s="17" t="n">
        <v>5</v>
      </c>
      <c r="AJ177" s="39" t="str">
        <f aca="false">IF(AND(AH177&gt;0, AI177&gt;0), "Observed Flaky Test", "Non-observed Flaky Test")</f>
        <v>Observed Flaky Test</v>
      </c>
      <c r="AK177" s="90" t="n">
        <v>2749177</v>
      </c>
      <c r="AL177" s="90" t="n">
        <v>0</v>
      </c>
      <c r="AM177" s="33" t="n">
        <f aca="false">IFERROR(AL177/AK177*100,"N/A")</f>
        <v>0</v>
      </c>
      <c r="AN177" s="90" t="n">
        <v>993570.6</v>
      </c>
      <c r="AO177" s="93" t="n">
        <v>608433.202250501</v>
      </c>
      <c r="AP177" s="35" t="n">
        <f aca="false">IFERROR(AO177/AN177*100,"N/A")</f>
        <v>61.2370376348194</v>
      </c>
      <c r="AQ177" s="41" t="str">
        <f aca="false">IF(AND(AH177&gt;0, AI177&gt;0),
    IF(ROUND(N(AK177),5)&lt;&gt;ROUND(N(AN177),5),
        IF(AND(ROUND(N(AL177),8)=0, ROUND(N(AO177),8)=0), "Group 1: Flaky | Passed (no variation: SD = 0) AND Failed (no variation: SD = 0) | Different Means",
        IF(AND(ROUND(N(AL177),8)&gt;0, ROUND(N(AO177),8)&gt;0), "Group 2: Flaky | Passed (with variation: SD &gt; 0) AND Failed (with variation: SD &gt; 0) | Different Means",
        IF(AND(ROUND(N(AL177),8)=0, ROUND(N(AO177),8)&gt;0), "Group 3: Flaky | Passed (no variation: SD = 0) AND Failed (with variation: SD &gt; 0) | Different Means",
        "Group 4: Flaky | Passed (with variation: SD &gt; 0) AND Failed (no variation: SD = 0) | Different Means"))),
        IF(AND(ROUND(N(AL177),8)=0, ROUND(N(AO177),8)=0), "Group 5: Flaky | Passed (no var SD = 0) AND Failed (no var SD = 0) | Equal Means",
        IF(AND(ROUND(N(AL177),8)&gt;0, ROUND(N(AO177),8)&gt;0), "Group 6: Flaky | Passed (with var SD &gt; 0 ) AND Failed (with var SD &gt; 0) | Equal Means",
        IF(AND(ROUND(N(AL177),8)=0, ROUND(N(AO177),8)&gt;0), "Group 7: Flaky | Passed (no var SD = 0) AND Failed (with var SD &gt; 0) | Equal Means",
        "Group 8: Flaky | Passed (with var SD &gt; 0 ) AND Failed (no var SD = 0) | Equal Means")))
    ),
    IF(AH177&gt;0,
        IF(N(AL177)&gt;0, "Group 10: Only Passed | With variation (with var SD &gt; 0)", "Group 9: Only Passed | Without variation (no var SD = 0)"),
        IF(AI177&gt;0,
            IF(N(AO177)&gt;0,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177" s="42" t="str">
        <f aca="false">IF(OR(F177="Observed Flaky Test", I177="Observed Flaky Test", S177="Observed Flaky Test", AJ177="Observed Flaky Test"), "Observed Flaky Test", "Non-observed Flaky Test")</f>
        <v>Observed Flaky Test</v>
      </c>
    </row>
    <row r="178" customFormat="false" ht="15.75" hidden="false" customHeight="true" outlineLevel="0" collapsed="false">
      <c r="A178" s="81"/>
      <c r="B178" s="14" t="s">
        <v>412</v>
      </c>
      <c r="C178" s="14" t="s">
        <v>413</v>
      </c>
      <c r="D178" s="15" t="n">
        <v>100</v>
      </c>
      <c r="E178" s="15" t="n">
        <v>0</v>
      </c>
      <c r="F178" s="16" t="str">
        <f aca="false">IF(AND(D178&gt;0, E178&gt;0), "Observed Flaky Test", "Non-observed Flaky Test")</f>
        <v>Non-observed Flaky Test</v>
      </c>
      <c r="G178" s="22" t="n">
        <v>95</v>
      </c>
      <c r="H178" s="22" t="n">
        <v>5</v>
      </c>
      <c r="I178" s="61" t="str">
        <f aca="false">IF(AND(G178&gt;0, H178&gt;0), "Observed Flaky Test", "Non-observed Flaky Test")</f>
        <v>Observed Flaky Test</v>
      </c>
      <c r="J178" s="18" t="n">
        <v>40.12</v>
      </c>
      <c r="K178" s="18" t="n">
        <v>0</v>
      </c>
      <c r="L178" s="19" t="n">
        <f aca="false">IFERROR(K178/J178*100,"N/A")</f>
        <v>0</v>
      </c>
      <c r="M178" s="66" t="n">
        <v>39.468</v>
      </c>
      <c r="N178" s="53" t="n">
        <v>0.357849</v>
      </c>
      <c r="O178" s="20" t="n">
        <f aca="false">IFERROR(N178/M178*100,"N/A")</f>
        <v>0.906681362116145</v>
      </c>
      <c r="P178" s="67" t="str">
        <f aca="false">IF(AND(G178&gt;0, H178=0), IF(ROUND(K178,8)=0, "Group 9: Only Passed | Without variation (SD Passed = 0)", "Group 10: Only Passed | With variation (SD Passed &gt; 0)"), IF(AND(G178=0, H178&gt;0), IF(ROUND(N178,8)=0, "Group 11: Only Failed | Without variation (SD Failed = 0)", "Group 12: Only Failed | With variation (SD Failed &gt; 0)"), IF(AND(G178&gt;0, H178&gt;0), IF(ROUND(J178,5)&lt;&gt;ROUND(M178,5), IF(AND(ROUND(K178,8)=0, ROUND(N178,8)=0), "Group 1: Flaky | Passed (no variation) AND Failed (no variation) | Different Means", IF(AND(ROUND(K178,8)&gt;0, ROUND(N178,8)&gt;0), "Group 2: Flaky | Passed (with variation) AND Failed (with variation) | Different Means", IF(AND(ROUND(K178,8)=0, ROUND(N178,8)&gt;0), "Group 3: Flaky | Passed (no variation) AND Failed (with variation) | Different Means", "Group 4: Flaky | Passed (with variation) AND Failed (no variation) | Different Means"))), IF(AND(ROUND(K178,8)=0, ROUND(N178,8)=0), "Group 5: Flaky | Passed (no variation) AND Failed (no variation) | Equal Means", IF(AND(ROUND(K178,8)&gt;0, ROUND(N178,8)&gt;0), "Group 6: Flaky | Passed (with variation) AND Failed (with variation) | Equal Means", IF(AND(ROUND(K178,8)=0, ROUND(N178,8)&gt;0),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78" s="17" t="n">
        <v>99</v>
      </c>
      <c r="R178" s="17" t="n">
        <v>1</v>
      </c>
      <c r="S178" s="43" t="str">
        <f aca="false">IF(AND(Q178&gt;0, R178&gt;0), "Observed Flaky Test", "Non-observed Flaky Test")</f>
        <v>Observed Flaky Test</v>
      </c>
      <c r="T178" s="24" t="n">
        <v>7178109.282828</v>
      </c>
      <c r="U178" s="24" t="n">
        <v>151767.484903</v>
      </c>
      <c r="V178" s="25" t="n">
        <f aca="false">IFERROR(U178/T178*100,"N/A")</f>
        <v>2.11431003517973</v>
      </c>
      <c r="W178" s="55" t="n">
        <v>7363568</v>
      </c>
      <c r="X178" s="22" t="n">
        <v>0</v>
      </c>
      <c r="Y178" s="27" t="n">
        <f aca="false">IFERROR(X178/W178*100,"N/A")</f>
        <v>0</v>
      </c>
      <c r="Z178" s="69" t="str">
        <f aca="false">IF(AND(Q178&gt;0, R178=0), IF(IFERROR(ROUND(V178,8),0)=0, "Group 9: Only Passed | Without variation (no var CV = 0)", "Group 10: Only Passed | With variation (with var CV &gt; 0)"), IF(AND(Q178=0, R178&gt;0), IF(IFERROR(ROUND(Y178,8),0)=0, "Group 11: Only Failed | Without variation (no var CV = 0)", "Group 12: Only Failed | With variation (with var CV &gt; 0)"), IF(AND(Q178&gt;0, R178&gt;0), IF(ROUND(T178,5)&lt;&gt;ROUND(W178,5), IF(AND(IFERROR(ROUND(V178,8),0)=0, IFERROR(ROUND(Y178,8),0)=0), "Group 1: Flaky | Passed (no variation: CV = 0) AND Failed (no variation: CV = 0) | Different Means", IF(AND(IFERROR(ROUND(V178,8),0)&gt;0, IFERROR(ROUND(Y178,8),0)&gt;0), "Group 2: Flaky | Passed (with variation: CV &gt; 0) AND Failed (with variation: CV &gt; 0) | Different Means", IF(AND(IFERROR(ROUND(V178,8),0)=0, IFERROR(ROUND(Y178,8),0)&gt;0), "Group 3: Flaky | Passed (no variation: CV = 0) AND Failed (with variation: CV &gt; 0) | Different Means", "Group 4: Flaky | Passed (with variation: CV &gt; 0) AND Failed (no variation: CV = 0) | Different Means"))), IF(AND(IFERROR(ROUND(V178,8),0)=0, IFERROR(ROUND(Y178,8),0)=0), "Group 5: Flaky | Passed (no var CV = 0) AND Failed (no var CV = 0) | Equal Means", IF(AND(IFERROR(ROUND(V178,8),0)&gt;0, IFERROR(ROUND(Y178,8),0)&gt;0), "Group 6: Flaky | Passed (with var CV &gt; 0) AND Failed (with var CV &gt; 0) | Equal Means", IF(AND(IFERROR(ROUND(V178,8),0)=0, IFERROR(ROUND(Y178,8),0)&gt;0),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78" s="29" t="n">
        <v>4.297094</v>
      </c>
      <c r="AB178" s="29" t="n">
        <v>0.165451</v>
      </c>
      <c r="AC178" s="29" t="n">
        <f aca="false">IFERROR(AB178/AA178*100,"N/A")</f>
        <v>3.85029976072201</v>
      </c>
      <c r="AD178" s="29" t="n">
        <v>4.220346</v>
      </c>
      <c r="AE178" s="29" t="n">
        <v>0</v>
      </c>
      <c r="AF178" s="29" t="n">
        <f aca="false">IFERROR(AE178/AD178*100,"N/A")</f>
        <v>0</v>
      </c>
      <c r="AG178" s="70" t="str">
        <f aca="false">IF(AND(Q178&gt;0, R178=0), IF(IFERROR(ROUND(AC178,8),0)=0, "Group 9: Only Passed | Without variation (no var CV = 0)", "Group 10: Only Passed | With variation (with var CV &gt; 0)"), IF(AND(Q178=0, R178&gt;0), IF(IFERROR(ROUND(AF178,8),0)=0, "Group 11: Only Failed | Without variation (no var CV = 0)", "Group 12: Only Failed | With variation (with var CV &gt; 0)"), IF(AND(Q178&gt;0, R178&gt;0), IF(ROUND(AA178,5)&lt;&gt;ROUND(AD178,5), IF(AND(IFERROR(ROUND(AC178,8),0)=0, IFERROR(ROUND(AF178,8),0)=0), "Group 1: Flaky | Passed (no variation: CV = 0) AND Failed (no variation: CV = 0) | Different Means", IF(AND(IFERROR(ROUND(AC178,8),0)&gt;0, IFERROR(ROUND(AF178,8),0)&gt;0), "Group 2: Flaky | Passed (with variation: CV &gt; 0) AND Failed (with variation: CV &gt; 0) | Different Means", IF(AND(IFERROR(ROUND(AC178,8),0)=0, IFERROR(ROUND(AF178,8),0)&gt;0), "Group 3: Flaky | Passed (no variation: CV = 0) AND Failed (with variation: CV &gt; 0) | Different Means", "Group 4: Flaky | Passed (with variation: CV &gt; 0) AND Failed (no variation: CV = 0) | Different Means"))), IF(AND(IFERROR(ROUND(AC178,8),0)=0, IFERROR(ROUND(AF178,8),0)=0), "Group 5: Flaky | Passed (no var CV = 0) AND Failed (no var CV = 0) | Equal Means", IF(AND(IFERROR(ROUND(AC178,8),0)&gt;0, IFERROR(ROUND(AF178,8),0)&gt;0), "Group 6: Flaky | Passed (with var CV &gt; 0) AND Failed (with var CV &gt; 0) | Equal Means", IF(AND(IFERROR(ROUND(AC178,8),0)=0, IFERROR(ROUND(AF178,8),0)&gt;0),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78" s="22" t="n">
        <v>98</v>
      </c>
      <c r="AI178" s="17" t="n">
        <v>2</v>
      </c>
      <c r="AJ178" s="39" t="str">
        <f aca="false">IF(AND(AH178&gt;0, AI178&gt;0), "Observed Flaky Test", "Non-observed Flaky Test")</f>
        <v>Observed Flaky Test</v>
      </c>
      <c r="AK178" s="90" t="n">
        <v>2781455</v>
      </c>
      <c r="AL178" s="90" t="n">
        <v>0</v>
      </c>
      <c r="AM178" s="33" t="n">
        <f aca="false">IFERROR(AL178/AK178*100,"N/A")</f>
        <v>0</v>
      </c>
      <c r="AN178" s="90" t="n">
        <v>740627</v>
      </c>
      <c r="AO178" s="90" t="n">
        <v>0</v>
      </c>
      <c r="AP178" s="35" t="n">
        <f aca="false">IFERROR(AO178/AN178*100,"N/A")</f>
        <v>0</v>
      </c>
      <c r="AQ178" s="85" t="str">
        <f aca="false">IF(AND(AH178&gt;0, AI178&gt;0),
    IF(ROUND(N(AK178),5)&lt;&gt;ROUND(N(AN178),5),
        IF(AND(ROUND(N(AL178),8)=0, ROUND(N(AO178),8)=0), "Group 1: Flaky | Passed (no variation: SD = 0) AND Failed (no variation: SD = 0) | Different Means",
        IF(AND(ROUND(N(AL178),8)&gt;0, ROUND(N(AO178),8)&gt;0), "Group 2: Flaky | Passed (with variation: SD &gt; 0) AND Failed (with variation: SD &gt; 0) | Different Means",
        IF(AND(ROUND(N(AL178),8)=0, ROUND(N(AO178),8)&gt;0), "Group 3: Flaky | Passed (no variation: SD = 0) AND Failed (with variation: SD &gt; 0) | Different Means",
        "Group 4: Flaky | Passed (with variation: SD &gt; 0) AND Failed (no variation: SD = 0) | Different Means"))),
        IF(AND(ROUND(N(AL178),8)=0, ROUND(N(AO178),8)=0), "Group 5: Flaky | Passed (no var SD = 0) AND Failed (no var SD = 0) | Equal Means",
        IF(AND(ROUND(N(AL178),8)&gt;0, ROUND(N(AO178),8)&gt;0), "Group 6: Flaky | Passed (with var SD &gt; 0 ) AND Failed (with var SD &gt; 0) | Equal Means",
        IF(AND(ROUND(N(AL178),8)=0, ROUND(N(AO178),8)&gt;0), "Group 7: Flaky | Passed (no var SD = 0) AND Failed (with var SD &gt; 0) | Equal Means",
        "Group 8: Flaky | Passed (with var SD &gt; 0 ) AND Failed (no var SD = 0) | Equal Means")))
    ),
    IF(AH178&gt;0,
        IF(N(AL178)&gt;0, "Group 10: Only Passed | With variation (with var SD &gt; 0)", "Group 9: Only Passed | Without variation (no var SD = 0)"),
        IF(AI178&gt;0,
            IF(N(AO178)&gt;0,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78" s="42" t="str">
        <f aca="false">IF(OR(F178="Observed Flaky Test", I178="Observed Flaky Test", S178="Observed Flaky Test", AJ178="Observed Flaky Test"), "Observed Flaky Test", "Non-observed Flaky Test")</f>
        <v>Observed Flaky Test</v>
      </c>
    </row>
    <row r="179" customFormat="false" ht="15.75" hidden="false" customHeight="true" outlineLevel="0" collapsed="false">
      <c r="A179" s="81"/>
      <c r="B179" s="14" t="s">
        <v>414</v>
      </c>
      <c r="C179" s="14" t="s">
        <v>415</v>
      </c>
      <c r="D179" s="15" t="n">
        <v>94</v>
      </c>
      <c r="E179" s="15" t="n">
        <v>6</v>
      </c>
      <c r="F179" s="61" t="str">
        <f aca="false">IF(AND(D179&gt;0, E179&gt;0), "Observed Flaky Test", "Non-observed Flaky Test")</f>
        <v>Observed Flaky Test</v>
      </c>
      <c r="G179" s="22" t="n">
        <v>96</v>
      </c>
      <c r="H179" s="22" t="n">
        <v>4</v>
      </c>
      <c r="I179" s="61" t="str">
        <f aca="false">IF(AND(G179&gt;0, H179&gt;0), "Observed Flaky Test", "Non-observed Flaky Test")</f>
        <v>Observed Flaky Test</v>
      </c>
      <c r="J179" s="18" t="n">
        <v>40.12</v>
      </c>
      <c r="K179" s="18" t="n">
        <v>0</v>
      </c>
      <c r="L179" s="19" t="n">
        <f aca="false">IFERROR(K179/J179*100,"N/A")</f>
        <v>0</v>
      </c>
      <c r="M179" s="66" t="n">
        <v>39.3025</v>
      </c>
      <c r="N179" s="53" t="n">
        <v>0.281458</v>
      </c>
      <c r="O179" s="20" t="n">
        <f aca="false">IFERROR(N179/M179*100,"N/A")</f>
        <v>0.716132561541887</v>
      </c>
      <c r="P179" s="67" t="str">
        <f aca="false">IF(AND(G179&gt;0, H179=0), IF(ROUND(K179,8)=0, "Group 9: Only Passed | Without variation (SD Passed = 0)", "Group 10: Only Passed | With variation (SD Passed &gt; 0)"), IF(AND(G179=0, H179&gt;0), IF(ROUND(N179,8)=0, "Group 11: Only Failed | Without variation (SD Failed = 0)", "Group 12: Only Failed | With variation (SD Failed &gt; 0)"), IF(AND(G179&gt;0, H179&gt;0), IF(ROUND(J179,5)&lt;&gt;ROUND(M179,5), IF(AND(ROUND(K179,8)=0, ROUND(N179,8)=0), "Group 1: Flaky | Passed (no variation) AND Failed (no variation) | Different Means", IF(AND(ROUND(K179,8)&gt;0, ROUND(N179,8)&gt;0), "Group 2: Flaky | Passed (with variation) AND Failed (with variation) | Different Means", IF(AND(ROUND(K179,8)=0, ROUND(N179,8)&gt;0), "Group 3: Flaky | Passed (no variation) AND Failed (with variation) | Different Means", "Group 4: Flaky | Passed (with variation) AND Failed (no variation) | Different Means"))), IF(AND(ROUND(K179,8)=0, ROUND(N179,8)=0), "Group 5: Flaky | Passed (no variation) AND Failed (no variation) | Equal Means", IF(AND(ROUND(K179,8)&gt;0, ROUND(N179,8)&gt;0), "Group 6: Flaky | Passed (with variation) AND Failed (with variation) | Equal Means", IF(AND(ROUND(K179,8)=0, ROUND(N179,8)&gt;0),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79" s="17" t="n">
        <v>98</v>
      </c>
      <c r="R179" s="17" t="n">
        <v>2</v>
      </c>
      <c r="S179" s="43" t="str">
        <f aca="false">IF(AND(Q179&gt;0, R179&gt;0), "Observed Flaky Test", "Non-observed Flaky Test")</f>
        <v>Observed Flaky Test</v>
      </c>
      <c r="T179" s="24" t="n">
        <v>7195831.846939</v>
      </c>
      <c r="U179" s="26" t="n">
        <v>131824.73516</v>
      </c>
      <c r="V179" s="25" t="n">
        <f aca="false">IFERROR(U179/T179*100,"N/A")</f>
        <v>1.83195963946929</v>
      </c>
      <c r="W179" s="55" t="n">
        <v>7366273</v>
      </c>
      <c r="X179" s="24" t="n">
        <v>5.656854</v>
      </c>
      <c r="Y179" s="27" t="n">
        <f aca="false">IFERROR(X179/W179*100,"N/A")</f>
        <v>7.67939770899069E-005</v>
      </c>
      <c r="Z179" s="68" t="str">
        <f aca="false">IF(AND(Q179&gt;0, R179=0), IF(IFERROR(ROUND(V179,8),0)=0, "Group 9: Only Passed | Without variation (no var CV = 0)", "Group 10: Only Passed | With variation (with var CV &gt; 0)"), IF(AND(Q179=0, R179&gt;0), IF(IFERROR(ROUND(Y179,8),0)=0, "Group 11: Only Failed | Without variation (no var CV = 0)", "Group 12: Only Failed | With variation (with var CV &gt; 0)"), IF(AND(Q179&gt;0, R179&gt;0), IF(ROUND(T179,5)&lt;&gt;ROUND(W179,5), IF(AND(IFERROR(ROUND(V179,8),0)=0, IFERROR(ROUND(Y179,8),0)=0), "Group 1: Flaky | Passed (no variation: CV = 0) AND Failed (no variation: CV = 0) | Different Means", IF(AND(IFERROR(ROUND(V179,8),0)&gt;0, IFERROR(ROUND(Y179,8),0)&gt;0), "Group 2: Flaky | Passed (with variation: CV &gt; 0) AND Failed (with variation: CV &gt; 0) | Different Means", IF(AND(IFERROR(ROUND(V179,8),0)=0, IFERROR(ROUND(Y179,8),0)&gt;0), "Group 3: Flaky | Passed (no variation: CV = 0) AND Failed (with variation: CV &gt; 0) | Different Means", "Group 4: Flaky | Passed (with variation: CV &gt; 0) AND Failed (no variation: CV = 0) | Different Means"))), IF(AND(IFERROR(ROUND(V179,8),0)=0, IFERROR(ROUND(Y179,8),0)=0), "Group 5: Flaky | Passed (no var CV = 0) AND Failed (no var CV = 0) | Equal Means", IF(AND(IFERROR(ROUND(V179,8),0)&gt;0, IFERROR(ROUND(Y179,8),0)&gt;0), "Group 6: Flaky | Passed (with var CV &gt; 0) AND Failed (with var CV &gt; 0) | Equal Means", IF(AND(IFERROR(ROUND(V179,8),0)=0, IFERROR(ROUND(Y179,8),0)&gt;0),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79" s="29" t="n">
        <v>4.125729</v>
      </c>
      <c r="AB179" s="29" t="n">
        <v>0.096374</v>
      </c>
      <c r="AC179" s="29" t="n">
        <f aca="false">IFERROR(AB179/AA179*100,"N/A")</f>
        <v>2.33592657200703</v>
      </c>
      <c r="AD179" s="29" t="n">
        <v>4.422323</v>
      </c>
      <c r="AE179" s="29" t="n">
        <v>0.009132</v>
      </c>
      <c r="AF179" s="29" t="n">
        <f aca="false">IFERROR(AE179/AD179*100,"N/A")</f>
        <v>0.206497806695712</v>
      </c>
      <c r="AG179" s="36" t="str">
        <f aca="false">IF(AND(Q179&gt;0, R179=0), IF(IFERROR(ROUND(AC179,8),0)=0, "Group 9: Only Passed | Without variation (no var CV = 0)", "Group 10: Only Passed | With variation (with var CV &gt; 0)"), IF(AND(Q179=0, R179&gt;0), IF(IFERROR(ROUND(AF179,8),0)=0, "Group 11: Only Failed | Without variation (no var CV = 0)", "Group 12: Only Failed | With variation (with var CV &gt; 0)"), IF(AND(Q179&gt;0, R179&gt;0), IF(ROUND(AA179,5)&lt;&gt;ROUND(AD179,5), IF(AND(IFERROR(ROUND(AC179,8),0)=0, IFERROR(ROUND(AF179,8),0)=0), "Group 1: Flaky | Passed (no variation: CV = 0) AND Failed (no variation: CV = 0) | Different Means", IF(AND(IFERROR(ROUND(AC179,8),0)&gt;0, IFERROR(ROUND(AF179,8),0)&gt;0), "Group 2: Flaky | Passed (with variation: CV &gt; 0) AND Failed (with variation: CV &gt; 0) | Different Means", IF(AND(IFERROR(ROUND(AC179,8),0)=0, IFERROR(ROUND(AF179,8),0)&gt;0), "Group 3: Flaky | Passed (no variation: CV = 0) AND Failed (with variation: CV &gt; 0) | Different Means", "Group 4: Flaky | Passed (with variation: CV &gt; 0) AND Failed (no variation: CV = 0) | Different Means"))), IF(AND(IFERROR(ROUND(AC179,8),0)=0, IFERROR(ROUND(AF179,8),0)=0), "Group 5: Flaky | Passed (no var CV = 0) AND Failed (no var CV = 0) | Equal Means", IF(AND(IFERROR(ROUND(AC179,8),0)&gt;0, IFERROR(ROUND(AF179,8),0)&gt;0), "Group 6: Flaky | Passed (with var CV &gt; 0) AND Failed (with var CV &gt; 0) | Equal Means", IF(AND(IFERROR(ROUND(AC179,8),0)=0, IFERROR(ROUND(AF179,8),0)&gt;0),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79" s="22" t="n">
        <v>98</v>
      </c>
      <c r="AI179" s="17" t="n">
        <v>2</v>
      </c>
      <c r="AJ179" s="39" t="str">
        <f aca="false">IF(AND(AH179&gt;0, AI179&gt;0), "Observed Flaky Test", "Non-observed Flaky Test")</f>
        <v>Observed Flaky Test</v>
      </c>
      <c r="AK179" s="90" t="n">
        <v>2835377</v>
      </c>
      <c r="AL179" s="90" t="n">
        <v>0</v>
      </c>
      <c r="AM179" s="33" t="n">
        <f aca="false">IFERROR(AL179/AK179*100,"N/A")</f>
        <v>0</v>
      </c>
      <c r="AN179" s="90" t="n">
        <v>794549</v>
      </c>
      <c r="AO179" s="90" t="n">
        <v>0</v>
      </c>
      <c r="AP179" s="35" t="n">
        <f aca="false">IFERROR(AO179/AN179*100,"N/A")</f>
        <v>0</v>
      </c>
      <c r="AQ179" s="85" t="str">
        <f aca="false">IF(AND(AH179&gt;0, AI179&gt;0),
    IF(ROUND(N(AK179),5)&lt;&gt;ROUND(N(AN179),5),
        IF(AND(ROUND(N(AL179),8)=0, ROUND(N(AO179),8)=0), "Group 1: Flaky | Passed (no variation: SD = 0) AND Failed (no variation: SD = 0) | Different Means",
        IF(AND(ROUND(N(AL179),8)&gt;0, ROUND(N(AO179),8)&gt;0), "Group 2: Flaky | Passed (with variation: SD &gt; 0) AND Failed (with variation: SD &gt; 0) | Different Means",
        IF(AND(ROUND(N(AL179),8)=0, ROUND(N(AO179),8)&gt;0), "Group 3: Flaky | Passed (no variation: SD = 0) AND Failed (with variation: SD &gt; 0) | Different Means",
        "Group 4: Flaky | Passed (with variation: SD &gt; 0) AND Failed (no variation: SD = 0) | Different Means"))),
        IF(AND(ROUND(N(AL179),8)=0, ROUND(N(AO179),8)=0), "Group 5: Flaky | Passed (no var SD = 0) AND Failed (no var SD = 0) | Equal Means",
        IF(AND(ROUND(N(AL179),8)&gt;0, ROUND(N(AO179),8)&gt;0), "Group 6: Flaky | Passed (with var SD &gt; 0 ) AND Failed (with var SD &gt; 0) | Equal Means",
        IF(AND(ROUND(N(AL179),8)=0, ROUND(N(AO179),8)&gt;0), "Group 7: Flaky | Passed (no var SD = 0) AND Failed (with var SD &gt; 0) | Equal Means",
        "Group 8: Flaky | Passed (with var SD &gt; 0 ) AND Failed (no var SD = 0) | Equal Means")))
    ),
    IF(AH179&gt;0,
        IF(N(AL179)&gt;0, "Group 10: Only Passed | With variation (with var SD &gt; 0)", "Group 9: Only Passed | Without variation (no var SD = 0)"),
        IF(AI179&gt;0,
            IF(N(AO179)&gt;0,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179" s="42" t="str">
        <f aca="false">IF(OR(F179="Observed Flaky Test", I179="Observed Flaky Test", S179="Observed Flaky Test", AJ179="Observed Flaky Test"), "Observed Flaky Test", "Non-observed Flaky Test")</f>
        <v>Observed Flaky Test</v>
      </c>
    </row>
    <row r="180" customFormat="false" ht="15.75" hidden="false" customHeight="true" outlineLevel="0" collapsed="false">
      <c r="A180" s="81" t="s">
        <v>416</v>
      </c>
      <c r="B180" s="14" t="s">
        <v>417</v>
      </c>
      <c r="C180" s="14" t="s">
        <v>418</v>
      </c>
      <c r="D180" s="15" t="n">
        <v>100</v>
      </c>
      <c r="E180" s="15" t="n">
        <v>0</v>
      </c>
      <c r="F180" s="16" t="str">
        <f aca="false">IF(AND(D180&gt;0, E180&gt;0), "Observed Flaky Test", "Non-observed Flaky Test")</f>
        <v>Non-observed Flaky Test</v>
      </c>
      <c r="G180" s="22" t="n">
        <v>99</v>
      </c>
      <c r="H180" s="22" t="n">
        <v>1</v>
      </c>
      <c r="I180" s="61" t="str">
        <f aca="false">IF(AND(G180&gt;0, H180&gt;0), "Observed Flaky Test", "Non-observed Flaky Test")</f>
        <v>Observed Flaky Test</v>
      </c>
      <c r="J180" s="18" t="n">
        <v>32.51</v>
      </c>
      <c r="K180" s="18" t="n">
        <v>0</v>
      </c>
      <c r="L180" s="19" t="n">
        <f aca="false">IFERROR(K180/J180*100,"N/A")</f>
        <v>0</v>
      </c>
      <c r="M180" s="18" t="n">
        <v>32.51</v>
      </c>
      <c r="N180" s="18" t="n">
        <v>0</v>
      </c>
      <c r="O180" s="20" t="n">
        <f aca="false">IFERROR(N180/M180*100,"N/A")</f>
        <v>0</v>
      </c>
      <c r="P180" s="92" t="str">
        <f aca="false">IF(AND(G180&gt;0, H180=0), IF(ROUND(K180,8)=0, "Group 9: Only Passed | Without variation (SD Passed = 0)", "Group 10: Only Passed | With variation (SD Passed &gt; 0)"), IF(AND(G180=0, H180&gt;0), IF(ROUND(N180,8)=0, "Group 11: Only Failed | Without variation (SD Failed = 0)", "Group 12: Only Failed | With variation (SD Failed &gt; 0)"), IF(AND(G180&gt;0, H180&gt;0), IF(ROUND(J180,5)&lt;&gt;ROUND(M180,5), IF(AND(ROUND(K180,8)=0, ROUND(N180,8)=0), "Group 1: Flaky | Passed (no variation) AND Failed (no variation) | Different Means", IF(AND(ROUND(K180,8)&gt;0, ROUND(N180,8)&gt;0), "Group 2: Flaky | Passed (with variation) AND Failed (with variation) | Different Means", IF(AND(ROUND(K180,8)=0, ROUND(N180,8)&gt;0), "Group 3: Flaky | Passed (no variation) AND Failed (with variation) | Different Means", "Group 4: Flaky | Passed (with variation) AND Failed (no variation) | Different Means"))), IF(AND(ROUND(K180,8)=0, ROUND(N180,8)=0), "Group 5: Flaky | Passed (no variation) AND Failed (no variation) | Equal Means", IF(AND(ROUND(K180,8)&gt;0, ROUND(N180,8)&gt;0), "Group 6: Flaky | Passed (with variation) AND Failed (with variation) | Equal Means", IF(AND(ROUND(K180,8)=0, ROUND(N180,8)&gt;0),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80" s="17" t="n">
        <v>98</v>
      </c>
      <c r="R180" s="17" t="n">
        <v>2</v>
      </c>
      <c r="S180" s="43" t="str">
        <f aca="false">IF(AND(Q180&gt;0, R180&gt;0), "Observed Flaky Test", "Non-observed Flaky Test")</f>
        <v>Observed Flaky Test</v>
      </c>
      <c r="T180" s="24" t="n">
        <v>3452025.346939</v>
      </c>
      <c r="U180" s="24" t="n">
        <v>60.102679</v>
      </c>
      <c r="V180" s="25" t="n">
        <f aca="false">IFERROR(U180/T180*100,"N/A")</f>
        <v>0.00174108452167927</v>
      </c>
      <c r="W180" s="55" t="n">
        <v>3634108</v>
      </c>
      <c r="X180" s="26" t="n">
        <v>142.83557</v>
      </c>
      <c r="Y180" s="27" t="n">
        <f aca="false">IFERROR(X180/W180*100,"N/A")</f>
        <v>0.00393041621217641</v>
      </c>
      <c r="Z180" s="68" t="str">
        <f aca="false">IF(AND(Q180&gt;0, R180=0), IF(IFERROR(ROUND(V180,8),0)=0, "Group 9: Only Passed | Without variation (no var CV = 0)", "Group 10: Only Passed | With variation (with var CV &gt; 0)"), IF(AND(Q180=0, R180&gt;0), IF(IFERROR(ROUND(Y180,8),0)=0, "Group 11: Only Failed | Without variation (no var CV = 0)", "Group 12: Only Failed | With variation (with var CV &gt; 0)"), IF(AND(Q180&gt;0, R180&gt;0), IF(ROUND(T180,5)&lt;&gt;ROUND(W180,5), IF(AND(IFERROR(ROUND(V180,8),0)=0, IFERROR(ROUND(Y180,8),0)=0), "Group 1: Flaky | Passed (no variation: CV = 0) AND Failed (no variation: CV = 0) | Different Means", IF(AND(IFERROR(ROUND(V180,8),0)&gt;0, IFERROR(ROUND(Y180,8),0)&gt;0), "Group 2: Flaky | Passed (with variation: CV &gt; 0) AND Failed (with variation: CV &gt; 0) | Different Means", IF(AND(IFERROR(ROUND(V180,8),0)=0, IFERROR(ROUND(Y180,8),0)&gt;0), "Group 3: Flaky | Passed (no variation: CV = 0) AND Failed (with variation: CV &gt; 0) | Different Means", "Group 4: Flaky | Passed (with variation: CV &gt; 0) AND Failed (no variation: CV = 0) | Different Means"))), IF(AND(IFERROR(ROUND(V180,8),0)=0, IFERROR(ROUND(Y180,8),0)=0), "Group 5: Flaky | Passed (no var CV = 0) AND Failed (no var CV = 0) | Equal Means", IF(AND(IFERROR(ROUND(V180,8),0)&gt;0, IFERROR(ROUND(Y180,8),0)&gt;0), "Group 6: Flaky | Passed (with var CV &gt; 0) AND Failed (with var CV &gt; 0) | Equal Means", IF(AND(IFERROR(ROUND(V180,8),0)=0, IFERROR(ROUND(Y180,8),0)&gt;0),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0" s="29" t="n">
        <v>3.163688</v>
      </c>
      <c r="AB180" s="29" t="n">
        <v>0.056587</v>
      </c>
      <c r="AC180" s="29" t="n">
        <f aca="false">IFERROR(AB180/AA180*100,"N/A")</f>
        <v>1.78864034632998</v>
      </c>
      <c r="AD180" s="29" t="n">
        <v>3.070524</v>
      </c>
      <c r="AE180" s="29" t="n">
        <v>0.018346</v>
      </c>
      <c r="AF180" s="29" t="n">
        <f aca="false">IFERROR(AE180/AD180*100,"N/A")</f>
        <v>0.59748759495122</v>
      </c>
      <c r="AG180" s="36" t="str">
        <f aca="false">IF(AND(Q180&gt;0, R180=0), IF(IFERROR(ROUND(AC180,8),0)=0, "Group 9: Only Passed | Without variation (no var CV = 0)", "Group 10: Only Passed | With variation (with var CV &gt; 0)"), IF(AND(Q180=0, R180&gt;0), IF(IFERROR(ROUND(AF180,8),0)=0, "Group 11: Only Failed | Without variation (no var CV = 0)", "Group 12: Only Failed | With variation (with var CV &gt; 0)"), IF(AND(Q180&gt;0, R180&gt;0), IF(ROUND(AA180,5)&lt;&gt;ROUND(AD180,5), IF(AND(IFERROR(ROUND(AC180,8),0)=0, IFERROR(ROUND(AF180,8),0)=0), "Group 1: Flaky | Passed (no variation: CV = 0) AND Failed (no variation: CV = 0) | Different Means", IF(AND(IFERROR(ROUND(AC180,8),0)&gt;0, IFERROR(ROUND(AF180,8),0)&gt;0), "Group 2: Flaky | Passed (with variation: CV &gt; 0) AND Failed (with variation: CV &gt; 0) | Different Means", IF(AND(IFERROR(ROUND(AC180,8),0)=0, IFERROR(ROUND(AF180,8),0)&gt;0), "Group 3: Flaky | Passed (no variation: CV = 0) AND Failed (with variation: CV &gt; 0) | Different Means", "Group 4: Flaky | Passed (with variation: CV &gt; 0) AND Failed (no variation: CV = 0) | Different Means"))), IF(AND(IFERROR(ROUND(AC180,8),0)=0, IFERROR(ROUND(AF180,8),0)=0), "Group 5: Flaky | Passed (no var CV = 0) AND Failed (no var CV = 0) | Equal Means", IF(AND(IFERROR(ROUND(AC180,8),0)&gt;0, IFERROR(ROUND(AF180,8),0)&gt;0), "Group 6: Flaky | Passed (with var CV &gt; 0) AND Failed (with var CV &gt; 0) | Equal Means", IF(AND(IFERROR(ROUND(AC180,8),0)=0, IFERROR(ROUND(AF180,8),0)&gt;0),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0" s="22" t="n">
        <v>98</v>
      </c>
      <c r="AI180" s="17" t="n">
        <v>2</v>
      </c>
      <c r="AJ180" s="39" t="str">
        <f aca="false">IF(AND(AH180&gt;0, AI180&gt;0), "Observed Flaky Test", "Non-observed Flaky Test")</f>
        <v>Observed Flaky Test</v>
      </c>
      <c r="AK180" s="35" t="n">
        <v>22474435.7755102</v>
      </c>
      <c r="AL180" s="94" t="n">
        <v>854.312969652056</v>
      </c>
      <c r="AM180" s="33" t="n">
        <f aca="false">IFERROR(AL180/AK180*100,"N/A")</f>
        <v>0.00380126548308269</v>
      </c>
      <c r="AN180" s="90" t="n">
        <v>22468905.5</v>
      </c>
      <c r="AO180" s="100" t="n">
        <v>3051.16576081995</v>
      </c>
      <c r="AP180" s="35" t="n">
        <f aca="false">IFERROR(AO180/AN180*100,"N/A")</f>
        <v>0.0135795032865306</v>
      </c>
      <c r="AQ180" s="63" t="str">
        <f aca="false">IF(AND(AH180&gt;0, AI180&gt;0),
    IF(ROUND(N(AK180),5)&lt;&gt;ROUND(N(AN180),5),
        IF(AND(ROUND(N(AL180),8)=0, ROUND(N(AO180),8)=0), "Group 1: Flaky | Passed (no variation: SD = 0) AND Failed (no variation: SD = 0) | Different Means",
        IF(AND(ROUND(N(AL180),8)&gt;0, ROUND(N(AO180),8)&gt;0), "Group 2: Flaky | Passed (with variation: SD &gt; 0) AND Failed (with variation: SD &gt; 0) | Different Means",
        IF(AND(ROUND(N(AL180),8)=0, ROUND(N(AO180),8)&gt;0), "Group 3: Flaky | Passed (no variation: SD = 0) AND Failed (with variation: SD &gt; 0) | Different Means",
        "Group 4: Flaky | Passed (with variation: SD &gt; 0) AND Failed (no variation: SD = 0) | Different Means"))),
        IF(AND(ROUND(N(AL180),8)=0, ROUND(N(AO180),8)=0), "Group 5: Flaky | Passed (no var SD = 0) AND Failed (no var SD = 0) | Equal Means",
        IF(AND(ROUND(N(AL180),8)&gt;0, ROUND(N(AO180),8)&gt;0), "Group 6: Flaky | Passed (with var SD &gt; 0 ) AND Failed (with var SD &gt; 0) | Equal Means",
        IF(AND(ROUND(N(AL180),8)=0, ROUND(N(AO180),8)&gt;0), "Group 7: Flaky | Passed (no var SD = 0) AND Failed (with var SD &gt; 0) | Equal Means",
        "Group 8: Flaky | Passed (with var SD &gt; 0 ) AND Failed (no var SD = 0) | Equal Means")))
    ),
    IF(AH180&gt;0,
        IF(N(AL180)&gt;0, "Group 10: Only Passed | With variation (with var SD &gt; 0)", "Group 9: Only Passed | Without variation (no var SD = 0)"),
        IF(AI180&gt;0,
            IF(N(AO180)&gt;0,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80" s="42" t="str">
        <f aca="false">IF(OR(F180="Observed Flaky Test", I180="Observed Flaky Test", S180="Observed Flaky Test", AJ180="Observed Flaky Test"), "Observed Flaky Test", "Non-observed Flaky Test")</f>
        <v>Observed Flaky Test</v>
      </c>
    </row>
    <row r="181" customFormat="false" ht="15.75" hidden="false" customHeight="true" outlineLevel="0" collapsed="false">
      <c r="A181" s="81" t="s">
        <v>419</v>
      </c>
      <c r="B181" s="14" t="s">
        <v>420</v>
      </c>
      <c r="C181" s="14" t="s">
        <v>421</v>
      </c>
      <c r="D181" s="15" t="n">
        <v>100</v>
      </c>
      <c r="E181" s="15" t="n">
        <v>0</v>
      </c>
      <c r="F181" s="16" t="str">
        <f aca="false">IF(AND(D181&gt;0, E181&gt;0), "Observed Flaky Test", "Non-observed Flaky Test")</f>
        <v>Non-observed Flaky Test</v>
      </c>
      <c r="G181" s="22" t="n">
        <v>100</v>
      </c>
      <c r="H181" s="22" t="n">
        <v>0</v>
      </c>
      <c r="I181" s="16" t="str">
        <f aca="false">IF(AND(G181&gt;0, H181&gt;0), "Observed Flaky Test", "Non-observed Flaky Test")</f>
        <v>Non-observed Flaky Test</v>
      </c>
      <c r="J181" s="18" t="n">
        <v>60.7</v>
      </c>
      <c r="K181" s="18" t="n">
        <v>0</v>
      </c>
      <c r="L181" s="19" t="n">
        <f aca="false">IFERROR(K181/J181*100,"N/A")</f>
        <v>0</v>
      </c>
      <c r="M181" s="18" t="n">
        <v>0</v>
      </c>
      <c r="N181" s="18" t="n">
        <v>0</v>
      </c>
      <c r="O181" s="20" t="str">
        <f aca="false">IFERROR(N181/M181*100,"N/A")</f>
        <v>N/A</v>
      </c>
      <c r="P181" s="56" t="str">
        <f aca="false">IF(AND(G181&gt;0, H181=0), IF(ROUND(K181,8)=0, "Group 9: Only Passed | Without variation (SD Passed = 0)", "Group 10: Only Passed | With variation (SD Passed &gt; 0)"), IF(AND(G181=0, H181&gt;0), IF(ROUND(N181,8)=0, "Group 11: Only Failed | Without variation (SD Failed = 0)", "Group 12: Only Failed | With variation (SD Failed &gt; 0)"), IF(AND(G181&gt;0, H181&gt;0), IF(ROUND(J181,5)&lt;&gt;ROUND(M181,5), IF(AND(ROUND(K181,8)=0, ROUND(N181,8)=0), "Group 1: Flaky | Passed (no variation) AND Failed (no variation) | Different Means", IF(AND(ROUND(K181,8)&gt;0, ROUND(N181,8)&gt;0), "Group 2: Flaky | Passed (with variation) AND Failed (with variation) | Different Means", IF(AND(ROUND(K181,8)=0, ROUND(N181,8)&gt;0), "Group 3: Flaky | Passed (no variation) AND Failed (with variation) | Different Means", "Group 4: Flaky | Passed (with variation) AND Failed (no variation) | Different Means"))), IF(AND(ROUND(K181,8)=0, ROUND(N181,8)=0), "Group 5: Flaky | Passed (no variation) AND Failed (no variation) | Equal Means", IF(AND(ROUND(K181,8)&gt;0, ROUND(N181,8)&gt;0), "Group 6: Flaky | Passed (with variation) AND Failed (with variation) | Equal Means", IF(AND(ROUND(K181,8)=0, ROUND(N181,8)&gt;0),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81" s="17" t="n">
        <v>100</v>
      </c>
      <c r="R181" s="17" t="n">
        <v>0</v>
      </c>
      <c r="S181" s="23" t="str">
        <f aca="false">IF(AND(Q181&gt;0, R181&gt;0), "Observed Flaky Test", "Non-observed Flaky Test")</f>
        <v>Non-observed Flaky Test</v>
      </c>
      <c r="T181" s="24" t="n">
        <v>356135.21</v>
      </c>
      <c r="U181" s="24" t="n">
        <v>15.211834</v>
      </c>
      <c r="V181" s="25" t="n">
        <f aca="false">IFERROR(U181/T181*100,"N/A")</f>
        <v>0.00427136479990282</v>
      </c>
      <c r="W181" s="22" t="n">
        <v>0</v>
      </c>
      <c r="X181" s="22" t="n">
        <v>0</v>
      </c>
      <c r="Y181" s="27" t="str">
        <f aca="false">IFERROR(X181/W181*100,"N/A")</f>
        <v>N/A</v>
      </c>
      <c r="Z181" s="50" t="str">
        <f aca="false">IF(AND(Q181&gt;0, R181=0), IF(IFERROR(ROUND(V181,8),0)=0, "Group 9: Only Passed | Without variation (no var CV = 0)", "Group 10: Only Passed | With variation (with var CV &gt; 0)"), IF(AND(Q181=0, R181&gt;0), IF(IFERROR(ROUND(Y181,8),0)=0, "Group 11: Only Failed | Without variation (no var CV = 0)", "Group 12: Only Failed | With variation (with var CV &gt; 0)"), IF(AND(Q181&gt;0, R181&gt;0), IF(ROUND(T181,5)&lt;&gt;ROUND(W181,5), IF(AND(IFERROR(ROUND(V181,8),0)=0, IFERROR(ROUND(Y181,8),0)=0), "Group 1: Flaky | Passed (no variation: CV = 0) AND Failed (no variation: CV = 0) | Different Means", IF(AND(IFERROR(ROUND(V181,8),0)&gt;0, IFERROR(ROUND(Y181,8),0)&gt;0), "Group 2: Flaky | Passed (with variation: CV &gt; 0) AND Failed (with variation: CV &gt; 0) | Different Means", IF(AND(IFERROR(ROUND(V181,8),0)=0, IFERROR(ROUND(Y181,8),0)&gt;0), "Group 3: Flaky | Passed (no variation: CV = 0) AND Failed (with variation: CV &gt; 0) | Different Means", "Group 4: Flaky | Passed (with variation: CV &gt; 0) AND Failed (no variation: CV = 0) | Different Means"))), IF(AND(IFERROR(ROUND(V181,8),0)=0, IFERROR(ROUND(Y181,8),0)=0), "Group 5: Flaky | Passed (no var CV = 0) AND Failed (no var CV = 0) | Equal Means", IF(AND(IFERROR(ROUND(V181,8),0)&gt;0, IFERROR(ROUND(Y181,8),0)&gt;0), "Group 6: Flaky | Passed (with var CV &gt; 0) AND Failed (with var CV &gt; 0) | Equal Means", IF(AND(IFERROR(ROUND(V181,8),0)=0, IFERROR(ROUND(Y181,8),0)&gt;0),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81" s="29" t="n">
        <v>0.218765</v>
      </c>
      <c r="AB181" s="29" t="n">
        <v>0.007112</v>
      </c>
      <c r="AC181" s="29" t="n">
        <f aca="false">IFERROR(AB181/AA181*100,"N/A")</f>
        <v>3.25097707585766</v>
      </c>
      <c r="AD181" s="29" t="n">
        <v>0</v>
      </c>
      <c r="AE181" s="29" t="n">
        <v>0</v>
      </c>
      <c r="AF181" s="29" t="str">
        <f aca="false">IFERROR(AE181/AD181*100,"N/A")</f>
        <v>N/A</v>
      </c>
      <c r="AG181" s="51" t="str">
        <f aca="false">IF(AND(Q181&gt;0, R181=0), IF(IFERROR(ROUND(AC181,8),0)=0, "Group 9: Only Passed | Without variation (no var CV = 0)", "Group 10: Only Passed | With variation (with var CV &gt; 0)"), IF(AND(Q181=0, R181&gt;0), IF(IFERROR(ROUND(AF181,8),0)=0, "Group 11: Only Failed | Without variation (no var CV = 0)", "Group 12: Only Failed | With variation (with var CV &gt; 0)"), IF(AND(Q181&gt;0, R181&gt;0), IF(ROUND(AA181,5)&lt;&gt;ROUND(AD181,5), IF(AND(IFERROR(ROUND(AC181,8),0)=0, IFERROR(ROUND(AF181,8),0)=0), "Group 1: Flaky | Passed (no variation: CV = 0) AND Failed (no variation: CV = 0) | Different Means", IF(AND(IFERROR(ROUND(AC181,8),0)&gt;0, IFERROR(ROUND(AF181,8),0)&gt;0), "Group 2: Flaky | Passed (with variation: CV &gt; 0) AND Failed (with variation: CV &gt; 0) | Different Means", IF(AND(IFERROR(ROUND(AC181,8),0)=0, IFERROR(ROUND(AF181,8),0)&gt;0), "Group 3: Flaky | Passed (no variation: CV = 0) AND Failed (with variation: CV &gt; 0) | Different Means", "Group 4: Flaky | Passed (with variation: CV &gt; 0) AND Failed (no variation: CV = 0) | Different Means"))), IF(AND(IFERROR(ROUND(AC181,8),0)=0, IFERROR(ROUND(AF181,8),0)=0), "Group 5: Flaky | Passed (no var CV = 0) AND Failed (no var CV = 0) | Equal Means", IF(AND(IFERROR(ROUND(AC181,8),0)&gt;0, IFERROR(ROUND(AF181,8),0)&gt;0), "Group 6: Flaky | Passed (with var CV &gt; 0) AND Failed (with var CV &gt; 0) | Equal Means", IF(AND(IFERROR(ROUND(AC181,8),0)=0, IFERROR(ROUND(AF181,8),0)&gt;0),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81" s="22" t="n">
        <v>100</v>
      </c>
      <c r="AI181" s="17" t="n">
        <v>0</v>
      </c>
      <c r="AJ181" s="31" t="str">
        <f aca="false">IF(AND(AH181&gt;0, AI181&gt;0), "Observed Flaky Test", "Non-observed Flaky Test")</f>
        <v>Non-observed Flaky Test</v>
      </c>
      <c r="AK181" s="90" t="n">
        <v>4585</v>
      </c>
      <c r="AL181" s="90" t="n">
        <v>0</v>
      </c>
      <c r="AM181" s="33" t="n">
        <f aca="false">IFERROR(AL181/AK181*100,"N/A")</f>
        <v>0</v>
      </c>
      <c r="AN181" s="90" t="n">
        <v>0</v>
      </c>
      <c r="AO181" s="90" t="n">
        <v>0</v>
      </c>
      <c r="AP181" s="35" t="str">
        <f aca="false">IFERROR(AO181/AN181*100,"N/A")</f>
        <v>N/A</v>
      </c>
      <c r="AQ181" s="45" t="str">
        <f aca="false">IF(AND(AH181&gt;0, AI181&gt;0),
    IF(ROUND(N(AK181),5)&lt;&gt;ROUND(N(AN181),5),
        IF(AND(ROUND(N(AL181),8)=0, ROUND(N(AO181),8)=0), "Group 1: Flaky | Passed (no variation: SD = 0) AND Failed (no variation: SD = 0) | Different Means",
        IF(AND(ROUND(N(AL181),8)&gt;0, ROUND(N(AO181),8)&gt;0), "Group 2: Flaky | Passed (with variation: SD &gt; 0) AND Failed (with variation: SD &gt; 0) | Different Means",
        IF(AND(ROUND(N(AL181),8)=0, ROUND(N(AO181),8)&gt;0), "Group 3: Flaky | Passed (no variation: SD = 0) AND Failed (with variation: SD &gt; 0) | Different Means",
        "Group 4: Flaky | Passed (with variation: SD &gt; 0) AND Failed (no variation: SD = 0) | Different Means"))),
        IF(AND(ROUND(N(AL181),8)=0, ROUND(N(AO181),8)=0), "Group 5: Flaky | Passed (no var SD = 0) AND Failed (no var SD = 0) | Equal Means",
        IF(AND(ROUND(N(AL181),8)&gt;0, ROUND(N(AO181),8)&gt;0), "Group 6: Flaky | Passed (with var SD &gt; 0 ) AND Failed (with var SD &gt; 0) | Equal Means",
        IF(AND(ROUND(N(AL181),8)=0, ROUND(N(AO181),8)&gt;0), "Group 7: Flaky | Passed (no var SD = 0) AND Failed (with var SD &gt; 0) | Equal Means",
        "Group 8: Flaky | Passed (with var SD &gt; 0 ) AND Failed (no var SD = 0) | Equal Means")))
    ),
    IF(AH181&gt;0,
        IF(N(AL181)&gt;0, "Group 10: Only Passed | With variation (with var SD &gt; 0)", "Group 9: Only Passed | Without variation (no var SD = 0)"),
        IF(AI181&gt;0,
            IF(N(AO181)&gt;0,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81" s="37" t="str">
        <f aca="false">IF(OR(F181="Observed Flaky Test", I181="Observed Flaky Test", S181="Observed Flaky Test", AJ181="Observed Flaky Test"), "Observed Flaky Test", "Non-observed Flaky Test")</f>
        <v>Non-observed Flaky Test</v>
      </c>
    </row>
    <row r="182" customFormat="false" ht="39" hidden="false" customHeight="true" outlineLevel="0" collapsed="false">
      <c r="A182" s="81" t="s">
        <v>422</v>
      </c>
      <c r="B182" s="14" t="s">
        <v>423</v>
      </c>
      <c r="C182" s="14" t="s">
        <v>424</v>
      </c>
      <c r="D182" s="15" t="n">
        <v>100</v>
      </c>
      <c r="E182" s="15" t="n">
        <v>0</v>
      </c>
      <c r="F182" s="16" t="str">
        <f aca="false">IF(AND(D182&gt;0, E182&gt;0), "Observed Flaky Test", "Non-observed Flaky Test")</f>
        <v>Non-observed Flaky Test</v>
      </c>
      <c r="G182" s="22" t="n">
        <v>100</v>
      </c>
      <c r="H182" s="22" t="n">
        <v>0</v>
      </c>
      <c r="I182" s="16" t="str">
        <f aca="false">IF(AND(G182&gt;0, H182&gt;0), "Observed Flaky Test", "Non-observed Flaky Test")</f>
        <v>Non-observed Flaky Test</v>
      </c>
      <c r="J182" s="18" t="n">
        <v>21.9</v>
      </c>
      <c r="K182" s="18" t="n">
        <v>0</v>
      </c>
      <c r="L182" s="19" t="n">
        <f aca="false">IFERROR(K182/J182*100,"N/A")</f>
        <v>0</v>
      </c>
      <c r="M182" s="18" t="n">
        <v>0</v>
      </c>
      <c r="N182" s="18" t="n">
        <v>0</v>
      </c>
      <c r="O182" s="20" t="str">
        <f aca="false">IFERROR(N182/M182*100,"N/A")</f>
        <v>N/A</v>
      </c>
      <c r="P182" s="56" t="str">
        <f aca="false">IF(AND(G182&gt;0, H182=0), IF(ROUND(K182,8)=0, "Group 9: Only Passed | Without variation (SD Passed = 0)", "Group 10: Only Passed | With variation (SD Passed &gt; 0)"), IF(AND(G182=0, H182&gt;0), IF(ROUND(N182,8)=0, "Group 11: Only Failed | Without variation (SD Failed = 0)", "Group 12: Only Failed | With variation (SD Failed &gt; 0)"), IF(AND(G182&gt;0, H182&gt;0), IF(ROUND(J182,5)&lt;&gt;ROUND(M182,5), IF(AND(ROUND(K182,8)=0, ROUND(N182,8)=0), "Group 1: Flaky | Passed (no variation) AND Failed (no variation) | Different Means", IF(AND(ROUND(K182,8)&gt;0, ROUND(N182,8)&gt;0), "Group 2: Flaky | Passed (with variation) AND Failed (with variation) | Different Means", IF(AND(ROUND(K182,8)=0, ROUND(N182,8)&gt;0), "Group 3: Flaky | Passed (no variation) AND Failed (with variation) | Different Means", "Group 4: Flaky | Passed (with variation) AND Failed (no variation) | Different Means"))), IF(AND(ROUND(K182,8)=0, ROUND(N182,8)=0), "Group 5: Flaky | Passed (no variation) AND Failed (no variation) | Equal Means", IF(AND(ROUND(K182,8)&gt;0, ROUND(N182,8)&gt;0), "Group 6: Flaky | Passed (with variation) AND Failed (with variation) | Equal Means", IF(AND(ROUND(K182,8)=0, ROUND(N182,8)&gt;0),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82" s="17" t="n">
        <v>97</v>
      </c>
      <c r="R182" s="17" t="n">
        <v>3</v>
      </c>
      <c r="S182" s="43" t="str">
        <f aca="false">IF(AND(Q182&gt;0, R182&gt;0), "Observed Flaky Test", "Non-observed Flaky Test")</f>
        <v>Observed Flaky Test</v>
      </c>
      <c r="T182" s="24" t="n">
        <v>344665.587629</v>
      </c>
      <c r="U182" s="24" t="n">
        <v>17.590689</v>
      </c>
      <c r="V182" s="25" t="n">
        <f aca="false">IFERROR(U182/T182*100,"N/A")</f>
        <v>0.00510369750604018</v>
      </c>
      <c r="W182" s="24" t="n">
        <v>410312.333333</v>
      </c>
      <c r="X182" s="24" t="n">
        <v>7.023769</v>
      </c>
      <c r="Y182" s="27" t="n">
        <f aca="false">IFERROR(X182/W182*100,"N/A")</f>
        <v>0.0017118103526027</v>
      </c>
      <c r="Z182" s="68" t="str">
        <f aca="false">IF(AND(Q182&gt;0, R182=0), IF(IFERROR(ROUND(V182,8),0)=0, "Group 9: Only Passed | Without variation (no var CV = 0)", "Group 10: Only Passed | With variation (with var CV &gt; 0)"), IF(AND(Q182=0, R182&gt;0), IF(IFERROR(ROUND(Y182,8),0)=0, "Group 11: Only Failed | Without variation (no var CV = 0)", "Group 12: Only Failed | With variation (with var CV &gt; 0)"), IF(AND(Q182&gt;0, R182&gt;0), IF(ROUND(T182,5)&lt;&gt;ROUND(W182,5), IF(AND(IFERROR(ROUND(V182,8),0)=0, IFERROR(ROUND(Y182,8),0)=0), "Group 1: Flaky | Passed (no variation: CV = 0) AND Failed (no variation: CV = 0) | Different Means", IF(AND(IFERROR(ROUND(V182,8),0)&gt;0, IFERROR(ROUND(Y182,8),0)&gt;0), "Group 2: Flaky | Passed (with variation: CV &gt; 0) AND Failed (with variation: CV &gt; 0) | Different Means", IF(AND(IFERROR(ROUND(V182,8),0)=0, IFERROR(ROUND(Y182,8),0)&gt;0), "Group 3: Flaky | Passed (no variation: CV = 0) AND Failed (with variation: CV &gt; 0) | Different Means", "Group 4: Flaky | Passed (with variation: CV &gt; 0) AND Failed (no variation: CV = 0) | Different Means"))), IF(AND(IFERROR(ROUND(V182,8),0)=0, IFERROR(ROUND(Y182,8),0)=0), "Group 5: Flaky | Passed (no var CV = 0) AND Failed (no var CV = 0) | Equal Means", IF(AND(IFERROR(ROUND(V182,8),0)&gt;0, IFERROR(ROUND(Y182,8),0)&gt;0), "Group 6: Flaky | Passed (with var CV &gt; 0) AND Failed (with var CV &gt; 0) | Equal Means", IF(AND(IFERROR(ROUND(V182,8),0)=0, IFERROR(ROUND(Y182,8),0)&gt;0),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2" s="29" t="n">
        <v>0.21091</v>
      </c>
      <c r="AB182" s="29" t="n">
        <v>0.007223</v>
      </c>
      <c r="AC182" s="29" t="n">
        <f aca="false">IFERROR(AB182/AA182*100,"N/A")</f>
        <v>3.4246835142952</v>
      </c>
      <c r="AD182" s="29" t="n">
        <v>0.219983</v>
      </c>
      <c r="AE182" s="29" t="n">
        <v>0.001965</v>
      </c>
      <c r="AF182" s="29" t="n">
        <f aca="false">IFERROR(AE182/AD182*100,"N/A")</f>
        <v>0.893250842110527</v>
      </c>
      <c r="AG182" s="36" t="str">
        <f aca="false">IF(AND(Q182&gt;0, R182=0), IF(IFERROR(ROUND(AC182,8),0)=0, "Group 9: Only Passed | Without variation (no var CV = 0)", "Group 10: Only Passed | With variation (with var CV &gt; 0)"), IF(AND(Q182=0, R182&gt;0), IF(IFERROR(ROUND(AF182,8),0)=0, "Group 11: Only Failed | Without variation (no var CV = 0)", "Group 12: Only Failed | With variation (with var CV &gt; 0)"), IF(AND(Q182&gt;0, R182&gt;0), IF(ROUND(AA182,5)&lt;&gt;ROUND(AD182,5), IF(AND(IFERROR(ROUND(AC182,8),0)=0, IFERROR(ROUND(AF182,8),0)=0), "Group 1: Flaky | Passed (no variation: CV = 0) AND Failed (no variation: CV = 0) | Different Means", IF(AND(IFERROR(ROUND(AC182,8),0)&gt;0, IFERROR(ROUND(AF182,8),0)&gt;0), "Group 2: Flaky | Passed (with variation: CV &gt; 0) AND Failed (with variation: CV &gt; 0) | Different Means", IF(AND(IFERROR(ROUND(AC182,8),0)=0, IFERROR(ROUND(AF182,8),0)&gt;0), "Group 3: Flaky | Passed (no variation: CV = 0) AND Failed (with variation: CV &gt; 0) | Different Means", "Group 4: Flaky | Passed (with variation: CV &gt; 0) AND Failed (no variation: CV = 0) | Different Means"))), IF(AND(IFERROR(ROUND(AC182,8),0)=0, IFERROR(ROUND(AF182,8),0)=0), "Group 5: Flaky | Passed (no var CV = 0) AND Failed (no var CV = 0) | Equal Means", IF(AND(IFERROR(ROUND(AC182,8),0)&gt;0, IFERROR(ROUND(AF182,8),0)&gt;0), "Group 6: Flaky | Passed (with var CV &gt; 0) AND Failed (with var CV &gt; 0) | Equal Means", IF(AND(IFERROR(ROUND(AC182,8),0)=0, IFERROR(ROUND(AF182,8),0)&gt;0),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2" s="22" t="n">
        <v>98</v>
      </c>
      <c r="AI182" s="17" t="n">
        <v>2</v>
      </c>
      <c r="AJ182" s="39" t="str">
        <f aca="false">IF(AND(AH182&gt;0, AI182&gt;0), "Observed Flaky Test", "Non-observed Flaky Test")</f>
        <v>Observed Flaky Test</v>
      </c>
      <c r="AK182" s="100" t="n">
        <v>8053.64285714285</v>
      </c>
      <c r="AL182" s="94" t="n">
        <v>103.167789466989</v>
      </c>
      <c r="AM182" s="33" t="n">
        <f aca="false">IFERROR(AL182/AK182*100,"N/A")</f>
        <v>1.28100775384506</v>
      </c>
      <c r="AN182" s="90" t="n">
        <v>486</v>
      </c>
      <c r="AO182" s="90" t="n">
        <v>0</v>
      </c>
      <c r="AP182" s="35" t="n">
        <f aca="false">IFERROR(AO182/AN182*100,"N/A")</f>
        <v>0</v>
      </c>
      <c r="AQ182" s="60" t="str">
        <f aca="false">IF(AND(AH182&gt;0, AI182&gt;0),
    IF(ROUND(N(AK182),5)&lt;&gt;ROUND(N(AN182),5),
        IF(AND(ROUND(N(AL182),8)=0, ROUND(N(AO182),8)=0), "Group 1: Flaky | Passed (no variation: SD = 0) AND Failed (no variation: SD = 0) | Different Means",
        IF(AND(ROUND(N(AL182),8)&gt;0, ROUND(N(AO182),8)&gt;0), "Group 2: Flaky | Passed (with variation: SD &gt; 0) AND Failed (with variation: SD &gt; 0) | Different Means",
        IF(AND(ROUND(N(AL182),8)=0, ROUND(N(AO182),8)&gt;0), "Group 3: Flaky | Passed (no variation: SD = 0) AND Failed (with variation: SD &gt; 0) | Different Means",
        "Group 4: Flaky | Passed (with variation: SD &gt; 0) AND Failed (no variation: SD = 0) | Different Means"))),
        IF(AND(ROUND(N(AL182),8)=0, ROUND(N(AO182),8)=0), "Group 5: Flaky | Passed (no var SD = 0) AND Failed (no var SD = 0) | Equal Means",
        IF(AND(ROUND(N(AL182),8)&gt;0, ROUND(N(AO182),8)&gt;0), "Group 6: Flaky | Passed (with var SD &gt; 0 ) AND Failed (with var SD &gt; 0) | Equal Means",
        IF(AND(ROUND(N(AL182),8)=0, ROUND(N(AO182),8)&gt;0), "Group 7: Flaky | Passed (no var SD = 0) AND Failed (with var SD &gt; 0) | Equal Means",
        "Group 8: Flaky | Passed (with var SD &gt; 0 ) AND Failed (no var SD = 0) | Equal Means")))
    ),
    IF(AH182&gt;0,
        IF(N(AL182)&gt;0, "Group 10: Only Passed | With variation (with var SD &gt; 0)", "Group 9: Only Passed | Without variation (no var SD = 0)"),
        IF(AI182&gt;0,
            IF(N(AO182)&gt;0,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82" s="42" t="str">
        <f aca="false">IF(OR(F182="Observed Flaky Test", I182="Observed Flaky Test", S182="Observed Flaky Test", AJ182="Observed Flaky Test"), "Observed Flaky Test", "Non-observed Flaky Test")</f>
        <v>Observed Flaky Test</v>
      </c>
    </row>
    <row r="183" customFormat="false" ht="15.75" hidden="false" customHeight="true" outlineLevel="0" collapsed="false">
      <c r="A183" s="81"/>
      <c r="B183" s="14" t="s">
        <v>425</v>
      </c>
      <c r="C183" s="14" t="s">
        <v>426</v>
      </c>
      <c r="D183" s="15" t="n">
        <v>99</v>
      </c>
      <c r="E183" s="15" t="n">
        <v>1</v>
      </c>
      <c r="F183" s="61" t="str">
        <f aca="false">IF(AND(D183&gt;0, E183&gt;0), "Observed Flaky Test", "Non-observed Flaky Test")</f>
        <v>Observed Flaky Test</v>
      </c>
      <c r="G183" s="22" t="n">
        <v>99</v>
      </c>
      <c r="H183" s="22" t="n">
        <v>1</v>
      </c>
      <c r="I183" s="61" t="str">
        <f aca="false">IF(AND(G183&gt;0, H183&gt;0), "Observed Flaky Test", "Non-observed Flaky Test")</f>
        <v>Observed Flaky Test</v>
      </c>
      <c r="J183" s="18" t="n">
        <v>20.2</v>
      </c>
      <c r="K183" s="18" t="n">
        <v>0</v>
      </c>
      <c r="L183" s="19" t="n">
        <f aca="false">IFERROR(K183/J183*100,"N/A")</f>
        <v>0</v>
      </c>
      <c r="M183" s="18" t="n">
        <v>15.53</v>
      </c>
      <c r="N183" s="18" t="n">
        <v>0</v>
      </c>
      <c r="O183" s="20" t="n">
        <f aca="false">IFERROR(N183/M183*100,"N/A")</f>
        <v>0</v>
      </c>
      <c r="P183" s="78" t="str">
        <f aca="false">IF(AND(G183&gt;0, H183=0), IF(ROUND(K183,8)=0, "Group 9: Only Passed | Without variation (SD Passed = 0)", "Group 10: Only Passed | With variation (SD Passed &gt; 0)"), IF(AND(G183=0, H183&gt;0), IF(ROUND(N183,8)=0, "Group 11: Only Failed | Without variation (SD Failed = 0)", "Group 12: Only Failed | With variation (SD Failed &gt; 0)"), IF(AND(G183&gt;0, H183&gt;0), IF(ROUND(J183,5)&lt;&gt;ROUND(M183,5), IF(AND(ROUND(K183,8)=0, ROUND(N183,8)=0), "Group 1: Flaky | Passed (no variation) AND Failed (no variation) | Different Means", IF(AND(ROUND(K183,8)&gt;0, ROUND(N183,8)&gt;0), "Group 2: Flaky | Passed (with variation) AND Failed (with variation) | Different Means", IF(AND(ROUND(K183,8)=0, ROUND(N183,8)&gt;0), "Group 3: Flaky | Passed (no variation) AND Failed (with variation) | Different Means", "Group 4: Flaky | Passed (with variation) AND Failed (no variation) | Different Means"))), IF(AND(ROUND(K183,8)=0, ROUND(N183,8)=0), "Group 5: Flaky | Passed (no variation) AND Failed (no variation) | Equal Means", IF(AND(ROUND(K183,8)&gt;0, ROUND(N183,8)&gt;0), "Group 6: Flaky | Passed (with variation) AND Failed (with variation) | Equal Means", IF(AND(ROUND(K183,8)=0, ROUND(N183,8)&gt;0),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83" s="17" t="n">
        <v>100</v>
      </c>
      <c r="R183" s="17" t="n">
        <v>0</v>
      </c>
      <c r="S183" s="23" t="str">
        <f aca="false">IF(AND(Q183&gt;0, R183&gt;0), "Observed Flaky Test", "Non-observed Flaky Test")</f>
        <v>Non-observed Flaky Test</v>
      </c>
      <c r="T183" s="22" t="n">
        <v>344343.49</v>
      </c>
      <c r="U183" s="24" t="n">
        <v>7.329882</v>
      </c>
      <c r="V183" s="25" t="n">
        <f aca="false">IFERROR(U183/T183*100,"N/A")</f>
        <v>0.00212865415286347</v>
      </c>
      <c r="W183" s="22" t="n">
        <v>0</v>
      </c>
      <c r="X183" s="22" t="n">
        <v>0</v>
      </c>
      <c r="Y183" s="27" t="str">
        <f aca="false">IFERROR(X183/W183*100,"N/A")</f>
        <v>N/A</v>
      </c>
      <c r="Z183" s="50" t="str">
        <f aca="false">IF(AND(Q183&gt;0, R183=0), IF(IFERROR(ROUND(V183,8),0)=0, "Group 9: Only Passed | Without variation (no var CV = 0)", "Group 10: Only Passed | With variation (with var CV &gt; 0)"), IF(AND(Q183=0, R183&gt;0), IF(IFERROR(ROUND(Y183,8),0)=0, "Group 11: Only Failed | Without variation (no var CV = 0)", "Group 12: Only Failed | With variation (with var CV &gt; 0)"), IF(AND(Q183&gt;0, R183&gt;0), IF(ROUND(T183,5)&lt;&gt;ROUND(W183,5), IF(AND(IFERROR(ROUND(V183,8),0)=0, IFERROR(ROUND(Y183,8),0)=0), "Group 1: Flaky | Passed (no variation: CV = 0) AND Failed (no variation: CV = 0) | Different Means", IF(AND(IFERROR(ROUND(V183,8),0)&gt;0, IFERROR(ROUND(Y183,8),0)&gt;0), "Group 2: Flaky | Passed (with variation: CV &gt; 0) AND Failed (with variation: CV &gt; 0) | Different Means", IF(AND(IFERROR(ROUND(V183,8),0)=0, IFERROR(ROUND(Y183,8),0)&gt;0), "Group 3: Flaky | Passed (no variation: CV = 0) AND Failed (with variation: CV &gt; 0) | Different Means", "Group 4: Flaky | Passed (with variation: CV &gt; 0) AND Failed (no variation: CV = 0) | Different Means"))), IF(AND(IFERROR(ROUND(V183,8),0)=0, IFERROR(ROUND(Y183,8),0)=0), "Group 5: Flaky | Passed (no var CV = 0) AND Failed (no var CV = 0) | Equal Means", IF(AND(IFERROR(ROUND(V183,8),0)&gt;0, IFERROR(ROUND(Y183,8),0)&gt;0), "Group 6: Flaky | Passed (with var CV &gt; 0) AND Failed (with var CV &gt; 0) | Equal Means", IF(AND(IFERROR(ROUND(V183,8),0)=0, IFERROR(ROUND(Y183,8),0)&gt;0),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83" s="29" t="n">
        <v>0.25839</v>
      </c>
      <c r="AB183" s="29" t="n">
        <v>0.444006</v>
      </c>
      <c r="AC183" s="29" t="n">
        <f aca="false">IFERROR(AB183/AA183*100,"N/A")</f>
        <v>171.835597352839</v>
      </c>
      <c r="AD183" s="29" t="n">
        <v>0</v>
      </c>
      <c r="AE183" s="29" t="n">
        <v>0</v>
      </c>
      <c r="AF183" s="29" t="str">
        <f aca="false">IFERROR(AE183/AD183*100,"N/A")</f>
        <v>N/A</v>
      </c>
      <c r="AG183" s="51" t="str">
        <f aca="false">IF(AND(Q183&gt;0, R183=0), IF(IFERROR(ROUND(AC183,8),0)=0, "Group 9: Only Passed | Without variation (no var CV = 0)", "Group 10: Only Passed | With variation (with var CV &gt; 0)"), IF(AND(Q183=0, R183&gt;0), IF(IFERROR(ROUND(AF183,8),0)=0, "Group 11: Only Failed | Without variation (no var CV = 0)", "Group 12: Only Failed | With variation (with var CV &gt; 0)"), IF(AND(Q183&gt;0, R183&gt;0), IF(ROUND(AA183,5)&lt;&gt;ROUND(AD183,5), IF(AND(IFERROR(ROUND(AC183,8),0)=0, IFERROR(ROUND(AF183,8),0)=0), "Group 1: Flaky | Passed (no variation: CV = 0) AND Failed (no variation: CV = 0) | Different Means", IF(AND(IFERROR(ROUND(AC183,8),0)&gt;0, IFERROR(ROUND(AF183,8),0)&gt;0), "Group 2: Flaky | Passed (with variation: CV &gt; 0) AND Failed (with variation: CV &gt; 0) | Different Means", IF(AND(IFERROR(ROUND(AC183,8),0)=0, IFERROR(ROUND(AF183,8),0)&gt;0), "Group 3: Flaky | Passed (no variation: CV = 0) AND Failed (with variation: CV &gt; 0) | Different Means", "Group 4: Flaky | Passed (with variation: CV &gt; 0) AND Failed (no variation: CV = 0) | Different Means"))), IF(AND(IFERROR(ROUND(AC183,8),0)=0, IFERROR(ROUND(AF183,8),0)=0), "Group 5: Flaky | Passed (no var CV = 0) AND Failed (no var CV = 0) | Equal Means", IF(AND(IFERROR(ROUND(AC183,8),0)&gt;0, IFERROR(ROUND(AF183,8),0)&gt;0), "Group 6: Flaky | Passed (with var CV &gt; 0) AND Failed (with var CV &gt; 0) | Equal Means", IF(AND(IFERROR(ROUND(AC183,8),0)=0, IFERROR(ROUND(AF183,8),0)&gt;0),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83" s="22" t="n">
        <v>98</v>
      </c>
      <c r="AI183" s="17" t="n">
        <v>2</v>
      </c>
      <c r="AJ183" s="39" t="str">
        <f aca="false">IF(AND(AH183&gt;0, AI183&gt;0), "Observed Flaky Test", "Non-observed Flaky Test")</f>
        <v>Observed Flaky Test</v>
      </c>
      <c r="AK183" s="100" t="n">
        <v>4486.22448979591</v>
      </c>
      <c r="AL183" s="97" t="n">
        <v>68.7426893001083</v>
      </c>
      <c r="AM183" s="33" t="n">
        <f aca="false">IFERROR(AL183/AK183*100,"N/A")</f>
        <v>1.53230605058811</v>
      </c>
      <c r="AN183" s="90" t="n">
        <v>484</v>
      </c>
      <c r="AO183" s="90" t="n">
        <v>0</v>
      </c>
      <c r="AP183" s="35" t="n">
        <f aca="false">IFERROR(AO183/AN183*100,"N/A")</f>
        <v>0</v>
      </c>
      <c r="AQ183" s="60" t="str">
        <f aca="false">IF(AND(AH183&gt;0, AI183&gt;0),
    IF(ROUND(N(AK183),5)&lt;&gt;ROUND(N(AN183),5),
        IF(AND(ROUND(N(AL183),8)=0, ROUND(N(AO183),8)=0), "Group 1: Flaky | Passed (no variation: SD = 0) AND Failed (no variation: SD = 0) | Different Means",
        IF(AND(ROUND(N(AL183),8)&gt;0, ROUND(N(AO183),8)&gt;0), "Group 2: Flaky | Passed (with variation: SD &gt; 0) AND Failed (with variation: SD &gt; 0) | Different Means",
        IF(AND(ROUND(N(AL183),8)=0, ROUND(N(AO183),8)&gt;0), "Group 3: Flaky | Passed (no variation: SD = 0) AND Failed (with variation: SD &gt; 0) | Different Means",
        "Group 4: Flaky | Passed (with variation: SD &gt; 0) AND Failed (no variation: SD = 0) | Different Means"))),
        IF(AND(ROUND(N(AL183),8)=0, ROUND(N(AO183),8)=0), "Group 5: Flaky | Passed (no var SD = 0) AND Failed (no var SD = 0) | Equal Means",
        IF(AND(ROUND(N(AL183),8)&gt;0, ROUND(N(AO183),8)&gt;0), "Group 6: Flaky | Passed (with var SD &gt; 0 ) AND Failed (with var SD &gt; 0) | Equal Means",
        IF(AND(ROUND(N(AL183),8)=0, ROUND(N(AO183),8)&gt;0), "Group 7: Flaky | Passed (no var SD = 0) AND Failed (with var SD &gt; 0) | Equal Means",
        "Group 8: Flaky | Passed (with var SD &gt; 0 ) AND Failed (no var SD = 0) | Equal Means")))
    ),
    IF(AH183&gt;0,
        IF(N(AL183)&gt;0, "Group 10: Only Passed | With variation (with var SD &gt; 0)", "Group 9: Only Passed | Without variation (no var SD = 0)"),
        IF(AI183&gt;0,
            IF(N(AO183)&gt;0,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83" s="42" t="str">
        <f aca="false">IF(OR(F183="Observed Flaky Test", I183="Observed Flaky Test", S183="Observed Flaky Test", AJ183="Observed Flaky Test"), "Observed Flaky Test", "Non-observed Flaky Test")</f>
        <v>Observed Flaky Test</v>
      </c>
    </row>
    <row r="184" customFormat="false" ht="15.75" hidden="false" customHeight="true" outlineLevel="0" collapsed="false">
      <c r="A184" s="81"/>
      <c r="B184" s="14" t="s">
        <v>427</v>
      </c>
      <c r="C184" s="14" t="s">
        <v>428</v>
      </c>
      <c r="D184" s="15" t="n">
        <v>100</v>
      </c>
      <c r="E184" s="15" t="n">
        <v>0</v>
      </c>
      <c r="F184" s="16" t="str">
        <f aca="false">IF(AND(D184&gt;0, E184&gt;0), "Observed Flaky Test", "Non-observed Flaky Test")</f>
        <v>Non-observed Flaky Test</v>
      </c>
      <c r="G184" s="22" t="n">
        <v>99</v>
      </c>
      <c r="H184" s="22" t="n">
        <v>1</v>
      </c>
      <c r="I184" s="61" t="str">
        <f aca="false">IF(AND(G184&gt;0, H184&gt;0), "Observed Flaky Test", "Non-observed Flaky Test")</f>
        <v>Observed Flaky Test</v>
      </c>
      <c r="J184" s="18" t="n">
        <v>18.31</v>
      </c>
      <c r="K184" s="18" t="n">
        <v>0</v>
      </c>
      <c r="L184" s="19" t="n">
        <f aca="false">IFERROR(K184/J184*100,"N/A")</f>
        <v>0</v>
      </c>
      <c r="M184" s="18" t="n">
        <v>15.53</v>
      </c>
      <c r="N184" s="18" t="n">
        <v>0</v>
      </c>
      <c r="O184" s="20" t="n">
        <f aca="false">IFERROR(N184/M184*100,"N/A")</f>
        <v>0</v>
      </c>
      <c r="P184" s="78" t="str">
        <f aca="false">IF(AND(G184&gt;0, H184=0), IF(ROUND(K184,8)=0, "Group 9: Only Passed | Without variation (SD Passed = 0)", "Group 10: Only Passed | With variation (SD Passed &gt; 0)"), IF(AND(G184=0, H184&gt;0), IF(ROUND(N184,8)=0, "Group 11: Only Failed | Without variation (SD Failed = 0)", "Group 12: Only Failed | With variation (SD Failed &gt; 0)"), IF(AND(G184&gt;0, H184&gt;0), IF(ROUND(J184,5)&lt;&gt;ROUND(M184,5), IF(AND(ROUND(K184,8)=0, ROUND(N184,8)=0), "Group 1: Flaky | Passed (no variation) AND Failed (no variation) | Different Means", IF(AND(ROUND(K184,8)&gt;0, ROUND(N184,8)&gt;0), "Group 2: Flaky | Passed (with variation) AND Failed (with variation) | Different Means", IF(AND(ROUND(K184,8)=0, ROUND(N184,8)&gt;0), "Group 3: Flaky | Passed (no variation) AND Failed (with variation) | Different Means", "Group 4: Flaky | Passed (with variation) AND Failed (no variation) | Different Means"))), IF(AND(ROUND(K184,8)=0, ROUND(N184,8)=0), "Group 5: Flaky | Passed (no variation) AND Failed (no variation) | Equal Means", IF(AND(ROUND(K184,8)&gt;0, ROUND(N184,8)&gt;0), "Group 6: Flaky | Passed (with variation) AND Failed (with variation) | Equal Means", IF(AND(ROUND(K184,8)=0, ROUND(N184,8)&gt;0),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84" s="17" t="n">
        <v>100</v>
      </c>
      <c r="R184" s="17" t="n">
        <v>0</v>
      </c>
      <c r="S184" s="23" t="str">
        <f aca="false">IF(AND(Q184&gt;0, R184&gt;0), "Observed Flaky Test", "Non-observed Flaky Test")</f>
        <v>Non-observed Flaky Test</v>
      </c>
      <c r="T184" s="22" t="n">
        <v>344059.85</v>
      </c>
      <c r="U184" s="24" t="n">
        <v>7.759484</v>
      </c>
      <c r="V184" s="25" t="n">
        <f aca="false">IFERROR(U184/T184*100,"N/A")</f>
        <v>0.00225527157557036</v>
      </c>
      <c r="W184" s="22" t="n">
        <v>0</v>
      </c>
      <c r="X184" s="22" t="n">
        <v>0</v>
      </c>
      <c r="Y184" s="27" t="str">
        <f aca="false">IFERROR(X184/W184*100,"N/A")</f>
        <v>N/A</v>
      </c>
      <c r="Z184" s="50" t="str">
        <f aca="false">IF(AND(Q184&gt;0, R184=0), IF(IFERROR(ROUND(V184,8),0)=0, "Group 9: Only Passed | Without variation (no var CV = 0)", "Group 10: Only Passed | With variation (with var CV &gt; 0)"), IF(AND(Q184=0, R184&gt;0), IF(IFERROR(ROUND(Y184,8),0)=0, "Group 11: Only Failed | Without variation (no var CV = 0)", "Group 12: Only Failed | With variation (with var CV &gt; 0)"), IF(AND(Q184&gt;0, R184&gt;0), IF(ROUND(T184,5)&lt;&gt;ROUND(W184,5), IF(AND(IFERROR(ROUND(V184,8),0)=0, IFERROR(ROUND(Y184,8),0)=0), "Group 1: Flaky | Passed (no variation: CV = 0) AND Failed (no variation: CV = 0) | Different Means", IF(AND(IFERROR(ROUND(V184,8),0)&gt;0, IFERROR(ROUND(Y184,8),0)&gt;0), "Group 2: Flaky | Passed (with variation: CV &gt; 0) AND Failed (with variation: CV &gt; 0) | Different Means", IF(AND(IFERROR(ROUND(V184,8),0)=0, IFERROR(ROUND(Y184,8),0)&gt;0), "Group 3: Flaky | Passed (no variation: CV = 0) AND Failed (with variation: CV &gt; 0) | Different Means", "Group 4: Flaky | Passed (with variation: CV &gt; 0) AND Failed (no variation: CV = 0) | Different Means"))), IF(AND(IFERROR(ROUND(V184,8),0)=0, IFERROR(ROUND(Y184,8),0)=0), "Group 5: Flaky | Passed (no var CV = 0) AND Failed (no var CV = 0) | Equal Means", IF(AND(IFERROR(ROUND(V184,8),0)&gt;0, IFERROR(ROUND(Y184,8),0)&gt;0), "Group 6: Flaky | Passed (with var CV &gt; 0) AND Failed (with var CV &gt; 0) | Equal Means", IF(AND(IFERROR(ROUND(V184,8),0)=0, IFERROR(ROUND(Y184,8),0)&gt;0),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84" s="29" t="n">
        <v>0.231832</v>
      </c>
      <c r="AB184" s="29" t="n">
        <v>0.106372</v>
      </c>
      <c r="AC184" s="29" t="n">
        <f aca="false">IFERROR(AB184/AA184*100,"N/A")</f>
        <v>45.8832257841886</v>
      </c>
      <c r="AD184" s="29" t="n">
        <v>0</v>
      </c>
      <c r="AE184" s="29" t="n">
        <v>0</v>
      </c>
      <c r="AF184" s="29" t="str">
        <f aca="false">IFERROR(AE184/AD184*100,"N/A")</f>
        <v>N/A</v>
      </c>
      <c r="AG184" s="51" t="str">
        <f aca="false">IF(AND(Q184&gt;0, R184=0), IF(IFERROR(ROUND(AC184,8),0)=0, "Group 9: Only Passed | Without variation (no var CV = 0)", "Group 10: Only Passed | With variation (with var CV &gt; 0)"), IF(AND(Q184=0, R184&gt;0), IF(IFERROR(ROUND(AF184,8),0)=0, "Group 11: Only Failed | Without variation (no var CV = 0)", "Group 12: Only Failed | With variation (with var CV &gt; 0)"), IF(AND(Q184&gt;0, R184&gt;0), IF(ROUND(AA184,5)&lt;&gt;ROUND(AD184,5), IF(AND(IFERROR(ROUND(AC184,8),0)=0, IFERROR(ROUND(AF184,8),0)=0), "Group 1: Flaky | Passed (no variation: CV = 0) AND Failed (no variation: CV = 0) | Different Means", IF(AND(IFERROR(ROUND(AC184,8),0)&gt;0, IFERROR(ROUND(AF184,8),0)&gt;0), "Group 2: Flaky | Passed (with variation: CV &gt; 0) AND Failed (with variation: CV &gt; 0) | Different Means", IF(AND(IFERROR(ROUND(AC184,8),0)=0, IFERROR(ROUND(AF184,8),0)&gt;0), "Group 3: Flaky | Passed (no variation: CV = 0) AND Failed (with variation: CV &gt; 0) | Different Means", "Group 4: Flaky | Passed (with variation: CV &gt; 0) AND Failed (no variation: CV = 0) | Different Means"))), IF(AND(IFERROR(ROUND(AC184,8),0)=0, IFERROR(ROUND(AF184,8),0)=0), "Group 5: Flaky | Passed (no var CV = 0) AND Failed (no var CV = 0) | Equal Means", IF(AND(IFERROR(ROUND(AC184,8),0)&gt;0, IFERROR(ROUND(AF184,8),0)&gt;0), "Group 6: Flaky | Passed (with var CV &gt; 0) AND Failed (with var CV &gt; 0) | Equal Means", IF(AND(IFERROR(ROUND(AC184,8),0)=0, IFERROR(ROUND(AF184,8),0)&gt;0),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84" s="22" t="n">
        <v>99</v>
      </c>
      <c r="AI184" s="17" t="n">
        <v>1</v>
      </c>
      <c r="AJ184" s="39" t="str">
        <f aca="false">IF(AND(AH184&gt;0, AI184&gt;0), "Observed Flaky Test", "Non-observed Flaky Test")</f>
        <v>Observed Flaky Test</v>
      </c>
      <c r="AK184" s="100" t="n">
        <v>2577.84848484848</v>
      </c>
      <c r="AL184" s="97" t="n">
        <v>61.3995552128348</v>
      </c>
      <c r="AM184" s="33" t="n">
        <f aca="false">IFERROR(AL184/AK184*100,"N/A")</f>
        <v>2.38181396516187</v>
      </c>
      <c r="AN184" s="90" t="n">
        <v>488</v>
      </c>
      <c r="AO184" s="90" t="n">
        <v>0</v>
      </c>
      <c r="AP184" s="35" t="n">
        <f aca="false">IFERROR(AO184/AN184*100,"N/A")</f>
        <v>0</v>
      </c>
      <c r="AQ184" s="60" t="str">
        <f aca="false">IF(AND(AH184&gt;0, AI184&gt;0),
    IF(ROUND(N(AK184),5)&lt;&gt;ROUND(N(AN184),5),
        IF(AND(ROUND(N(AL184),8)=0, ROUND(N(AO184),8)=0), "Group 1: Flaky | Passed (no variation: SD = 0) AND Failed (no variation: SD = 0) | Different Means",
        IF(AND(ROUND(N(AL184),8)&gt;0, ROUND(N(AO184),8)&gt;0), "Group 2: Flaky | Passed (with variation: SD &gt; 0) AND Failed (with variation: SD &gt; 0) | Different Means",
        IF(AND(ROUND(N(AL184),8)=0, ROUND(N(AO184),8)&gt;0), "Group 3: Flaky | Passed (no variation: SD = 0) AND Failed (with variation: SD &gt; 0) | Different Means",
        "Group 4: Flaky | Passed (with variation: SD &gt; 0) AND Failed (no variation: SD = 0) | Different Means"))),
        IF(AND(ROUND(N(AL184),8)=0, ROUND(N(AO184),8)=0), "Group 5: Flaky | Passed (no var SD = 0) AND Failed (no var SD = 0) | Equal Means",
        IF(AND(ROUND(N(AL184),8)&gt;0, ROUND(N(AO184),8)&gt;0), "Group 6: Flaky | Passed (with var SD &gt; 0 ) AND Failed (with var SD &gt; 0) | Equal Means",
        IF(AND(ROUND(N(AL184),8)=0, ROUND(N(AO184),8)&gt;0), "Group 7: Flaky | Passed (no var SD = 0) AND Failed (with var SD &gt; 0) | Equal Means",
        "Group 8: Flaky | Passed (with var SD &gt; 0 ) AND Failed (no var SD = 0) | Equal Means")))
    ),
    IF(AH184&gt;0,
        IF(N(AL184)&gt;0, "Group 10: Only Passed | With variation (with var SD &gt; 0)", "Group 9: Only Passed | Without variation (no var SD = 0)"),
        IF(AI184&gt;0,
            IF(N(AO184)&gt;0,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84" s="42" t="str">
        <f aca="false">IF(OR(F184="Observed Flaky Test", I184="Observed Flaky Test", S184="Observed Flaky Test", AJ184="Observed Flaky Test"), "Observed Flaky Test", "Non-observed Flaky Test")</f>
        <v>Observed Flaky Test</v>
      </c>
    </row>
    <row r="185" customFormat="false" ht="15.75" hidden="false" customHeight="true" outlineLevel="0" collapsed="false">
      <c r="A185" s="81" t="s">
        <v>429</v>
      </c>
      <c r="B185" s="14" t="s">
        <v>430</v>
      </c>
      <c r="C185" s="14" t="s">
        <v>431</v>
      </c>
      <c r="D185" s="15" t="n">
        <v>100</v>
      </c>
      <c r="E185" s="15" t="n">
        <v>0</v>
      </c>
      <c r="F185" s="16" t="str">
        <f aca="false">IF(AND(D185&gt;0, E185&gt;0), "Observed Flaky Test", "Non-observed Flaky Test")</f>
        <v>Non-observed Flaky Test</v>
      </c>
      <c r="G185" s="22" t="n">
        <v>100</v>
      </c>
      <c r="H185" s="22" t="n">
        <v>0</v>
      </c>
      <c r="I185" s="16" t="str">
        <f aca="false">IF(AND(G185&gt;0, H185&gt;0), "Observed Flaky Test", "Non-observed Flaky Test")</f>
        <v>Non-observed Flaky Test</v>
      </c>
      <c r="J185" s="18" t="n">
        <v>21.35</v>
      </c>
      <c r="K185" s="18" t="n">
        <v>0</v>
      </c>
      <c r="L185" s="19" t="n">
        <f aca="false">IFERROR(K185/J185*100,"N/A")</f>
        <v>0</v>
      </c>
      <c r="M185" s="18" t="n">
        <v>0</v>
      </c>
      <c r="N185" s="18" t="n">
        <v>0</v>
      </c>
      <c r="O185" s="20" t="str">
        <f aca="false">IFERROR(N185/M185*100,"N/A")</f>
        <v>N/A</v>
      </c>
      <c r="P185" s="56" t="str">
        <f aca="false">IF(AND(G185&gt;0, H185=0), IF(ROUND(K185,8)=0, "Group 9: Only Passed | Without variation (SD Passed = 0)", "Group 10: Only Passed | With variation (SD Passed &gt; 0)"), IF(AND(G185=0, H185&gt;0), IF(ROUND(N185,8)=0, "Group 11: Only Failed | Without variation (SD Failed = 0)", "Group 12: Only Failed | With variation (SD Failed &gt; 0)"), IF(AND(G185&gt;0, H185&gt;0), IF(ROUND(J185,5)&lt;&gt;ROUND(M185,5), IF(AND(ROUND(K185,8)=0, ROUND(N185,8)=0), "Group 1: Flaky | Passed (no variation) AND Failed (no variation) | Different Means", IF(AND(ROUND(K185,8)&gt;0, ROUND(N185,8)&gt;0), "Group 2: Flaky | Passed (with variation) AND Failed (with variation) | Different Means", IF(AND(ROUND(K185,8)=0, ROUND(N185,8)&gt;0), "Group 3: Flaky | Passed (no variation) AND Failed (with variation) | Different Means", "Group 4: Flaky | Passed (with variation) AND Failed (no variation) | Different Means"))), IF(AND(ROUND(K185,8)=0, ROUND(N185,8)=0), "Group 5: Flaky | Passed (no variation) AND Failed (no variation) | Equal Means", IF(AND(ROUND(K185,8)&gt;0, ROUND(N185,8)&gt;0), "Group 6: Flaky | Passed (with variation) AND Failed (with variation) | Equal Means", IF(AND(ROUND(K185,8)=0, ROUND(N185,8)&gt;0),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85" s="17" t="n">
        <v>100</v>
      </c>
      <c r="R185" s="17" t="n">
        <v>0</v>
      </c>
      <c r="S185" s="43" t="str">
        <f aca="false">IF(AND(Q185&gt;0, R185&gt;0), "Observed Flaky Test", "Non-observed Flaky Test")</f>
        <v>Non-observed Flaky Test</v>
      </c>
      <c r="T185" s="22" t="n">
        <v>385622.77</v>
      </c>
      <c r="U185" s="24" t="n">
        <v>58.236691</v>
      </c>
      <c r="V185" s="25" t="n">
        <f aca="false">IFERROR(U185/T185*100,"N/A")</f>
        <v>0.0151019845119623</v>
      </c>
      <c r="W185" s="22" t="n">
        <v>0</v>
      </c>
      <c r="X185" s="22" t="n">
        <v>0</v>
      </c>
      <c r="Y185" s="27" t="str">
        <f aca="false">IFERROR(X185/W185*100,"N/A")</f>
        <v>N/A</v>
      </c>
      <c r="Z185" s="50" t="str">
        <f aca="false">IF(AND(Q185&gt;0, R185=0), IF(IFERROR(ROUND(V185,8),0)=0, "Group 9: Only Passed | Without variation (no var CV = 0)", "Group 10: Only Passed | With variation (with var CV &gt; 0)"), IF(AND(Q185=0, R185&gt;0), IF(IFERROR(ROUND(Y185,8),0)=0, "Group 11: Only Failed | Without variation (no var CV = 0)", "Group 12: Only Failed | With variation (with var CV &gt; 0)"), IF(AND(Q185&gt;0, R185&gt;0), IF(ROUND(T185,5)&lt;&gt;ROUND(W185,5), IF(AND(IFERROR(ROUND(V185,8),0)=0, IFERROR(ROUND(Y185,8),0)=0), "Group 1: Flaky | Passed (no variation: CV = 0) AND Failed (no variation: CV = 0) | Different Means", IF(AND(IFERROR(ROUND(V185,8),0)&gt;0, IFERROR(ROUND(Y185,8),0)&gt;0), "Group 2: Flaky | Passed (with variation: CV &gt; 0) AND Failed (with variation: CV &gt; 0) | Different Means", IF(AND(IFERROR(ROUND(V185,8),0)=0, IFERROR(ROUND(Y185,8),0)&gt;0), "Group 3: Flaky | Passed (no variation: CV = 0) AND Failed (with variation: CV &gt; 0) | Different Means", "Group 4: Flaky | Passed (with variation: CV &gt; 0) AND Failed (no variation: CV = 0) | Different Means"))), IF(AND(IFERROR(ROUND(V185,8),0)=0, IFERROR(ROUND(Y185,8),0)=0), "Group 5: Flaky | Passed (no var CV = 0) AND Failed (no var CV = 0) | Equal Means", IF(AND(IFERROR(ROUND(V185,8),0)&gt;0, IFERROR(ROUND(Y185,8),0)&gt;0), "Group 6: Flaky | Passed (with var CV &gt; 0) AND Failed (with var CV &gt; 0) | Equal Means", IF(AND(IFERROR(ROUND(V185,8),0)=0, IFERROR(ROUND(Y185,8),0)&gt;0),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185" s="29" t="n">
        <v>1.123688</v>
      </c>
      <c r="AB185" s="29" t="n">
        <v>0.015518</v>
      </c>
      <c r="AC185" s="29" t="n">
        <f aca="false">IFERROR(AB185/AA185*100,"N/A")</f>
        <v>1.38098831704174</v>
      </c>
      <c r="AD185" s="29" t="n">
        <v>0</v>
      </c>
      <c r="AE185" s="29" t="n">
        <v>0</v>
      </c>
      <c r="AF185" s="29" t="str">
        <f aca="false">IFERROR(AE185/AD185*100,"N/A")</f>
        <v>N/A</v>
      </c>
      <c r="AG185" s="51" t="str">
        <f aca="false">IF(AND(Q185&gt;0, R185=0), IF(IFERROR(ROUND(AC185,8),0)=0, "Group 9: Only Passed | Without variation (no var CV = 0)", "Group 10: Only Passed | With variation (with var CV &gt; 0)"), IF(AND(Q185=0, R185&gt;0), IF(IFERROR(ROUND(AF185,8),0)=0, "Group 11: Only Failed | Without variation (no var CV = 0)", "Group 12: Only Failed | With variation (with var CV &gt; 0)"), IF(AND(Q185&gt;0, R185&gt;0), IF(ROUND(AA185,5)&lt;&gt;ROUND(AD185,5), IF(AND(IFERROR(ROUND(AC185,8),0)=0, IFERROR(ROUND(AF185,8),0)=0), "Group 1: Flaky | Passed (no variation: CV = 0) AND Failed (no variation: CV = 0) | Different Means", IF(AND(IFERROR(ROUND(AC185,8),0)&gt;0, IFERROR(ROUND(AF185,8),0)&gt;0), "Group 2: Flaky | Passed (with variation: CV &gt; 0) AND Failed (with variation: CV &gt; 0) | Different Means", IF(AND(IFERROR(ROUND(AC185,8),0)=0, IFERROR(ROUND(AF185,8),0)&gt;0), "Group 3: Flaky | Passed (no variation: CV = 0) AND Failed (with variation: CV &gt; 0) | Different Means", "Group 4: Flaky | Passed (with variation: CV &gt; 0) AND Failed (no variation: CV = 0) | Different Means"))), IF(AND(IFERROR(ROUND(AC185,8),0)=0, IFERROR(ROUND(AF185,8),0)=0), "Group 5: Flaky | Passed (no var CV = 0) AND Failed (no var CV = 0) | Equal Means", IF(AND(IFERROR(ROUND(AC185,8),0)&gt;0, IFERROR(ROUND(AF185,8),0)&gt;0), "Group 6: Flaky | Passed (with var CV &gt; 0) AND Failed (with var CV &gt; 0) | Equal Means", IF(AND(IFERROR(ROUND(AC185,8),0)=0, IFERROR(ROUND(AF185,8),0)&gt;0),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185" s="22" t="n">
        <v>100</v>
      </c>
      <c r="AI185" s="17" t="n">
        <v>0</v>
      </c>
      <c r="AJ185" s="31" t="str">
        <f aca="false">IF(AND(AH185&gt;0, AI185&gt;0), "Observed Flaky Test", "Non-observed Flaky Test")</f>
        <v>Non-observed Flaky Test</v>
      </c>
      <c r="AK185" s="102" t="n">
        <v>2354877.74</v>
      </c>
      <c r="AL185" s="93" t="n">
        <v>343047.564050412</v>
      </c>
      <c r="AM185" s="33" t="n">
        <f aca="false">IFERROR(AL185/AK185*100,"N/A")</f>
        <v>14.5675318180388</v>
      </c>
      <c r="AN185" s="90" t="n">
        <v>0</v>
      </c>
      <c r="AO185" s="90" t="n">
        <v>0</v>
      </c>
      <c r="AP185" s="35" t="str">
        <f aca="false">IFERROR(AO185/AN185*100,"N/A")</f>
        <v>N/A</v>
      </c>
      <c r="AQ185" s="52" t="str">
        <f aca="false">IF(AND(AH185&gt;0, AI185&gt;0),
    IF(ROUND(N(AK185),5)&lt;&gt;ROUND(N(AN185),5),
        IF(AND(ROUND(N(AL185),8)=0, ROUND(N(AO185),8)=0), "Group 1: Flaky | Passed (no variation: SD = 0) AND Failed (no variation: SD = 0) | Different Means",
        IF(AND(ROUND(N(AL185),8)&gt;0, ROUND(N(AO185),8)&gt;0), "Group 2: Flaky | Passed (with variation: SD &gt; 0) AND Failed (with variation: SD &gt; 0) | Different Means",
        IF(AND(ROUND(N(AL185),8)=0, ROUND(N(AO185),8)&gt;0), "Group 3: Flaky | Passed (no variation: SD = 0) AND Failed (with variation: SD &gt; 0) | Different Means",
        "Group 4: Flaky | Passed (with variation: SD &gt; 0) AND Failed (no variation: SD = 0) | Different Means"))),
        IF(AND(ROUND(N(AL185),8)=0, ROUND(N(AO185),8)=0), "Group 5: Flaky | Passed (no var SD = 0) AND Failed (no var SD = 0) | Equal Means",
        IF(AND(ROUND(N(AL185),8)&gt;0, ROUND(N(AO185),8)&gt;0), "Group 6: Flaky | Passed (with var SD &gt; 0 ) AND Failed (with var SD &gt; 0) | Equal Means",
        IF(AND(ROUND(N(AL185),8)=0, ROUND(N(AO185),8)&gt;0), "Group 7: Flaky | Passed (no var SD = 0) AND Failed (with var SD &gt; 0) | Equal Means",
        "Group 8: Flaky | Passed (with var SD &gt; 0 ) AND Failed (no var SD = 0) | Equal Means")))
    ),
    IF(AH185&gt;0,
        IF(N(AL185)&gt;0, "Group 10: Only Passed | With variation (with var SD &gt; 0)", "Group 9: Only Passed | Without variation (no var SD = 0)"),
        IF(AI185&gt;0,
            IF(N(AO185)&gt;0,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85" s="37" t="str">
        <f aca="false">IF(OR(F185="Observed Flaky Test", I185="Observed Flaky Test", S185="Observed Flaky Test", AJ185="Observed Flaky Test"), "Observed Flaky Test", "Non-observed Flaky Test")</f>
        <v>Non-observed Flaky Test</v>
      </c>
    </row>
    <row r="186" customFormat="false" ht="39" hidden="false" customHeight="true" outlineLevel="0" collapsed="false">
      <c r="A186" s="81" t="s">
        <v>432</v>
      </c>
      <c r="B186" s="14" t="s">
        <v>433</v>
      </c>
      <c r="C186" s="14" t="s">
        <v>434</v>
      </c>
      <c r="D186" s="15" t="n">
        <v>54</v>
      </c>
      <c r="E186" s="15" t="n">
        <v>46</v>
      </c>
      <c r="F186" s="61" t="str">
        <f aca="false">IF(AND(D186&gt;0, E186&gt;0), "Observed Flaky Test", "Non-observed Flaky Test")</f>
        <v>Observed Flaky Test</v>
      </c>
      <c r="G186" s="22" t="n">
        <v>52</v>
      </c>
      <c r="H186" s="22" t="n">
        <v>48</v>
      </c>
      <c r="I186" s="61" t="str">
        <f aca="false">IF(AND(G186&gt;0, H186&gt;0), "Observed Flaky Test", "Non-observed Flaky Test")</f>
        <v>Observed Flaky Test</v>
      </c>
      <c r="J186" s="18" t="n">
        <v>21.17</v>
      </c>
      <c r="K186" s="18" t="n">
        <v>0</v>
      </c>
      <c r="L186" s="19" t="n">
        <f aca="false">IFERROR(K186/J186*100,"N/A")</f>
        <v>0</v>
      </c>
      <c r="M186" s="18" t="n">
        <v>21.17</v>
      </c>
      <c r="N186" s="18" t="n">
        <v>0</v>
      </c>
      <c r="O186" s="20" t="n">
        <f aca="false">IFERROR(N186/M186*100,"N/A")</f>
        <v>0</v>
      </c>
      <c r="P186" s="92" t="str">
        <f aca="false">IF(AND(G186&gt;0, H186=0), IF(ROUND(K186,8)=0, "Group 9: Only Passed | Without variation (SD Passed = 0)", "Group 10: Only Passed | With variation (SD Passed &gt; 0)"), IF(AND(G186=0, H186&gt;0), IF(ROUND(N186,8)=0, "Group 11: Only Failed | Without variation (SD Failed = 0)", "Group 12: Only Failed | With variation (SD Failed &gt; 0)"), IF(AND(G186&gt;0, H186&gt;0), IF(ROUND(J186,5)&lt;&gt;ROUND(M186,5), IF(AND(ROUND(K186,8)=0, ROUND(N186,8)=0), "Group 1: Flaky | Passed (no variation) AND Failed (no variation) | Different Means", IF(AND(ROUND(K186,8)&gt;0, ROUND(N186,8)&gt;0), "Group 2: Flaky | Passed (with variation) AND Failed (with variation) | Different Means", IF(AND(ROUND(K186,8)=0, ROUND(N186,8)&gt;0), "Group 3: Flaky | Passed (no variation) AND Failed (with variation) | Different Means", "Group 4: Flaky | Passed (with variation) AND Failed (no variation) | Different Means"))), IF(AND(ROUND(K186,8)=0, ROUND(N186,8)=0), "Group 5: Flaky | Passed (no variation) AND Failed (no variation) | Equal Means", IF(AND(ROUND(K186,8)&gt;0, ROUND(N186,8)&gt;0), "Group 6: Flaky | Passed (with variation) AND Failed (with variation) | Equal Means", IF(AND(ROUND(K186,8)=0, ROUND(N186,8)&gt;0),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86" s="17" t="n">
        <v>51</v>
      </c>
      <c r="R186" s="17" t="n">
        <v>49</v>
      </c>
      <c r="S186" s="43" t="str">
        <f aca="false">IF(AND(Q186&gt;0, R186&gt;0), "Observed Flaky Test", "Non-observed Flaky Test")</f>
        <v>Observed Flaky Test</v>
      </c>
      <c r="T186" s="26" t="n">
        <v>3186329.27451</v>
      </c>
      <c r="U186" s="24" t="n">
        <v>794.036752</v>
      </c>
      <c r="V186" s="25" t="n">
        <f aca="false">IFERROR(U186/T186*100,"N/A")</f>
        <v>0.0249201097435892</v>
      </c>
      <c r="W186" s="24" t="n">
        <v>3162515.306122</v>
      </c>
      <c r="X186" s="24" t="n">
        <v>16407.188439</v>
      </c>
      <c r="Y186" s="27" t="n">
        <f aca="false">IFERROR(X186/W186*100,"N/A")</f>
        <v>0.518801866578763</v>
      </c>
      <c r="Z186" s="68" t="str">
        <f aca="false">IF(AND(Q186&gt;0, R186=0), IF(IFERROR(ROUND(V186,8),0)=0, "Group 9: Only Passed | Without variation (no var CV = 0)", "Group 10: Only Passed | With variation (with var CV &gt; 0)"), IF(AND(Q186=0, R186&gt;0), IF(IFERROR(ROUND(Y186,8),0)=0, "Group 11: Only Failed | Without variation (no var CV = 0)", "Group 12: Only Failed | With variation (with var CV &gt; 0)"), IF(AND(Q186&gt;0, R186&gt;0), IF(ROUND(T186,5)&lt;&gt;ROUND(W186,5), IF(AND(IFERROR(ROUND(V186,8),0)=0, IFERROR(ROUND(Y186,8),0)=0), "Group 1: Flaky | Passed (no variation: CV = 0) AND Failed (no variation: CV = 0) | Different Means", IF(AND(IFERROR(ROUND(V186,8),0)&gt;0, IFERROR(ROUND(Y186,8),0)&gt;0), "Group 2: Flaky | Passed (with variation: CV &gt; 0) AND Failed (with variation: CV &gt; 0) | Different Means", IF(AND(IFERROR(ROUND(V186,8),0)=0, IFERROR(ROUND(Y186,8),0)&gt;0), "Group 3: Flaky | Passed (no variation: CV = 0) AND Failed (with variation: CV &gt; 0) | Different Means", "Group 4: Flaky | Passed (with variation: CV &gt; 0) AND Failed (no variation: CV = 0) | Different Means"))), IF(AND(IFERROR(ROUND(V186,8),0)=0, IFERROR(ROUND(Y186,8),0)=0), "Group 5: Flaky | Passed (no var CV = 0) AND Failed (no var CV = 0) | Equal Means", IF(AND(IFERROR(ROUND(V186,8),0)&gt;0, IFERROR(ROUND(Y186,8),0)&gt;0), "Group 6: Flaky | Passed (with var CV &gt; 0) AND Failed (with var CV &gt; 0) | Equal Means", IF(AND(IFERROR(ROUND(V186,8),0)=0, IFERROR(ROUND(Y186,8),0)&gt;0),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6" s="29" t="n">
        <v>2.751687</v>
      </c>
      <c r="AB186" s="29" t="n">
        <v>0.281891</v>
      </c>
      <c r="AC186" s="29" t="n">
        <f aca="false">IFERROR(AB186/AA186*100,"N/A")</f>
        <v>10.2442974073723</v>
      </c>
      <c r="AD186" s="29" t="n">
        <v>2.710236</v>
      </c>
      <c r="AE186" s="29" t="n">
        <v>0.087806</v>
      </c>
      <c r="AF186" s="29" t="n">
        <f aca="false">IFERROR(AE186/AD186*100,"N/A")</f>
        <v>3.23979166389938</v>
      </c>
      <c r="AG186" s="36" t="str">
        <f aca="false">IF(AND(Q186&gt;0, R186=0), IF(IFERROR(ROUND(AC186,8),0)=0, "Group 9: Only Passed | Without variation (no var CV = 0)", "Group 10: Only Passed | With variation (with var CV &gt; 0)"), IF(AND(Q186=0, R186&gt;0), IF(IFERROR(ROUND(AF186,8),0)=0, "Group 11: Only Failed | Without variation (no var CV = 0)", "Group 12: Only Failed | With variation (with var CV &gt; 0)"), IF(AND(Q186&gt;0, R186&gt;0), IF(ROUND(AA186,5)&lt;&gt;ROUND(AD186,5), IF(AND(IFERROR(ROUND(AC186,8),0)=0, IFERROR(ROUND(AF186,8),0)=0), "Group 1: Flaky | Passed (no variation: CV = 0) AND Failed (no variation: CV = 0) | Different Means", IF(AND(IFERROR(ROUND(AC186,8),0)&gt;0, IFERROR(ROUND(AF186,8),0)&gt;0), "Group 2: Flaky | Passed (with variation: CV &gt; 0) AND Failed (with variation: CV &gt; 0) | Different Means", IF(AND(IFERROR(ROUND(AC186,8),0)=0, IFERROR(ROUND(AF186,8),0)&gt;0), "Group 3: Flaky | Passed (no variation: CV = 0) AND Failed (with variation: CV &gt; 0) | Different Means", "Group 4: Flaky | Passed (with variation: CV &gt; 0) AND Failed (no variation: CV = 0) | Different Means"))), IF(AND(IFERROR(ROUND(AC186,8),0)=0, IFERROR(ROUND(AF186,8),0)=0), "Group 5: Flaky | Passed (no var CV = 0) AND Failed (no var CV = 0) | Equal Means", IF(AND(IFERROR(ROUND(AC186,8),0)&gt;0, IFERROR(ROUND(AF186,8),0)&gt;0), "Group 6: Flaky | Passed (with var CV &gt; 0) AND Failed (with var CV &gt; 0) | Equal Means", IF(AND(IFERROR(ROUND(AC186,8),0)=0, IFERROR(ROUND(AF186,8),0)&gt;0),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6" s="22" t="n">
        <v>50</v>
      </c>
      <c r="AI186" s="17" t="n">
        <v>50</v>
      </c>
      <c r="AJ186" s="39" t="str">
        <f aca="false">IF(AND(AH186&gt;0, AI186&gt;0), "Observed Flaky Test", "Non-observed Flaky Test")</f>
        <v>Observed Flaky Test</v>
      </c>
      <c r="AK186" s="90" t="n">
        <v>489124.72</v>
      </c>
      <c r="AL186" s="97" t="n">
        <v>75.2034085202341</v>
      </c>
      <c r="AM186" s="33" t="n">
        <f aca="false">IFERROR(AL186/AK186*100,"N/A")</f>
        <v>0.0153750987110678</v>
      </c>
      <c r="AN186" s="90" t="n">
        <v>297854</v>
      </c>
      <c r="AO186" s="20" t="n">
        <v>90011.3177652495</v>
      </c>
      <c r="AP186" s="35" t="n">
        <f aca="false">IFERROR(AO186/AN186*100,"N/A")</f>
        <v>30.2199459350049</v>
      </c>
      <c r="AQ186" s="63" t="str">
        <f aca="false">IF(AND(AH186&gt;0, AI186&gt;0),
    IF(ROUND(N(AK186),5)&lt;&gt;ROUND(N(AN186),5),
        IF(AND(ROUND(N(AL186),8)=0, ROUND(N(AO186),8)=0), "Group 1: Flaky | Passed (no variation: SD = 0) AND Failed (no variation: SD = 0) | Different Means",
        IF(AND(ROUND(N(AL186),8)&gt;0, ROUND(N(AO186),8)&gt;0), "Group 2: Flaky | Passed (with variation: SD &gt; 0) AND Failed (with variation: SD &gt; 0) | Different Means",
        IF(AND(ROUND(N(AL186),8)=0, ROUND(N(AO186),8)&gt;0), "Group 3: Flaky | Passed (no variation: SD = 0) AND Failed (with variation: SD &gt; 0) | Different Means",
        "Group 4: Flaky | Passed (with variation: SD &gt; 0) AND Failed (no variation: SD = 0) | Different Means"))),
        IF(AND(ROUND(N(AL186),8)=0, ROUND(N(AO186),8)=0), "Group 5: Flaky | Passed (no var SD = 0) AND Failed (no var SD = 0) | Equal Means",
        IF(AND(ROUND(N(AL186),8)&gt;0, ROUND(N(AO186),8)&gt;0), "Group 6: Flaky | Passed (with var SD &gt; 0 ) AND Failed (with var SD &gt; 0) | Equal Means",
        IF(AND(ROUND(N(AL186),8)=0, ROUND(N(AO186),8)&gt;0), "Group 7: Flaky | Passed (no var SD = 0) AND Failed (with var SD &gt; 0) | Equal Means",
        "Group 8: Flaky | Passed (with var SD &gt; 0 ) AND Failed (no var SD = 0) | Equal Means")))
    ),
    IF(AH186&gt;0,
        IF(N(AL186)&gt;0, "Group 10: Only Passed | With variation (with var SD &gt; 0)", "Group 9: Only Passed | Without variation (no var SD = 0)"),
        IF(AI186&gt;0,
            IF(N(AO186)&gt;0,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86" s="42" t="str">
        <f aca="false">IF(OR(F186="Observed Flaky Test", I186="Observed Flaky Test", S186="Observed Flaky Test", AJ186="Observed Flaky Test"), "Observed Flaky Test", "Non-observed Flaky Test")</f>
        <v>Observed Flaky Test</v>
      </c>
    </row>
    <row r="187" customFormat="false" ht="15.75" hidden="false" customHeight="true" outlineLevel="0" collapsed="false">
      <c r="A187" s="81"/>
      <c r="B187" s="14" t="s">
        <v>435</v>
      </c>
      <c r="C187" s="14" t="s">
        <v>436</v>
      </c>
      <c r="D187" s="15" t="n">
        <v>86</v>
      </c>
      <c r="E187" s="15" t="n">
        <v>14</v>
      </c>
      <c r="F187" s="61" t="str">
        <f aca="false">IF(AND(D187&gt;0, E187&gt;0), "Observed Flaky Test", "Non-observed Flaky Test")</f>
        <v>Observed Flaky Test</v>
      </c>
      <c r="G187" s="22" t="n">
        <v>77</v>
      </c>
      <c r="H187" s="22" t="n">
        <v>23</v>
      </c>
      <c r="I187" s="61" t="str">
        <f aca="false">IF(AND(G187&gt;0, H187&gt;0), "Observed Flaky Test", "Non-observed Flaky Test")</f>
        <v>Observed Flaky Test</v>
      </c>
      <c r="J187" s="18" t="n">
        <v>21.59</v>
      </c>
      <c r="K187" s="18" t="n">
        <v>0</v>
      </c>
      <c r="L187" s="19" t="n">
        <f aca="false">IFERROR(K187/J187*100,"N/A")</f>
        <v>0</v>
      </c>
      <c r="M187" s="18" t="n">
        <v>21.59</v>
      </c>
      <c r="N187" s="18" t="n">
        <v>0</v>
      </c>
      <c r="O187" s="20" t="n">
        <f aca="false">IFERROR(N187/M187*100,"N/A")</f>
        <v>0</v>
      </c>
      <c r="P187" s="92" t="str">
        <f aca="false">IF(AND(G187&gt;0, H187=0), IF(ROUND(K187,8)=0, "Group 9: Only Passed | Without variation (SD Passed = 0)", "Group 10: Only Passed | With variation (SD Passed &gt; 0)"), IF(AND(G187=0, H187&gt;0), IF(ROUND(N187,8)=0, "Group 11: Only Failed | Without variation (SD Failed = 0)", "Group 12: Only Failed | With variation (SD Failed &gt; 0)"), IF(AND(G187&gt;0, H187&gt;0), IF(ROUND(J187,5)&lt;&gt;ROUND(M187,5), IF(AND(ROUND(K187,8)=0, ROUND(N187,8)=0), "Group 1: Flaky | Passed (no variation) AND Failed (no variation) | Different Means", IF(AND(ROUND(K187,8)&gt;0, ROUND(N187,8)&gt;0), "Group 2: Flaky | Passed (with variation) AND Failed (with variation) | Different Means", IF(AND(ROUND(K187,8)=0, ROUND(N187,8)&gt;0), "Group 3: Flaky | Passed (no variation) AND Failed (with variation) | Different Means", "Group 4: Flaky | Passed (with variation) AND Failed (no variation) | Different Means"))), IF(AND(ROUND(K187,8)=0, ROUND(N187,8)=0), "Group 5: Flaky | Passed (no variation) AND Failed (no variation) | Equal Means", IF(AND(ROUND(K187,8)&gt;0, ROUND(N187,8)&gt;0), "Group 6: Flaky | Passed (with variation) AND Failed (with variation) | Equal Means", IF(AND(ROUND(K187,8)=0, ROUND(N187,8)&gt;0),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87" s="17" t="n">
        <v>84</v>
      </c>
      <c r="R187" s="17" t="n">
        <v>16</v>
      </c>
      <c r="S187" s="43" t="str">
        <f aca="false">IF(AND(Q187&gt;0, R187&gt;0), "Observed Flaky Test", "Non-observed Flaky Test")</f>
        <v>Observed Flaky Test</v>
      </c>
      <c r="T187" s="26" t="n">
        <v>3215103.77381</v>
      </c>
      <c r="U187" s="24" t="n">
        <v>821.263871</v>
      </c>
      <c r="V187" s="25" t="n">
        <f aca="false">IFERROR(U187/T187*100,"N/A")</f>
        <v>0.0255439304227116</v>
      </c>
      <c r="W187" s="75" t="n">
        <v>3184596.1875</v>
      </c>
      <c r="X187" s="24" t="n">
        <v>30162.977051</v>
      </c>
      <c r="Y187" s="27" t="n">
        <f aca="false">IFERROR(X187/W187*100,"N/A")</f>
        <v>0.94715233188415</v>
      </c>
      <c r="Z187" s="68" t="str">
        <f aca="false">IF(AND(Q187&gt;0, R187=0), IF(IFERROR(ROUND(V187,8),0)=0, "Group 9: Only Passed | Without variation (no var CV = 0)", "Group 10: Only Passed | With variation (with var CV &gt; 0)"), IF(AND(Q187=0, R187&gt;0), IF(IFERROR(ROUND(Y187,8),0)=0, "Group 11: Only Failed | Without variation (no var CV = 0)", "Group 12: Only Failed | With variation (with var CV &gt; 0)"), IF(AND(Q187&gt;0, R187&gt;0), IF(ROUND(T187,5)&lt;&gt;ROUND(W187,5), IF(AND(IFERROR(ROUND(V187,8),0)=0, IFERROR(ROUND(Y187,8),0)=0), "Group 1: Flaky | Passed (no variation: CV = 0) AND Failed (no variation: CV = 0) | Different Means", IF(AND(IFERROR(ROUND(V187,8),0)&gt;0, IFERROR(ROUND(Y187,8),0)&gt;0), "Group 2: Flaky | Passed (with variation: CV &gt; 0) AND Failed (with variation: CV &gt; 0) | Different Means", IF(AND(IFERROR(ROUND(V187,8),0)=0, IFERROR(ROUND(Y187,8),0)&gt;0), "Group 3: Flaky | Passed (no variation: CV = 0) AND Failed (with variation: CV &gt; 0) | Different Means", "Group 4: Flaky | Passed (with variation: CV &gt; 0) AND Failed (no variation: CV = 0) | Different Means"))), IF(AND(IFERROR(ROUND(V187,8),0)=0, IFERROR(ROUND(Y187,8),0)=0), "Group 5: Flaky | Passed (no var CV = 0) AND Failed (no var CV = 0) | Equal Means", IF(AND(IFERROR(ROUND(V187,8),0)&gt;0, IFERROR(ROUND(Y187,8),0)&gt;0), "Group 6: Flaky | Passed (with var CV &gt; 0) AND Failed (with var CV &gt; 0) | Equal Means", IF(AND(IFERROR(ROUND(V187,8),0)=0, IFERROR(ROUND(Y187,8),0)&gt;0),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7" s="29" t="n">
        <v>2.781765</v>
      </c>
      <c r="AB187" s="29" t="n">
        <v>0.111501</v>
      </c>
      <c r="AC187" s="29" t="n">
        <f aca="false">IFERROR(AB187/AA187*100,"N/A")</f>
        <v>4.0082825112833</v>
      </c>
      <c r="AD187" s="29" t="n">
        <v>2.766296</v>
      </c>
      <c r="AE187" s="29" t="n">
        <v>0.088829</v>
      </c>
      <c r="AF187" s="29" t="n">
        <f aca="false">IFERROR(AE187/AD187*100,"N/A")</f>
        <v>3.21111695928418</v>
      </c>
      <c r="AG187" s="36" t="str">
        <f aca="false">IF(AND(Q187&gt;0, R187=0), IF(IFERROR(ROUND(AC187,8),0)=0, "Group 9: Only Passed | Without variation (no var CV = 0)", "Group 10: Only Passed | With variation (with var CV &gt; 0)"), IF(AND(Q187=0, R187&gt;0), IF(IFERROR(ROUND(AF187,8),0)=0, "Group 11: Only Failed | Without variation (no var CV = 0)", "Group 12: Only Failed | With variation (with var CV &gt; 0)"), IF(AND(Q187&gt;0, R187&gt;0), IF(ROUND(AA187,5)&lt;&gt;ROUND(AD187,5), IF(AND(IFERROR(ROUND(AC187,8),0)=0, IFERROR(ROUND(AF187,8),0)=0), "Group 1: Flaky | Passed (no variation: CV = 0) AND Failed (no variation: CV = 0) | Different Means", IF(AND(IFERROR(ROUND(AC187,8),0)&gt;0, IFERROR(ROUND(AF187,8),0)&gt;0), "Group 2: Flaky | Passed (with variation: CV &gt; 0) AND Failed (with variation: CV &gt; 0) | Different Means", IF(AND(IFERROR(ROUND(AC187,8),0)=0, IFERROR(ROUND(AF187,8),0)&gt;0), "Group 3: Flaky | Passed (no variation: CV = 0) AND Failed (with variation: CV &gt; 0) | Different Means", "Group 4: Flaky | Passed (with variation: CV &gt; 0) AND Failed (no variation: CV = 0) | Different Means"))), IF(AND(IFERROR(ROUND(AC187,8),0)=0, IFERROR(ROUND(AF187,8),0)=0), "Group 5: Flaky | Passed (no var CV = 0) AND Failed (no var CV = 0) | Equal Means", IF(AND(IFERROR(ROUND(AC187,8),0)&gt;0, IFERROR(ROUND(AF187,8),0)&gt;0), "Group 6: Flaky | Passed (with var CV &gt; 0) AND Failed (with var CV &gt; 0) | Equal Means", IF(AND(IFERROR(ROUND(AC187,8),0)=0, IFERROR(ROUND(AF187,8),0)&gt;0),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7" s="22" t="n">
        <v>86</v>
      </c>
      <c r="AI187" s="17" t="n">
        <v>14</v>
      </c>
      <c r="AJ187" s="39" t="str">
        <f aca="false">IF(AND(AH187&gt;0, AI187&gt;0), "Observed Flaky Test", "Non-observed Flaky Test")</f>
        <v>Observed Flaky Test</v>
      </c>
      <c r="AK187" s="93" t="n">
        <v>619804.860465116</v>
      </c>
      <c r="AL187" s="94" t="n">
        <v>119.326754831448</v>
      </c>
      <c r="AM187" s="33" t="n">
        <f aca="false">IFERROR(AL187/AK187*100,"N/A")</f>
        <v>0.0192523102742212</v>
      </c>
      <c r="AN187" s="93" t="n">
        <v>359641.214285714</v>
      </c>
      <c r="AO187" s="93" t="n">
        <v>111357.728097803</v>
      </c>
      <c r="AP187" s="35" t="n">
        <f aca="false">IFERROR(AO187/AN187*100,"N/A")</f>
        <v>30.9635613701759</v>
      </c>
      <c r="AQ187" s="63" t="str">
        <f aca="false">IF(AND(AH187&gt;0, AI187&gt;0),
    IF(ROUND(N(AK187),5)&lt;&gt;ROUND(N(AN187),5),
        IF(AND(ROUND(N(AL187),8)=0, ROUND(N(AO187),8)=0), "Group 1: Flaky | Passed (no variation: SD = 0) AND Failed (no variation: SD = 0) | Different Means",
        IF(AND(ROUND(N(AL187),8)&gt;0, ROUND(N(AO187),8)&gt;0), "Group 2: Flaky | Passed (with variation: SD &gt; 0) AND Failed (with variation: SD &gt; 0) | Different Means",
        IF(AND(ROUND(N(AL187),8)=0, ROUND(N(AO187),8)&gt;0), "Group 3: Flaky | Passed (no variation: SD = 0) AND Failed (with variation: SD &gt; 0) | Different Means",
        "Group 4: Flaky | Passed (with variation: SD &gt; 0) AND Failed (no variation: SD = 0) | Different Means"))),
        IF(AND(ROUND(N(AL187),8)=0, ROUND(N(AO187),8)=0), "Group 5: Flaky | Passed (no var SD = 0) AND Failed (no var SD = 0) | Equal Means",
        IF(AND(ROUND(N(AL187),8)&gt;0, ROUND(N(AO187),8)&gt;0), "Group 6: Flaky | Passed (with var SD &gt; 0 ) AND Failed (with var SD &gt; 0) | Equal Means",
        IF(AND(ROUND(N(AL187),8)=0, ROUND(N(AO187),8)&gt;0), "Group 7: Flaky | Passed (no var SD = 0) AND Failed (with var SD &gt; 0) | Equal Means",
        "Group 8: Flaky | Passed (with var SD &gt; 0 ) AND Failed (no var SD = 0) | Equal Means")))
    ),
    IF(AH187&gt;0,
        IF(N(AL187)&gt;0, "Group 10: Only Passed | With variation (with var SD &gt; 0)", "Group 9: Only Passed | Without variation (no var SD = 0)"),
        IF(AI187&gt;0,
            IF(N(AO187)&gt;0,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87" s="42" t="str">
        <f aca="false">IF(OR(F187="Observed Flaky Test", I187="Observed Flaky Test", S187="Observed Flaky Test", AJ187="Observed Flaky Test"), "Observed Flaky Test", "Non-observed Flaky Test")</f>
        <v>Observed Flaky Test</v>
      </c>
    </row>
    <row r="188" customFormat="false" ht="39" hidden="false" customHeight="true" outlineLevel="0" collapsed="false">
      <c r="A188" s="81" t="s">
        <v>437</v>
      </c>
      <c r="B188" s="14" t="s">
        <v>438</v>
      </c>
      <c r="C188" s="14" t="s">
        <v>439</v>
      </c>
      <c r="D188" s="15" t="n">
        <v>93</v>
      </c>
      <c r="E188" s="15" t="n">
        <v>7</v>
      </c>
      <c r="F188" s="61" t="str">
        <f aca="false">IF(AND(D188&gt;0, E188&gt;0), "Observed Flaky Test", "Non-observed Flaky Test")</f>
        <v>Observed Flaky Test</v>
      </c>
      <c r="G188" s="22" t="n">
        <v>97</v>
      </c>
      <c r="H188" s="22" t="n">
        <v>3</v>
      </c>
      <c r="I188" s="61" t="str">
        <f aca="false">IF(AND(G188&gt;0, H188&gt;0), "Observed Flaky Test", "Non-observed Flaky Test")</f>
        <v>Observed Flaky Test</v>
      </c>
      <c r="J188" s="53" t="n">
        <v>46.659278</v>
      </c>
      <c r="K188" s="53" t="n">
        <v>1.119424</v>
      </c>
      <c r="L188" s="19" t="n">
        <f aca="false">IFERROR(K188/J188*100,"N/A")</f>
        <v>2.39914556757608</v>
      </c>
      <c r="M188" s="18" t="n">
        <v>46.96</v>
      </c>
      <c r="N188" s="53" t="n">
        <v>0.240416</v>
      </c>
      <c r="O188" s="20" t="n">
        <f aca="false">IFERROR(N188/M188*100,"N/A")</f>
        <v>0.511959114139693</v>
      </c>
      <c r="P188" s="62" t="str">
        <f aca="false">IF(AND(G188&gt;0, H188=0), IF(ROUND(K188,8)=0, "Group 9: Only Passed | Without variation (SD Passed = 0)", "Group 10: Only Passed | With variation (SD Passed &gt; 0)"), IF(AND(G188=0, H188&gt;0), IF(ROUND(N188,8)=0, "Group 11: Only Failed | Without variation (SD Failed = 0)", "Group 12: Only Failed | With variation (SD Failed &gt; 0)"), IF(AND(G188&gt;0, H188&gt;0), IF(ROUND(J188,5)&lt;&gt;ROUND(M188,5), IF(AND(ROUND(K188,8)=0, ROUND(N188,8)=0), "Group 1: Flaky | Passed (no variation) AND Failed (no variation) | Different Means", IF(AND(ROUND(K188,8)&gt;0, ROUND(N188,8)&gt;0), "Group 2: Flaky | Passed (with variation) AND Failed (with variation) | Different Means", IF(AND(ROUND(K188,8)=0, ROUND(N188,8)&gt;0), "Group 3: Flaky | Passed (no variation) AND Failed (with variation) | Different Means", "Group 4: Flaky | Passed (with variation) AND Failed (no variation) | Different Means"))), IF(AND(ROUND(K188,8)=0, ROUND(N188,8)=0), "Group 5: Flaky | Passed (no variation) AND Failed (no variation) | Equal Means", IF(AND(ROUND(K188,8)&gt;0, ROUND(N188,8)&gt;0), "Group 6: Flaky | Passed (with variation) AND Failed (with variation) | Equal Means", IF(AND(ROUND(K188,8)=0, ROUND(N188,8)&gt;0),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88" s="17" t="n">
        <v>94</v>
      </c>
      <c r="R188" s="17" t="n">
        <v>6</v>
      </c>
      <c r="S188" s="43" t="str">
        <f aca="false">IF(AND(Q188&gt;0, R188&gt;0), "Observed Flaky Test", "Non-observed Flaky Test")</f>
        <v>Observed Flaky Test</v>
      </c>
      <c r="T188" s="24" t="n">
        <v>1590201.595745</v>
      </c>
      <c r="U188" s="24" t="n">
        <v>624.953544</v>
      </c>
      <c r="V188" s="25" t="n">
        <f aca="false">IFERROR(U188/T188*100,"N/A")</f>
        <v>0.0393002714669779</v>
      </c>
      <c r="W188" s="24" t="n">
        <v>1685413.166667</v>
      </c>
      <c r="X188" s="24" t="n">
        <v>900.155413</v>
      </c>
      <c r="Y188" s="27" t="n">
        <f aca="false">IFERROR(X188/W188*100,"N/A")</f>
        <v>0.0534085902971856</v>
      </c>
      <c r="Z188" s="68" t="str">
        <f aca="false">IF(AND(Q188&gt;0, R188=0), IF(IFERROR(ROUND(V188,8),0)=0, "Group 9: Only Passed | Without variation (no var CV = 0)", "Group 10: Only Passed | With variation (with var CV &gt; 0)"), IF(AND(Q188=0, R188&gt;0), IF(IFERROR(ROUND(Y188,8),0)=0, "Group 11: Only Failed | Without variation (no var CV = 0)", "Group 12: Only Failed | With variation (with var CV &gt; 0)"), IF(AND(Q188&gt;0, R188&gt;0), IF(ROUND(T188,5)&lt;&gt;ROUND(W188,5), IF(AND(IFERROR(ROUND(V188,8),0)=0, IFERROR(ROUND(Y188,8),0)=0), "Group 1: Flaky | Passed (no variation: CV = 0) AND Failed (no variation: CV = 0) | Different Means", IF(AND(IFERROR(ROUND(V188,8),0)&gt;0, IFERROR(ROUND(Y188,8),0)&gt;0), "Group 2: Flaky | Passed (with variation: CV &gt; 0) AND Failed (with variation: CV &gt; 0) | Different Means", IF(AND(IFERROR(ROUND(V188,8),0)=0, IFERROR(ROUND(Y188,8),0)&gt;0), "Group 3: Flaky | Passed (no variation: CV = 0) AND Failed (with variation: CV &gt; 0) | Different Means", "Group 4: Flaky | Passed (with variation: CV &gt; 0) AND Failed (no variation: CV = 0) | Different Means"))), IF(AND(IFERROR(ROUND(V188,8),0)=0, IFERROR(ROUND(Y188,8),0)=0), "Group 5: Flaky | Passed (no var CV = 0) AND Failed (no var CV = 0) | Equal Means", IF(AND(IFERROR(ROUND(V188,8),0)&gt;0, IFERROR(ROUND(Y188,8),0)&gt;0), "Group 6: Flaky | Passed (with var CV &gt; 0) AND Failed (with var CV &gt; 0) | Equal Means", IF(AND(IFERROR(ROUND(V188,8),0)=0, IFERROR(ROUND(Y188,8),0)&gt;0),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8" s="29" t="n">
        <v>907</v>
      </c>
      <c r="AB188" s="29" t="n">
        <v>0.011805</v>
      </c>
      <c r="AC188" s="29" t="n">
        <f aca="false">IFERROR(AB188/AA188*100,"N/A")</f>
        <v>0.00130154355016538</v>
      </c>
      <c r="AD188" s="29" t="n">
        <v>0.961349</v>
      </c>
      <c r="AE188" s="29" t="n">
        <v>0.104685</v>
      </c>
      <c r="AF188" s="29" t="n">
        <f aca="false">IFERROR(AE188/AD188*100,"N/A")</f>
        <v>10.8893856445474</v>
      </c>
      <c r="AG188" s="36" t="str">
        <f aca="false">IF(AND(Q188&gt;0, R188=0), IF(IFERROR(ROUND(AC188,8),0)=0, "Group 9: Only Passed | Without variation (no var CV = 0)", "Group 10: Only Passed | With variation (with var CV &gt; 0)"), IF(AND(Q188=0, R188&gt;0), IF(IFERROR(ROUND(AF188,8),0)=0, "Group 11: Only Failed | Without variation (no var CV = 0)", "Group 12: Only Failed | With variation (with var CV &gt; 0)"), IF(AND(Q188&gt;0, R188&gt;0), IF(ROUND(AA188,5)&lt;&gt;ROUND(AD188,5), IF(AND(IFERROR(ROUND(AC188,8),0)=0, IFERROR(ROUND(AF188,8),0)=0), "Group 1: Flaky | Passed (no variation: CV = 0) AND Failed (no variation: CV = 0) | Different Means", IF(AND(IFERROR(ROUND(AC188,8),0)&gt;0, IFERROR(ROUND(AF188,8),0)&gt;0), "Group 2: Flaky | Passed (with variation: CV &gt; 0) AND Failed (with variation: CV &gt; 0) | Different Means", IF(AND(IFERROR(ROUND(AC188,8),0)=0, IFERROR(ROUND(AF188,8),0)&gt;0), "Group 3: Flaky | Passed (no variation: CV = 0) AND Failed (with variation: CV &gt; 0) | Different Means", "Group 4: Flaky | Passed (with variation: CV &gt; 0) AND Failed (no variation: CV = 0) | Different Means"))), IF(AND(IFERROR(ROUND(AC188,8),0)=0, IFERROR(ROUND(AF188,8),0)=0), "Group 5: Flaky | Passed (no var CV = 0) AND Failed (no var CV = 0) | Equal Means", IF(AND(IFERROR(ROUND(AC188,8),0)&gt;0, IFERROR(ROUND(AF188,8),0)&gt;0), "Group 6: Flaky | Passed (with var CV &gt; 0) AND Failed (with var CV &gt; 0) | Equal Means", IF(AND(IFERROR(ROUND(AC188,8),0)=0, IFERROR(ROUND(AF188,8),0)&gt;0),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8" s="22" t="n">
        <v>95</v>
      </c>
      <c r="AI188" s="17" t="n">
        <v>5</v>
      </c>
      <c r="AJ188" s="39" t="str">
        <f aca="false">IF(AND(AH188&gt;0, AI188&gt;0), "Observed Flaky Test", "Non-observed Flaky Test")</f>
        <v>Observed Flaky Test</v>
      </c>
      <c r="AK188" s="93" t="n">
        <v>378546.736842105</v>
      </c>
      <c r="AL188" s="94" t="n">
        <v>504.457496902772</v>
      </c>
      <c r="AM188" s="33" t="n">
        <f aca="false">IFERROR(AL188/AK188*100,"N/A")</f>
        <v>0.133261615490609</v>
      </c>
      <c r="AN188" s="90" t="n">
        <v>341568.2</v>
      </c>
      <c r="AO188" s="20" t="n">
        <v>84485.5211986053</v>
      </c>
      <c r="AP188" s="35" t="n">
        <f aca="false">IFERROR(AO188/AN188*100,"N/A")</f>
        <v>24.7345980095938</v>
      </c>
      <c r="AQ188" s="63" t="str">
        <f aca="false">IF(AND(AH188&gt;0, AI188&gt;0),
    IF(ROUND(N(AK188),5)&lt;&gt;ROUND(N(AN188),5),
        IF(AND(ROUND(N(AL188),8)=0, ROUND(N(AO188),8)=0), "Group 1: Flaky | Passed (no variation: SD = 0) AND Failed (no variation: SD = 0) | Different Means",
        IF(AND(ROUND(N(AL188),8)&gt;0, ROUND(N(AO188),8)&gt;0), "Group 2: Flaky | Passed (with variation: SD &gt; 0) AND Failed (with variation: SD &gt; 0) | Different Means",
        IF(AND(ROUND(N(AL188),8)=0, ROUND(N(AO188),8)&gt;0), "Group 3: Flaky | Passed (no variation: SD = 0) AND Failed (with variation: SD &gt; 0) | Different Means",
        "Group 4: Flaky | Passed (with variation: SD &gt; 0) AND Failed (no variation: SD = 0) | Different Means"))),
        IF(AND(ROUND(N(AL188),8)=0, ROUND(N(AO188),8)=0), "Group 5: Flaky | Passed (no var SD = 0) AND Failed (no var SD = 0) | Equal Means",
        IF(AND(ROUND(N(AL188),8)&gt;0, ROUND(N(AO188),8)&gt;0), "Group 6: Flaky | Passed (with var SD &gt; 0 ) AND Failed (with var SD &gt; 0) | Equal Means",
        IF(AND(ROUND(N(AL188),8)=0, ROUND(N(AO188),8)&gt;0), "Group 7: Flaky | Passed (no var SD = 0) AND Failed (with var SD &gt; 0) | Equal Means",
        "Group 8: Flaky | Passed (with var SD &gt; 0 ) AND Failed (no var SD = 0) | Equal Means")))
    ),
    IF(AH188&gt;0,
        IF(N(AL188)&gt;0, "Group 10: Only Passed | With variation (with var SD &gt; 0)", "Group 9: Only Passed | Without variation (no var SD = 0)"),
        IF(AI188&gt;0,
            IF(N(AO188)&gt;0,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88" s="42" t="str">
        <f aca="false">IF(OR(F188="Observed Flaky Test", I188="Observed Flaky Test", S188="Observed Flaky Test", AJ188="Observed Flaky Test"), "Observed Flaky Test", "Non-observed Flaky Test")</f>
        <v>Observed Flaky Test</v>
      </c>
    </row>
    <row r="189" customFormat="false" ht="15.75" hidden="false" customHeight="true" outlineLevel="0" collapsed="false">
      <c r="A189" s="81"/>
      <c r="B189" s="14" t="s">
        <v>440</v>
      </c>
      <c r="C189" s="14" t="s">
        <v>441</v>
      </c>
      <c r="D189" s="15" t="n">
        <v>98</v>
      </c>
      <c r="E189" s="15" t="n">
        <v>2</v>
      </c>
      <c r="F189" s="61" t="str">
        <f aca="false">IF(AND(D189&gt;0, E189&gt;0), "Observed Flaky Test", "Non-observed Flaky Test")</f>
        <v>Observed Flaky Test</v>
      </c>
      <c r="G189" s="22" t="n">
        <v>97</v>
      </c>
      <c r="H189" s="22" t="n">
        <v>3</v>
      </c>
      <c r="I189" s="61" t="str">
        <f aca="false">IF(AND(G189&gt;0, H189&gt;0), "Observed Flaky Test", "Non-observed Flaky Test")</f>
        <v>Observed Flaky Test</v>
      </c>
      <c r="J189" s="53" t="n">
        <v>47.704227</v>
      </c>
      <c r="K189" s="53" t="n">
        <v>1.148631</v>
      </c>
      <c r="L189" s="19" t="n">
        <f aca="false">IFERROR(K189/J189*100,"N/A")</f>
        <v>2.40781807448636</v>
      </c>
      <c r="M189" s="53" t="n">
        <v>47.556667</v>
      </c>
      <c r="N189" s="53" t="n">
        <v>2.0822</v>
      </c>
      <c r="O189" s="20" t="n">
        <f aca="false">IFERROR(N189/M189*100,"N/A")</f>
        <v>4.37835561520743</v>
      </c>
      <c r="P189" s="62" t="str">
        <f aca="false">IF(AND(G189&gt;0, H189=0), IF(ROUND(K189,8)=0, "Group 9: Only Passed | Without variation (SD Passed = 0)", "Group 10: Only Passed | With variation (SD Passed &gt; 0)"), IF(AND(G189=0, H189&gt;0), IF(ROUND(N189,8)=0, "Group 11: Only Failed | Without variation (SD Failed = 0)", "Group 12: Only Failed | With variation (SD Failed &gt; 0)"), IF(AND(G189&gt;0, H189&gt;0), IF(ROUND(J189,5)&lt;&gt;ROUND(M189,5), IF(AND(ROUND(K189,8)=0, ROUND(N189,8)=0), "Group 1: Flaky | Passed (no variation) AND Failed (no variation) | Different Means", IF(AND(ROUND(K189,8)&gt;0, ROUND(N189,8)&gt;0), "Group 2: Flaky | Passed (with variation) AND Failed (with variation) | Different Means", IF(AND(ROUND(K189,8)=0, ROUND(N189,8)&gt;0), "Group 3: Flaky | Passed (no variation) AND Failed (with variation) | Different Means", "Group 4: Flaky | Passed (with variation) AND Failed (no variation) | Different Means"))), IF(AND(ROUND(K189,8)=0, ROUND(N189,8)=0), "Group 5: Flaky | Passed (no variation) AND Failed (no variation) | Equal Means", IF(AND(ROUND(K189,8)&gt;0, ROUND(N189,8)&gt;0), "Group 6: Flaky | Passed (with variation) AND Failed (with variation) | Equal Means", IF(AND(ROUND(K189,8)=0, ROUND(N189,8)&gt;0),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89" s="17" t="n">
        <v>97</v>
      </c>
      <c r="R189" s="17" t="n">
        <v>3</v>
      </c>
      <c r="S189" s="43" t="str">
        <f aca="false">IF(AND(Q189&gt;0, R189&gt;0), "Observed Flaky Test", "Non-observed Flaky Test")</f>
        <v>Observed Flaky Test</v>
      </c>
      <c r="T189" s="24" t="n">
        <v>1222606.690722</v>
      </c>
      <c r="U189" s="24" t="n">
        <v>465.998577</v>
      </c>
      <c r="V189" s="25" t="n">
        <f aca="false">IFERROR(U189/T189*100,"N/A")</f>
        <v>0.0381151665974287</v>
      </c>
      <c r="W189" s="24" t="n">
        <v>1317129.666667</v>
      </c>
      <c r="X189" s="24" t="n">
        <v>472.453525</v>
      </c>
      <c r="Y189" s="27" t="n">
        <f aca="false">IFERROR(X189/W189*100,"N/A")</f>
        <v>0.0358699326996062</v>
      </c>
      <c r="Z189" s="68" t="str">
        <f aca="false">IF(AND(Q189&gt;0, R189=0), IF(IFERROR(ROUND(V189,8),0)=0, "Group 9: Only Passed | Without variation (no var CV = 0)", "Group 10: Only Passed | With variation (with var CV &gt; 0)"), IF(AND(Q189=0, R189&gt;0), IF(IFERROR(ROUND(Y189,8),0)=0, "Group 11: Only Failed | Without variation (no var CV = 0)", "Group 12: Only Failed | With variation (with var CV &gt; 0)"), IF(AND(Q189&gt;0, R189&gt;0), IF(ROUND(T189,5)&lt;&gt;ROUND(W189,5), IF(AND(IFERROR(ROUND(V189,8),0)=0, IFERROR(ROUND(Y189,8),0)=0), "Group 1: Flaky | Passed (no variation: CV = 0) AND Failed (no variation: CV = 0) | Different Means", IF(AND(IFERROR(ROUND(V189,8),0)&gt;0, IFERROR(ROUND(Y189,8),0)&gt;0), "Group 2: Flaky | Passed (with variation: CV &gt; 0) AND Failed (with variation: CV &gt; 0) | Different Means", IF(AND(IFERROR(ROUND(V189,8),0)=0, IFERROR(ROUND(Y189,8),0)&gt;0), "Group 3: Flaky | Passed (no variation: CV = 0) AND Failed (with variation: CV &gt; 0) | Different Means", "Group 4: Flaky | Passed (with variation: CV &gt; 0) AND Failed (no variation: CV = 0) | Different Means"))), IF(AND(IFERROR(ROUND(V189,8),0)=0, IFERROR(ROUND(Y189,8),0)=0), "Group 5: Flaky | Passed (no var CV = 0) AND Failed (no var CV = 0) | Equal Means", IF(AND(IFERROR(ROUND(V189,8),0)&gt;0, IFERROR(ROUND(Y189,8),0)&gt;0), "Group 6: Flaky | Passed (with var CV &gt; 0) AND Failed (with var CV &gt; 0) | Equal Means", IF(AND(IFERROR(ROUND(V189,8),0)=0, IFERROR(ROUND(Y189,8),0)&gt;0),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89" s="29" t="n">
        <v>0.614698</v>
      </c>
      <c r="AB189" s="29" t="n">
        <v>0.018018</v>
      </c>
      <c r="AC189" s="29" t="n">
        <f aca="false">IFERROR(AB189/AA189*100,"N/A")</f>
        <v>2.93119548135833</v>
      </c>
      <c r="AD189" s="29" t="n">
        <v>0.633831</v>
      </c>
      <c r="AE189" s="29" t="n">
        <v>0.00555</v>
      </c>
      <c r="AF189" s="29" t="n">
        <f aca="false">IFERROR(AE189/AD189*100,"N/A")</f>
        <v>0.875627730420254</v>
      </c>
      <c r="AG189" s="36" t="str">
        <f aca="false">IF(AND(Q189&gt;0, R189=0), IF(IFERROR(ROUND(AC189,8),0)=0, "Group 9: Only Passed | Without variation (no var CV = 0)", "Group 10: Only Passed | With variation (with var CV &gt; 0)"), IF(AND(Q189=0, R189&gt;0), IF(IFERROR(ROUND(AF189,8),0)=0, "Group 11: Only Failed | Without variation (no var CV = 0)", "Group 12: Only Failed | With variation (with var CV &gt; 0)"), IF(AND(Q189&gt;0, R189&gt;0), IF(ROUND(AA189,5)&lt;&gt;ROUND(AD189,5), IF(AND(IFERROR(ROUND(AC189,8),0)=0, IFERROR(ROUND(AF189,8),0)=0), "Group 1: Flaky | Passed (no variation: CV = 0) AND Failed (no variation: CV = 0) | Different Means", IF(AND(IFERROR(ROUND(AC189,8),0)&gt;0, IFERROR(ROUND(AF189,8),0)&gt;0), "Group 2: Flaky | Passed (with variation: CV &gt; 0) AND Failed (with variation: CV &gt; 0) | Different Means", IF(AND(IFERROR(ROUND(AC189,8),0)=0, IFERROR(ROUND(AF189,8),0)&gt;0), "Group 3: Flaky | Passed (no variation: CV = 0) AND Failed (with variation: CV &gt; 0) | Different Means", "Group 4: Flaky | Passed (with variation: CV &gt; 0) AND Failed (no variation: CV = 0) | Different Means"))), IF(AND(IFERROR(ROUND(AC189,8),0)=0, IFERROR(ROUND(AF189,8),0)=0), "Group 5: Flaky | Passed (no var CV = 0) AND Failed (no var CV = 0) | Equal Means", IF(AND(IFERROR(ROUND(AC189,8),0)&gt;0, IFERROR(ROUND(AF189,8),0)&gt;0), "Group 6: Flaky | Passed (with var CV &gt; 0) AND Failed (with var CV &gt; 0) | Equal Means", IF(AND(IFERROR(ROUND(AC189,8),0)=0, IFERROR(ROUND(AF189,8),0)&gt;0),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89" s="22" t="n">
        <v>97</v>
      </c>
      <c r="AI189" s="17" t="n">
        <v>3</v>
      </c>
      <c r="AJ189" s="39" t="str">
        <f aca="false">IF(AND(AH189&gt;0, AI189&gt;0), "Observed Flaky Test", "Non-observed Flaky Test")</f>
        <v>Observed Flaky Test</v>
      </c>
      <c r="AK189" s="93" t="n">
        <v>189772.030927835</v>
      </c>
      <c r="AL189" s="94" t="n">
        <v>414.799260024458</v>
      </c>
      <c r="AM189" s="33" t="n">
        <f aca="false">IFERROR(AL189/AK189*100,"N/A")</f>
        <v>0.218577657622368</v>
      </c>
      <c r="AN189" s="93" t="n">
        <v>189974.333333333</v>
      </c>
      <c r="AO189" s="94" t="n">
        <v>359.345701704268</v>
      </c>
      <c r="AP189" s="35" t="n">
        <f aca="false">IFERROR(AO189/AN189*100,"N/A")</f>
        <v>0.18915486918633</v>
      </c>
      <c r="AQ189" s="63" t="str">
        <f aca="false">IF(AND(AH189&gt;0, AI189&gt;0),
    IF(ROUND(N(AK189),5)&lt;&gt;ROUND(N(AN189),5),
        IF(AND(ROUND(N(AL189),8)=0, ROUND(N(AO189),8)=0), "Group 1: Flaky | Passed (no variation: SD = 0) AND Failed (no variation: SD = 0) | Different Means",
        IF(AND(ROUND(N(AL189),8)&gt;0, ROUND(N(AO189),8)&gt;0), "Group 2: Flaky | Passed (with variation: SD &gt; 0) AND Failed (with variation: SD &gt; 0) | Different Means",
        IF(AND(ROUND(N(AL189),8)=0, ROUND(N(AO189),8)&gt;0), "Group 3: Flaky | Passed (no variation: SD = 0) AND Failed (with variation: SD &gt; 0) | Different Means",
        "Group 4: Flaky | Passed (with variation: SD &gt; 0) AND Failed (no variation: SD = 0) | Different Means"))),
        IF(AND(ROUND(N(AL189),8)=0, ROUND(N(AO189),8)=0), "Group 5: Flaky | Passed (no var SD = 0) AND Failed (no var SD = 0) | Equal Means",
        IF(AND(ROUND(N(AL189),8)&gt;0, ROUND(N(AO189),8)&gt;0), "Group 6: Flaky | Passed (with var SD &gt; 0 ) AND Failed (with var SD &gt; 0) | Equal Means",
        IF(AND(ROUND(N(AL189),8)=0, ROUND(N(AO189),8)&gt;0), "Group 7: Flaky | Passed (no var SD = 0) AND Failed (with var SD &gt; 0) | Equal Means",
        "Group 8: Flaky | Passed (with var SD &gt; 0 ) AND Failed (no var SD = 0) | Equal Means")))
    ),
    IF(AH189&gt;0,
        IF(N(AL189)&gt;0, "Group 10: Only Passed | With variation (with var SD &gt; 0)", "Group 9: Only Passed | Without variation (no var SD = 0)"),
        IF(AI189&gt;0,
            IF(N(AO189)&gt;0,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89" s="42" t="str">
        <f aca="false">IF(OR(F189="Observed Flaky Test", I189="Observed Flaky Test", S189="Observed Flaky Test", AJ189="Observed Flaky Test"), "Observed Flaky Test", "Non-observed Flaky Test")</f>
        <v>Observed Flaky Test</v>
      </c>
    </row>
    <row r="190" customFormat="false" ht="15.75" hidden="false" customHeight="true" outlineLevel="0" collapsed="false">
      <c r="A190" s="81" t="s">
        <v>442</v>
      </c>
      <c r="B190" s="14" t="s">
        <v>443</v>
      </c>
      <c r="C190" s="14" t="s">
        <v>444</v>
      </c>
      <c r="D190" s="15" t="n">
        <v>100</v>
      </c>
      <c r="E190" s="15" t="n">
        <v>0</v>
      </c>
      <c r="F190" s="16" t="str">
        <f aca="false">IF(AND(D190&gt;0, E190&gt;0), "Observed Flaky Test", "Non-observed Flaky Test")</f>
        <v>Non-observed Flaky Test</v>
      </c>
      <c r="G190" s="22" t="n">
        <v>100</v>
      </c>
      <c r="H190" s="22" t="n">
        <v>0</v>
      </c>
      <c r="I190" s="16" t="str">
        <f aca="false">IF(AND(G190&gt;0, H190&gt;0), "Observed Flaky Test", "Non-observed Flaky Test")</f>
        <v>Non-observed Flaky Test</v>
      </c>
      <c r="J190" s="18" t="n">
        <v>19.99</v>
      </c>
      <c r="K190" s="18" t="n">
        <v>0</v>
      </c>
      <c r="L190" s="19" t="n">
        <f aca="false">IFERROR(K190/J190*100,"N/A")</f>
        <v>0</v>
      </c>
      <c r="M190" s="18" t="n">
        <v>0</v>
      </c>
      <c r="N190" s="18" t="n">
        <v>0</v>
      </c>
      <c r="O190" s="20" t="str">
        <f aca="false">IFERROR(N190/M190*100,"N/A")</f>
        <v>N/A</v>
      </c>
      <c r="P190" s="56" t="str">
        <f aca="false">IF(AND(G190&gt;0, H190=0), IF(ROUND(K190,8)=0, "Group 9: Only Passed | Without variation (SD Passed = 0)", "Group 10: Only Passed | With variation (SD Passed &gt; 0)"), IF(AND(G190=0, H190&gt;0), IF(ROUND(N190,8)=0, "Group 11: Only Failed | Without variation (SD Failed = 0)", "Group 12: Only Failed | With variation (SD Failed &gt; 0)"), IF(AND(G190&gt;0, H190&gt;0), IF(ROUND(J190,5)&lt;&gt;ROUND(M190,5), IF(AND(ROUND(K190,8)=0, ROUND(N190,8)=0), "Group 1: Flaky | Passed (no variation) AND Failed (no variation) | Different Means", IF(AND(ROUND(K190,8)&gt;0, ROUND(N190,8)&gt;0), "Group 2: Flaky | Passed (with variation) AND Failed (with variation) | Different Means", IF(AND(ROUND(K190,8)=0, ROUND(N190,8)&gt;0), "Group 3: Flaky | Passed (no variation) AND Failed (with variation) | Different Means", "Group 4: Flaky | Passed (with variation) AND Failed (no variation) | Different Means"))), IF(AND(ROUND(K190,8)=0, ROUND(N190,8)=0), "Group 5: Flaky | Passed (no variation) AND Failed (no variation) | Equal Means", IF(AND(ROUND(K190,8)&gt;0, ROUND(N190,8)&gt;0), "Group 6: Flaky | Passed (with variation) AND Failed (with variation) | Equal Means", IF(AND(ROUND(K190,8)=0, ROUND(N190,8)&gt;0),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190" s="17" t="n">
        <v>99</v>
      </c>
      <c r="R190" s="17" t="n">
        <v>1</v>
      </c>
      <c r="S190" s="43" t="str">
        <f aca="false">IF(AND(Q190&gt;0, R190&gt;0), "Observed Flaky Test", "Non-observed Flaky Test")</f>
        <v>Observed Flaky Test</v>
      </c>
      <c r="T190" s="24" t="n">
        <v>880074.363636</v>
      </c>
      <c r="U190" s="24" t="n">
        <v>12.540103</v>
      </c>
      <c r="V190" s="25" t="n">
        <f aca="false">IFERROR(U190/T190*100,"N/A")</f>
        <v>0.00142489129534361</v>
      </c>
      <c r="W190" s="55" t="n">
        <v>1113967</v>
      </c>
      <c r="X190" s="22" t="n">
        <v>0</v>
      </c>
      <c r="Y190" s="27" t="n">
        <f aca="false">IFERROR(X190/W190*100,"N/A")</f>
        <v>0</v>
      </c>
      <c r="Z190" s="69" t="str">
        <f aca="false">IF(AND(Q190&gt;0, R190=0), IF(IFERROR(ROUND(V190,8),0)=0, "Group 9: Only Passed | Without variation (no var CV = 0)", "Group 10: Only Passed | With variation (with var CV &gt; 0)"), IF(AND(Q190=0, R190&gt;0), IF(IFERROR(ROUND(Y190,8),0)=0, "Group 11: Only Failed | Without variation (no var CV = 0)", "Group 12: Only Failed | With variation (with var CV &gt; 0)"), IF(AND(Q190&gt;0, R190&gt;0), IF(ROUND(T190,5)&lt;&gt;ROUND(W190,5), IF(AND(IFERROR(ROUND(V190,8),0)=0, IFERROR(ROUND(Y190,8),0)=0), "Group 1: Flaky | Passed (no variation: CV = 0) AND Failed (no variation: CV = 0) | Different Means", IF(AND(IFERROR(ROUND(V190,8),0)&gt;0, IFERROR(ROUND(Y190,8),0)&gt;0), "Group 2: Flaky | Passed (with variation: CV &gt; 0) AND Failed (with variation: CV &gt; 0) | Different Means", IF(AND(IFERROR(ROUND(V190,8),0)=0, IFERROR(ROUND(Y190,8),0)&gt;0), "Group 3: Flaky | Passed (no variation: CV = 0) AND Failed (with variation: CV &gt; 0) | Different Means", "Group 4: Flaky | Passed (with variation: CV &gt; 0) AND Failed (no variation: CV = 0) | Different Means"))), IF(AND(IFERROR(ROUND(V190,8),0)=0, IFERROR(ROUND(Y190,8),0)=0), "Group 5: Flaky | Passed (no var CV = 0) AND Failed (no var CV = 0) | Equal Means", IF(AND(IFERROR(ROUND(V190,8),0)&gt;0, IFERROR(ROUND(Y190,8),0)&gt;0), "Group 6: Flaky | Passed (with var CV &gt; 0) AND Failed (with var CV &gt; 0) | Equal Means", IF(AND(IFERROR(ROUND(V190,8),0)=0, IFERROR(ROUND(Y190,8),0)&gt;0),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90" s="29" t="n">
        <v>0.652762</v>
      </c>
      <c r="AB190" s="29" t="n">
        <v>0.050594</v>
      </c>
      <c r="AC190" s="29" t="n">
        <f aca="false">IFERROR(AB190/AA190*100,"N/A")</f>
        <v>7.75075755022504</v>
      </c>
      <c r="AD190" s="29" t="n">
        <v>0.678966</v>
      </c>
      <c r="AE190" s="29" t="n">
        <v>0</v>
      </c>
      <c r="AF190" s="29" t="n">
        <f aca="false">IFERROR(AE190/AD190*100,"N/A")</f>
        <v>0</v>
      </c>
      <c r="AG190" s="70" t="str">
        <f aca="false">IF(AND(Q190&gt;0, R190=0), IF(IFERROR(ROUND(AC190,8),0)=0, "Group 9: Only Passed | Without variation (no var CV = 0)", "Group 10: Only Passed | With variation (with var CV &gt; 0)"), IF(AND(Q190=0, R190&gt;0), IF(IFERROR(ROUND(AF190,8),0)=0, "Group 11: Only Failed | Without variation (no var CV = 0)", "Group 12: Only Failed | With variation (with var CV &gt; 0)"), IF(AND(Q190&gt;0, R190&gt;0), IF(ROUND(AA190,5)&lt;&gt;ROUND(AD190,5), IF(AND(IFERROR(ROUND(AC190,8),0)=0, IFERROR(ROUND(AF190,8),0)=0), "Group 1: Flaky | Passed (no variation: CV = 0) AND Failed (no variation: CV = 0) | Different Means", IF(AND(IFERROR(ROUND(AC190,8),0)&gt;0, IFERROR(ROUND(AF190,8),0)&gt;0), "Group 2: Flaky | Passed (with variation: CV &gt; 0) AND Failed (with variation: CV &gt; 0) | Different Means", IF(AND(IFERROR(ROUND(AC190,8),0)=0, IFERROR(ROUND(AF190,8),0)&gt;0), "Group 3: Flaky | Passed (no variation: CV = 0) AND Failed (with variation: CV &gt; 0) | Different Means", "Group 4: Flaky | Passed (with variation: CV &gt; 0) AND Failed (no variation: CV = 0) | Different Means"))), IF(AND(IFERROR(ROUND(AC190,8),0)=0, IFERROR(ROUND(AF190,8),0)=0), "Group 5: Flaky | Passed (no var CV = 0) AND Failed (no var CV = 0) | Equal Means", IF(AND(IFERROR(ROUND(AC190,8),0)&gt;0, IFERROR(ROUND(AF190,8),0)&gt;0), "Group 6: Flaky | Passed (with var CV &gt; 0) AND Failed (with var CV &gt; 0) | Equal Means", IF(AND(IFERROR(ROUND(AC190,8),0)=0, IFERROR(ROUND(AF190,8),0)&gt;0),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90" s="22" t="n">
        <v>100</v>
      </c>
      <c r="AI190" s="17" t="n">
        <v>0</v>
      </c>
      <c r="AJ190" s="31" t="str">
        <f aca="false">IF(AND(AH190&gt;0, AI190&gt;0), "Observed Flaky Test", "Non-observed Flaky Test")</f>
        <v>Non-observed Flaky Test</v>
      </c>
      <c r="AK190" s="102" t="n">
        <v>6657.89</v>
      </c>
      <c r="AL190" s="97" t="n">
        <v>2.8529446067691</v>
      </c>
      <c r="AM190" s="33" t="n">
        <f aca="false">IFERROR(AL190/AK190*100,"N/A")</f>
        <v>0.0428505818925981</v>
      </c>
      <c r="AN190" s="90" t="n">
        <v>0</v>
      </c>
      <c r="AO190" s="90" t="n">
        <v>0</v>
      </c>
      <c r="AP190" s="35" t="str">
        <f aca="false">IFERROR(AO190/AN190*100,"N/A")</f>
        <v>N/A</v>
      </c>
      <c r="AQ190" s="52" t="str">
        <f aca="false">IF(AND(AH190&gt;0, AI190&gt;0),
    IF(ROUND(N(AK190),5)&lt;&gt;ROUND(N(AN190),5),
        IF(AND(ROUND(N(AL190),8)=0, ROUND(N(AO190),8)=0), "Group 1: Flaky | Passed (no variation: SD = 0) AND Failed (no variation: SD = 0) | Different Means",
        IF(AND(ROUND(N(AL190),8)&gt;0, ROUND(N(AO190),8)&gt;0), "Group 2: Flaky | Passed (with variation: SD &gt; 0) AND Failed (with variation: SD &gt; 0) | Different Means",
        IF(AND(ROUND(N(AL190),8)=0, ROUND(N(AO190),8)&gt;0), "Group 3: Flaky | Passed (no variation: SD = 0) AND Failed (with variation: SD &gt; 0) | Different Means",
        "Group 4: Flaky | Passed (with variation: SD &gt; 0) AND Failed (no variation: SD = 0) | Different Means"))),
        IF(AND(ROUND(N(AL190),8)=0, ROUND(N(AO190),8)=0), "Group 5: Flaky | Passed (no var SD = 0) AND Failed (no var SD = 0) | Equal Means",
        IF(AND(ROUND(N(AL190),8)&gt;0, ROUND(N(AO190),8)&gt;0), "Group 6: Flaky | Passed (with var SD &gt; 0 ) AND Failed (with var SD &gt; 0) | Equal Means",
        IF(AND(ROUND(N(AL190),8)=0, ROUND(N(AO190),8)&gt;0), "Group 7: Flaky | Passed (no var SD = 0) AND Failed (with var SD &gt; 0) | Equal Means",
        "Group 8: Flaky | Passed (with var SD &gt; 0 ) AND Failed (no var SD = 0) | Equal Means")))
    ),
    IF(AH190&gt;0,
        IF(N(AL190)&gt;0, "Group 10: Only Passed | With variation (with var SD &gt; 0)", "Group 9: Only Passed | Without variation (no var SD = 0)"),
        IF(AI190&gt;0,
            IF(N(AO190)&gt;0,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90" s="42" t="str">
        <f aca="false">IF(OR(F190="Observed Flaky Test", I190="Observed Flaky Test", S190="Observed Flaky Test", AJ190="Observed Flaky Test"), "Observed Flaky Test", "Non-observed Flaky Test")</f>
        <v>Observed Flaky Test</v>
      </c>
    </row>
    <row r="191" customFormat="false" ht="15.75" hidden="false" customHeight="true" outlineLevel="0" collapsed="false">
      <c r="A191" s="81" t="s">
        <v>445</v>
      </c>
      <c r="B191" s="14" t="s">
        <v>446</v>
      </c>
      <c r="C191" s="14" t="s">
        <v>447</v>
      </c>
      <c r="D191" s="15" t="n">
        <v>72</v>
      </c>
      <c r="E191" s="15" t="n">
        <v>28</v>
      </c>
      <c r="F191" s="61" t="str">
        <f aca="false">IF(AND(D191&gt;0, E191&gt;0), "Observed Flaky Test", "Non-observed Flaky Test")</f>
        <v>Observed Flaky Test</v>
      </c>
      <c r="G191" s="22" t="n">
        <v>75</v>
      </c>
      <c r="H191" s="22" t="n">
        <v>25</v>
      </c>
      <c r="I191" s="61" t="str">
        <f aca="false">IF(AND(G191&gt;0, H191&gt;0), "Observed Flaky Test", "Non-observed Flaky Test")</f>
        <v>Observed Flaky Test</v>
      </c>
      <c r="J191" s="18" t="n">
        <v>26.74</v>
      </c>
      <c r="K191" s="18" t="n">
        <v>0</v>
      </c>
      <c r="L191" s="19" t="n">
        <f aca="false">IFERROR(K191/J191*100,"N/A")</f>
        <v>0</v>
      </c>
      <c r="M191" s="18" t="n">
        <v>25.83</v>
      </c>
      <c r="N191" s="18" t="n">
        <v>0</v>
      </c>
      <c r="O191" s="20" t="n">
        <f aca="false">IFERROR(N191/M191*100,"N/A")</f>
        <v>0</v>
      </c>
      <c r="P191" s="78" t="str">
        <f aca="false">IF(AND(G191&gt;0, H191=0), IF(ROUND(K191,8)=0, "Group 9: Only Passed | Without variation (SD Passed = 0)", "Group 10: Only Passed | With variation (SD Passed &gt; 0)"), IF(AND(G191=0, H191&gt;0), IF(ROUND(N191,8)=0, "Group 11: Only Failed | Without variation (SD Failed = 0)", "Group 12: Only Failed | With variation (SD Failed &gt; 0)"), IF(AND(G191&gt;0, H191&gt;0), IF(ROUND(J191,5)&lt;&gt;ROUND(M191,5), IF(AND(ROUND(K191,8)=0, ROUND(N191,8)=0), "Group 1: Flaky | Passed (no variation) AND Failed (no variation) | Different Means", IF(AND(ROUND(K191,8)&gt;0, ROUND(N191,8)&gt;0), "Group 2: Flaky | Passed (with variation) AND Failed (with variation) | Different Means", IF(AND(ROUND(K191,8)=0, ROUND(N191,8)&gt;0), "Group 3: Flaky | Passed (no variation) AND Failed (with variation) | Different Means", "Group 4: Flaky | Passed (with variation) AND Failed (no variation) | Different Means"))), IF(AND(ROUND(K191,8)=0, ROUND(N191,8)=0), "Group 5: Flaky | Passed (no variation) AND Failed (no variation) | Equal Means", IF(AND(ROUND(K191,8)&gt;0, ROUND(N191,8)&gt;0), "Group 6: Flaky | Passed (with variation) AND Failed (with variation) | Equal Means", IF(AND(ROUND(K191,8)=0, ROUND(N191,8)&gt;0),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91" s="22" t="n">
        <v>78</v>
      </c>
      <c r="R191" s="22" t="n">
        <v>22</v>
      </c>
      <c r="S191" s="43" t="str">
        <f aca="false">IF(AND(Q191&gt;0, R191&gt;0), "Observed Flaky Test", "Non-observed Flaky Test")</f>
        <v>Observed Flaky Test</v>
      </c>
      <c r="T191" s="26" t="n">
        <v>497466.884615</v>
      </c>
      <c r="U191" s="24" t="n">
        <v>2171.590691</v>
      </c>
      <c r="V191" s="25" t="n">
        <f aca="false">IFERROR(U191/T191*100,"N/A")</f>
        <v>0.436529698390002</v>
      </c>
      <c r="W191" s="24" t="n">
        <v>629208.727273</v>
      </c>
      <c r="X191" s="26" t="n">
        <v>238.71824</v>
      </c>
      <c r="Y191" s="27" t="n">
        <f aca="false">IFERROR(X191/W191*100,"N/A")</f>
        <v>0.0379394356201333</v>
      </c>
      <c r="Z191" s="68" t="str">
        <f aca="false">IF(AND(Q191&gt;0, R191=0), IF(IFERROR(ROUND(V191,8),0)=0, "Group 9: Only Passed | Without variation (no var CV = 0)", "Group 10: Only Passed | With variation (with var CV &gt; 0)"), IF(AND(Q191=0, R191&gt;0), IF(IFERROR(ROUND(Y191,8),0)=0, "Group 11: Only Failed | Without variation (no var CV = 0)", "Group 12: Only Failed | With variation (with var CV &gt; 0)"), IF(AND(Q191&gt;0, R191&gt;0), IF(ROUND(T191,5)&lt;&gt;ROUND(W191,5), IF(AND(IFERROR(ROUND(V191,8),0)=0, IFERROR(ROUND(Y191,8),0)=0), "Group 1: Flaky | Passed (no variation: CV = 0) AND Failed (no variation: CV = 0) | Different Means", IF(AND(IFERROR(ROUND(V191,8),0)&gt;0, IFERROR(ROUND(Y191,8),0)&gt;0), "Group 2: Flaky | Passed (with variation: CV &gt; 0) AND Failed (with variation: CV &gt; 0) | Different Means", IF(AND(IFERROR(ROUND(V191,8),0)=0, IFERROR(ROUND(Y191,8),0)&gt;0), "Group 3: Flaky | Passed (no variation: CV = 0) AND Failed (with variation: CV &gt; 0) | Different Means", "Group 4: Flaky | Passed (with variation: CV &gt; 0) AND Failed (no variation: CV = 0) | Different Means"))), IF(AND(IFERROR(ROUND(V191,8),0)=0, IFERROR(ROUND(Y191,8),0)=0), "Group 5: Flaky | Passed (no var CV = 0) AND Failed (no var CV = 0) | Equal Means", IF(AND(IFERROR(ROUND(V191,8),0)&gt;0, IFERROR(ROUND(Y191,8),0)&gt;0), "Group 6: Flaky | Passed (with var CV &gt; 0) AND Failed (with var CV &gt; 0) | Equal Means", IF(AND(IFERROR(ROUND(V191,8),0)=0, IFERROR(ROUND(Y191,8),0)&gt;0),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1" s="29" t="n">
        <v>0.274608</v>
      </c>
      <c r="AB191" s="29" t="n">
        <v>0.016177</v>
      </c>
      <c r="AC191" s="29" t="n">
        <f aca="false">IFERROR(AB191/AA191*100,"N/A")</f>
        <v>5.89094272563072</v>
      </c>
      <c r="AD191" s="29" t="n">
        <v>0.282426</v>
      </c>
      <c r="AE191" s="29" t="n">
        <v>0.0115</v>
      </c>
      <c r="AF191" s="29" t="n">
        <f aca="false">IFERROR(AE191/AD191*100,"N/A")</f>
        <v>4.07186307209676</v>
      </c>
      <c r="AG191" s="36" t="str">
        <f aca="false">IF(AND(Q191&gt;0, R191=0), IF(IFERROR(ROUND(AC191,8),0)=0, "Group 9: Only Passed | Without variation (no var CV = 0)", "Group 10: Only Passed | With variation (with var CV &gt; 0)"), IF(AND(Q191=0, R191&gt;0), IF(IFERROR(ROUND(AF191,8),0)=0, "Group 11: Only Failed | Without variation (no var CV = 0)", "Group 12: Only Failed | With variation (with var CV &gt; 0)"), IF(AND(Q191&gt;0, R191&gt;0), IF(ROUND(AA191,5)&lt;&gt;ROUND(AD191,5), IF(AND(IFERROR(ROUND(AC191,8),0)=0, IFERROR(ROUND(AF191,8),0)=0), "Group 1: Flaky | Passed (no variation: CV = 0) AND Failed (no variation: CV = 0) | Different Means", IF(AND(IFERROR(ROUND(AC191,8),0)&gt;0, IFERROR(ROUND(AF191,8),0)&gt;0), "Group 2: Flaky | Passed (with variation: CV &gt; 0) AND Failed (with variation: CV &gt; 0) | Different Means", IF(AND(IFERROR(ROUND(AC191,8),0)=0, IFERROR(ROUND(AF191,8),0)&gt;0), "Group 3: Flaky | Passed (no variation: CV = 0) AND Failed (with variation: CV &gt; 0) | Different Means", "Group 4: Flaky | Passed (with variation: CV &gt; 0) AND Failed (no variation: CV = 0) | Different Means"))), IF(AND(IFERROR(ROUND(AC191,8),0)=0, IFERROR(ROUND(AF191,8),0)=0), "Group 5: Flaky | Passed (no var CV = 0) AND Failed (no var CV = 0) | Equal Means", IF(AND(IFERROR(ROUND(AC191,8),0)&gt;0, IFERROR(ROUND(AF191,8),0)&gt;0), "Group 6: Flaky | Passed (with var CV &gt; 0) AND Failed (with var CV &gt; 0) | Equal Means", IF(AND(IFERROR(ROUND(AC191,8),0)=0, IFERROR(ROUND(AF191,8),0)&gt;0),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1" s="22" t="n">
        <v>75</v>
      </c>
      <c r="AI191" s="17" t="n">
        <v>25</v>
      </c>
      <c r="AJ191" s="39" t="str">
        <f aca="false">IF(AND(AH191&gt;0, AI191&gt;0), "Observed Flaky Test", "Non-observed Flaky Test")</f>
        <v>Observed Flaky Test</v>
      </c>
      <c r="AK191" s="72" t="n">
        <v>1693254.34666666</v>
      </c>
      <c r="AL191" s="20" t="n">
        <v>24701.4869808962</v>
      </c>
      <c r="AM191" s="33" t="n">
        <f aca="false">IFERROR(AL191/AK191*100,"N/A")</f>
        <v>1.45881727866363</v>
      </c>
      <c r="AN191" s="90" t="n">
        <v>1676512.2</v>
      </c>
      <c r="AO191" s="20" t="n">
        <v>15176.7207563645</v>
      </c>
      <c r="AP191" s="35" t="n">
        <f aca="false">IFERROR(AO191/AN191*100,"N/A")</f>
        <v>0.905255610807037</v>
      </c>
      <c r="AQ191" s="63" t="str">
        <f aca="false">IF(AND(AH191&gt;0, AI191&gt;0),
    IF(ROUND(N(AK191),5)&lt;&gt;ROUND(N(AN191),5),
        IF(AND(ROUND(N(AL191),8)=0, ROUND(N(AO191),8)=0), "Group 1: Flaky | Passed (no variation: SD = 0) AND Failed (no variation: SD = 0) | Different Means",
        IF(AND(ROUND(N(AL191),8)&gt;0, ROUND(N(AO191),8)&gt;0), "Group 2: Flaky | Passed (with variation: SD &gt; 0) AND Failed (with variation: SD &gt; 0) | Different Means",
        IF(AND(ROUND(N(AL191),8)=0, ROUND(N(AO191),8)&gt;0), "Group 3: Flaky | Passed (no variation: SD = 0) AND Failed (with variation: SD &gt; 0) | Different Means",
        "Group 4: Flaky | Passed (with variation: SD &gt; 0) AND Failed (no variation: SD = 0) | Different Means"))),
        IF(AND(ROUND(N(AL191),8)=0, ROUND(N(AO191),8)=0), "Group 5: Flaky | Passed (no var SD = 0) AND Failed (no var SD = 0) | Equal Means",
        IF(AND(ROUND(N(AL191),8)&gt;0, ROUND(N(AO191),8)&gt;0), "Group 6: Flaky | Passed (with var SD &gt; 0 ) AND Failed (with var SD &gt; 0) | Equal Means",
        IF(AND(ROUND(N(AL191),8)=0, ROUND(N(AO191),8)&gt;0), "Group 7: Flaky | Passed (no var SD = 0) AND Failed (with var SD &gt; 0) | Equal Means",
        "Group 8: Flaky | Passed (with var SD &gt; 0 ) AND Failed (no var SD = 0) | Equal Means")))
    ),
    IF(AH191&gt;0,
        IF(N(AL191)&gt;0, "Group 10: Only Passed | With variation (with var SD &gt; 0)", "Group 9: Only Passed | Without variation (no var SD = 0)"),
        IF(AI191&gt;0,
            IF(N(AO191)&gt;0,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91" s="42" t="str">
        <f aca="false">IF(OR(F191="Observed Flaky Test", I191="Observed Flaky Test", S191="Observed Flaky Test", AJ191="Observed Flaky Test"), "Observed Flaky Test", "Non-observed Flaky Test")</f>
        <v>Observed Flaky Test</v>
      </c>
    </row>
    <row r="192" customFormat="false" ht="15.75" hidden="false" customHeight="true" outlineLevel="0" collapsed="false">
      <c r="A192" s="81" t="s">
        <v>448</v>
      </c>
      <c r="B192" s="14" t="s">
        <v>449</v>
      </c>
      <c r="C192" s="14" t="s">
        <v>450</v>
      </c>
      <c r="D192" s="15" t="n">
        <v>99</v>
      </c>
      <c r="E192" s="15" t="n">
        <v>1</v>
      </c>
      <c r="F192" s="61" t="str">
        <f aca="false">IF(AND(D192&gt;0, E192&gt;0), "Observed Flaky Test", "Non-observed Flaky Test")</f>
        <v>Observed Flaky Test</v>
      </c>
      <c r="G192" s="22" t="n">
        <v>99</v>
      </c>
      <c r="H192" s="22" t="n">
        <v>1</v>
      </c>
      <c r="I192" s="61" t="str">
        <f aca="false">IF(AND(G192&gt;0, H192&gt;0), "Observed Flaky Test", "Non-observed Flaky Test")</f>
        <v>Observed Flaky Test</v>
      </c>
      <c r="J192" s="18" t="n">
        <v>60.16</v>
      </c>
      <c r="K192" s="18" t="n">
        <v>0</v>
      </c>
      <c r="L192" s="19" t="n">
        <f aca="false">IFERROR(K192/J192*100,"N/A")</f>
        <v>0</v>
      </c>
      <c r="M192" s="18" t="n">
        <v>60.16</v>
      </c>
      <c r="N192" s="18" t="n">
        <v>0</v>
      </c>
      <c r="O192" s="20" t="n">
        <f aca="false">IFERROR(N192/M192*100,"N/A")</f>
        <v>0</v>
      </c>
      <c r="P192" s="92" t="str">
        <f aca="false">IF(AND(G192&gt;0, H192=0), IF(ROUND(K192,8)=0, "Group 9: Only Passed | Without variation (SD Passed = 0)", "Group 10: Only Passed | With variation (SD Passed &gt; 0)"), IF(AND(G192=0, H192&gt;0), IF(ROUND(N192,8)=0, "Group 11: Only Failed | Without variation (SD Failed = 0)", "Group 12: Only Failed | With variation (SD Failed &gt; 0)"), IF(AND(G192&gt;0, H192&gt;0), IF(ROUND(J192,5)&lt;&gt;ROUND(M192,5), IF(AND(ROUND(K192,8)=0, ROUND(N192,8)=0), "Group 1: Flaky | Passed (no variation) AND Failed (no variation) | Different Means", IF(AND(ROUND(K192,8)&gt;0, ROUND(N192,8)&gt;0), "Group 2: Flaky | Passed (with variation) AND Failed (with variation) | Different Means", IF(AND(ROUND(K192,8)=0, ROUND(N192,8)&gt;0), "Group 3: Flaky | Passed (no variation) AND Failed (with variation) | Different Means", "Group 4: Flaky | Passed (with variation) AND Failed (no variation) | Different Means"))), IF(AND(ROUND(K192,8)=0, ROUND(N192,8)=0), "Group 5: Flaky | Passed (no variation) AND Failed (no variation) | Equal Means", IF(AND(ROUND(K192,8)&gt;0, ROUND(N192,8)&gt;0), "Group 6: Flaky | Passed (with variation) AND Failed (with variation) | Equal Means", IF(AND(ROUND(K192,8)=0, ROUND(N192,8)&gt;0),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92" s="17" t="n">
        <v>98</v>
      </c>
      <c r="R192" s="17" t="n">
        <v>2</v>
      </c>
      <c r="S192" s="43" t="str">
        <f aca="false">IF(AND(Q192&gt;0, R192&gt;0), "Observed Flaky Test", "Non-observed Flaky Test")</f>
        <v>Observed Flaky Test</v>
      </c>
      <c r="T192" s="24" t="n">
        <v>400992.704082</v>
      </c>
      <c r="U192" s="26" t="n">
        <v>15.937513</v>
      </c>
      <c r="V192" s="25" t="n">
        <f aca="false">IFERROR(U192/T192*100,"N/A")</f>
        <v>0.00397451445818348</v>
      </c>
      <c r="W192" s="55" t="n">
        <v>503476</v>
      </c>
      <c r="X192" s="24" t="n">
        <v>2.828427</v>
      </c>
      <c r="Y192" s="27" t="n">
        <f aca="false">IFERROR(X192/W192*100,"N/A")</f>
        <v>0.000561779906092843</v>
      </c>
      <c r="Z192" s="68" t="str">
        <f aca="false">IF(AND(Q192&gt;0, R192=0), IF(IFERROR(ROUND(V192,8),0)=0, "Group 9: Only Passed | Without variation (no var CV = 0)", "Group 10: Only Passed | With variation (with var CV &gt; 0)"), IF(AND(Q192=0, R192&gt;0), IF(IFERROR(ROUND(Y192,8),0)=0, "Group 11: Only Failed | Without variation (no var CV = 0)", "Group 12: Only Failed | With variation (with var CV &gt; 0)"), IF(AND(Q192&gt;0, R192&gt;0), IF(ROUND(T192,5)&lt;&gt;ROUND(W192,5), IF(AND(IFERROR(ROUND(V192,8),0)=0, IFERROR(ROUND(Y192,8),0)=0), "Group 1: Flaky | Passed (no variation: CV = 0) AND Failed (no variation: CV = 0) | Different Means", IF(AND(IFERROR(ROUND(V192,8),0)&gt;0, IFERROR(ROUND(Y192,8),0)&gt;0), "Group 2: Flaky | Passed (with variation: CV &gt; 0) AND Failed (with variation: CV &gt; 0) | Different Means", IF(AND(IFERROR(ROUND(V192,8),0)=0, IFERROR(ROUND(Y192,8),0)&gt;0), "Group 3: Flaky | Passed (no variation: CV = 0) AND Failed (with variation: CV &gt; 0) | Different Means", "Group 4: Flaky | Passed (with variation: CV &gt; 0) AND Failed (no variation: CV = 0) | Different Means"))), IF(AND(IFERROR(ROUND(V192,8),0)=0, IFERROR(ROUND(Y192,8),0)=0), "Group 5: Flaky | Passed (no var CV = 0) AND Failed (no var CV = 0) | Equal Means", IF(AND(IFERROR(ROUND(V192,8),0)&gt;0, IFERROR(ROUND(Y192,8),0)&gt;0), "Group 6: Flaky | Passed (with var CV &gt; 0) AND Failed (with var CV &gt; 0) | Equal Means", IF(AND(IFERROR(ROUND(V192,8),0)=0, IFERROR(ROUND(Y192,8),0)&gt;0),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2" s="29" t="n">
        <v>0.32191</v>
      </c>
      <c r="AB192" s="29" t="n">
        <v>0.019279</v>
      </c>
      <c r="AC192" s="29" t="n">
        <f aca="false">IFERROR(AB192/AA192*100,"N/A")</f>
        <v>5.98894100835637</v>
      </c>
      <c r="AD192" s="29" t="n">
        <v>0.329238</v>
      </c>
      <c r="AE192" s="29" t="n">
        <v>0.004608</v>
      </c>
      <c r="AF192" s="29" t="n">
        <f aca="false">IFERROR(AE192/AD192*100,"N/A")</f>
        <v>1.39959542944618</v>
      </c>
      <c r="AG192" s="36" t="str">
        <f aca="false">IF(AND(Q192&gt;0, R192=0), IF(IFERROR(ROUND(AC192,8),0)=0, "Group 9: Only Passed | Without variation (no var CV = 0)", "Group 10: Only Passed | With variation (with var CV &gt; 0)"), IF(AND(Q192=0, R192&gt;0), IF(IFERROR(ROUND(AF192,8),0)=0, "Group 11: Only Failed | Without variation (no var CV = 0)", "Group 12: Only Failed | With variation (with var CV &gt; 0)"), IF(AND(Q192&gt;0, R192&gt;0), IF(ROUND(AA192,5)&lt;&gt;ROUND(AD192,5), IF(AND(IFERROR(ROUND(AC192,8),0)=0, IFERROR(ROUND(AF192,8),0)=0), "Group 1: Flaky | Passed (no variation: CV = 0) AND Failed (no variation: CV = 0) | Different Means", IF(AND(IFERROR(ROUND(AC192,8),0)&gt;0, IFERROR(ROUND(AF192,8),0)&gt;0), "Group 2: Flaky | Passed (with variation: CV &gt; 0) AND Failed (with variation: CV &gt; 0) | Different Means", IF(AND(IFERROR(ROUND(AC192,8),0)=0, IFERROR(ROUND(AF192,8),0)&gt;0), "Group 3: Flaky | Passed (no variation: CV = 0) AND Failed (with variation: CV &gt; 0) | Different Means", "Group 4: Flaky | Passed (with variation: CV &gt; 0) AND Failed (no variation: CV = 0) | Different Means"))), IF(AND(IFERROR(ROUND(AC192,8),0)=0, IFERROR(ROUND(AF192,8),0)=0), "Group 5: Flaky | Passed (no var CV = 0) AND Failed (no var CV = 0) | Equal Means", IF(AND(IFERROR(ROUND(AC192,8),0)&gt;0, IFERROR(ROUND(AF192,8),0)&gt;0), "Group 6: Flaky | Passed (with var CV &gt; 0) AND Failed (with var CV &gt; 0) | Equal Means", IF(AND(IFERROR(ROUND(AC192,8),0)=0, IFERROR(ROUND(AF192,8),0)&gt;0),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2" s="22" t="n">
        <v>100</v>
      </c>
      <c r="AI192" s="17" t="n">
        <v>0</v>
      </c>
      <c r="AJ192" s="31" t="str">
        <f aca="false">IF(AND(AH192&gt;0, AI192&gt;0), "Observed Flaky Test", "Non-observed Flaky Test")</f>
        <v>Non-observed Flaky Test</v>
      </c>
      <c r="AK192" s="90" t="n">
        <v>699</v>
      </c>
      <c r="AL192" s="90" t="n">
        <v>0</v>
      </c>
      <c r="AM192" s="33" t="n">
        <f aca="false">IFERROR(AL192/AK192*100,"N/A")</f>
        <v>0</v>
      </c>
      <c r="AN192" s="90" t="n">
        <v>0</v>
      </c>
      <c r="AO192" s="90" t="n">
        <v>0</v>
      </c>
      <c r="AP192" s="35" t="str">
        <f aca="false">IFERROR(AO192/AN192*100,"N/A")</f>
        <v>N/A</v>
      </c>
      <c r="AQ192" s="45" t="str">
        <f aca="false">IF(AND(AH192&gt;0, AI192&gt;0),
    IF(ROUND(N(AK192),5)&lt;&gt;ROUND(N(AN192),5),
        IF(AND(ROUND(N(AL192),8)=0, ROUND(N(AO192),8)=0), "Group 1: Flaky | Passed (no variation: SD = 0) AND Failed (no variation: SD = 0) | Different Means",
        IF(AND(ROUND(N(AL192),8)&gt;0, ROUND(N(AO192),8)&gt;0), "Group 2: Flaky | Passed (with variation: SD &gt; 0) AND Failed (with variation: SD &gt; 0) | Different Means",
        IF(AND(ROUND(N(AL192),8)=0, ROUND(N(AO192),8)&gt;0), "Group 3: Flaky | Passed (no variation: SD = 0) AND Failed (with variation: SD &gt; 0) | Different Means",
        "Group 4: Flaky | Passed (with variation: SD &gt; 0) AND Failed (no variation: SD = 0) | Different Means"))),
        IF(AND(ROUND(N(AL192),8)=0, ROUND(N(AO192),8)=0), "Group 5: Flaky | Passed (no var SD = 0) AND Failed (no var SD = 0) | Equal Means",
        IF(AND(ROUND(N(AL192),8)&gt;0, ROUND(N(AO192),8)&gt;0), "Group 6: Flaky | Passed (with var SD &gt; 0 ) AND Failed (with var SD &gt; 0) | Equal Means",
        IF(AND(ROUND(N(AL192),8)=0, ROUND(N(AO192),8)&gt;0), "Group 7: Flaky | Passed (no var SD = 0) AND Failed (with var SD &gt; 0) | Equal Means",
        "Group 8: Flaky | Passed (with var SD &gt; 0 ) AND Failed (no var SD = 0) | Equal Means")))
    ),
    IF(AH192&gt;0,
        IF(N(AL192)&gt;0, "Group 10: Only Passed | With variation (with var SD &gt; 0)", "Group 9: Only Passed | Without variation (no var SD = 0)"),
        IF(AI192&gt;0,
            IF(N(AO192)&gt;0,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192" s="42" t="str">
        <f aca="false">IF(OR(F192="Observed Flaky Test", I192="Observed Flaky Test", S192="Observed Flaky Test", AJ192="Observed Flaky Test"), "Observed Flaky Test", "Non-observed Flaky Test")</f>
        <v>Observed Flaky Test</v>
      </c>
    </row>
    <row r="193" customFormat="false" ht="39" hidden="false" customHeight="true" outlineLevel="0" collapsed="false">
      <c r="A193" s="81" t="s">
        <v>451</v>
      </c>
      <c r="B193" s="14" t="s">
        <v>452</v>
      </c>
      <c r="C193" s="14" t="s">
        <v>453</v>
      </c>
      <c r="D193" s="15" t="n">
        <v>100</v>
      </c>
      <c r="E193" s="15" t="n">
        <v>0</v>
      </c>
      <c r="F193" s="16" t="str">
        <f aca="false">IF(AND(D193&gt;0, E193&gt;0), "Observed Flaky Test", "Non-observed Flaky Test")</f>
        <v>Non-observed Flaky Test</v>
      </c>
      <c r="G193" s="22" t="n">
        <v>94</v>
      </c>
      <c r="H193" s="22" t="n">
        <v>6</v>
      </c>
      <c r="I193" s="61" t="str">
        <f aca="false">IF(AND(G193&gt;0, H193&gt;0), "Observed Flaky Test", "Non-observed Flaky Test")</f>
        <v>Observed Flaky Test</v>
      </c>
      <c r="J193" s="53" t="n">
        <v>48.333723</v>
      </c>
      <c r="K193" s="53" t="n">
        <v>0.217207</v>
      </c>
      <c r="L193" s="19" t="n">
        <f aca="false">IFERROR(K193/J193*100,"N/A")</f>
        <v>0.449390170088905</v>
      </c>
      <c r="M193" s="53" t="n">
        <v>49.096667</v>
      </c>
      <c r="N193" s="53" t="n">
        <v>1.594727</v>
      </c>
      <c r="O193" s="20" t="n">
        <f aca="false">IFERROR(N193/M193*100,"N/A")</f>
        <v>3.24813698656978</v>
      </c>
      <c r="P193" s="62" t="str">
        <f aca="false">IF(AND(G193&gt;0, H193=0), IF(ROUND(K193,8)=0, "Group 9: Only Passed | Without variation (SD Passed = 0)", "Group 10: Only Passed | With variation (SD Passed &gt; 0)"), IF(AND(G193=0, H193&gt;0), IF(ROUND(N193,8)=0, "Group 11: Only Failed | Without variation (SD Failed = 0)", "Group 12: Only Failed | With variation (SD Failed &gt; 0)"), IF(AND(G193&gt;0, H193&gt;0), IF(ROUND(J193,5)&lt;&gt;ROUND(M193,5), IF(AND(ROUND(K193,8)=0, ROUND(N193,8)=0), "Group 1: Flaky | Passed (no variation) AND Failed (no variation) | Different Means", IF(AND(ROUND(K193,8)&gt;0, ROUND(N193,8)&gt;0), "Group 2: Flaky | Passed (with variation) AND Failed (with variation) | Different Means", IF(AND(ROUND(K193,8)=0, ROUND(N193,8)&gt;0), "Group 3: Flaky | Passed (no variation) AND Failed (with variation) | Different Means", "Group 4: Flaky | Passed (with variation) AND Failed (no variation) | Different Means"))), IF(AND(ROUND(K193,8)=0, ROUND(N193,8)=0), "Group 5: Flaky | Passed (no variation) AND Failed (no variation) | Equal Means", IF(AND(ROUND(K193,8)&gt;0, ROUND(N193,8)&gt;0), "Group 6: Flaky | Passed (with variation) AND Failed (with variation) | Equal Means", IF(AND(ROUND(K193,8)=0, ROUND(N193,8)&gt;0),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93" s="17" t="n">
        <v>93</v>
      </c>
      <c r="R193" s="17" t="n">
        <v>7</v>
      </c>
      <c r="S193" s="43" t="str">
        <f aca="false">IF(AND(Q193&gt;0, R193&gt;0), "Observed Flaky Test", "Non-observed Flaky Test")</f>
        <v>Observed Flaky Test</v>
      </c>
      <c r="T193" s="24" t="n">
        <v>450961.258065</v>
      </c>
      <c r="U193" s="26" t="n">
        <v>715.829724</v>
      </c>
      <c r="V193" s="25" t="n">
        <f aca="false">IFERROR(U193/T193*100,"N/A")</f>
        <v>0.158734195276886</v>
      </c>
      <c r="W193" s="24" t="n">
        <v>1182374.714286</v>
      </c>
      <c r="X193" s="26" t="n">
        <v>4875.96892</v>
      </c>
      <c r="Y193" s="27" t="n">
        <f aca="false">IFERROR(X193/W193*100,"N/A")</f>
        <v>0.412387787144488</v>
      </c>
      <c r="Z193" s="68" t="str">
        <f aca="false">IF(AND(Q193&gt;0, R193=0), IF(IFERROR(ROUND(V193,8),0)=0, "Group 9: Only Passed | Without variation (no var CV = 0)", "Group 10: Only Passed | With variation (with var CV &gt; 0)"), IF(AND(Q193=0, R193&gt;0), IF(IFERROR(ROUND(Y193,8),0)=0, "Group 11: Only Failed | Without variation (no var CV = 0)", "Group 12: Only Failed | With variation (with var CV &gt; 0)"), IF(AND(Q193&gt;0, R193&gt;0), IF(ROUND(T193,5)&lt;&gt;ROUND(W193,5), IF(AND(IFERROR(ROUND(V193,8),0)=0, IFERROR(ROUND(Y193,8),0)=0), "Group 1: Flaky | Passed (no variation: CV = 0) AND Failed (no variation: CV = 0) | Different Means", IF(AND(IFERROR(ROUND(V193,8),0)&gt;0, IFERROR(ROUND(Y193,8),0)&gt;0), "Group 2: Flaky | Passed (with variation: CV &gt; 0) AND Failed (with variation: CV &gt; 0) | Different Means", IF(AND(IFERROR(ROUND(V193,8),0)=0, IFERROR(ROUND(Y193,8),0)&gt;0), "Group 3: Flaky | Passed (no variation: CV = 0) AND Failed (with variation: CV &gt; 0) | Different Means", "Group 4: Flaky | Passed (with variation: CV &gt; 0) AND Failed (no variation: CV = 0) | Different Means"))), IF(AND(IFERROR(ROUND(V193,8),0)=0, IFERROR(ROUND(Y193,8),0)=0), "Group 5: Flaky | Passed (no var CV = 0) AND Failed (no var CV = 0) | Equal Means", IF(AND(IFERROR(ROUND(V193,8),0)&gt;0, IFERROR(ROUND(Y193,8),0)&gt;0), "Group 6: Flaky | Passed (with var CV &gt; 0) AND Failed (with var CV &gt; 0) | Equal Means", IF(AND(IFERROR(ROUND(V193,8),0)=0, IFERROR(ROUND(Y193,8),0)&gt;0),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3" s="29" t="n">
        <v>23.419929</v>
      </c>
      <c r="AB193" s="29" t="n">
        <v>0.313075</v>
      </c>
      <c r="AC193" s="29" t="n">
        <f aca="false">IFERROR(AB193/AA193*100,"N/A")</f>
        <v>1.3367888519218</v>
      </c>
      <c r="AD193" s="29" t="n">
        <v>12.910741</v>
      </c>
      <c r="AE193" s="29" t="n">
        <v>4.842521</v>
      </c>
      <c r="AF193" s="29" t="n">
        <f aca="false">IFERROR(AE193/AD193*100,"N/A")</f>
        <v>37.5076922385787</v>
      </c>
      <c r="AG193" s="36" t="str">
        <f aca="false">IF(AND(Q193&gt;0, R193=0), IF(IFERROR(ROUND(AC193,8),0)=0, "Group 9: Only Passed | Without variation (no var CV = 0)", "Group 10: Only Passed | With variation (with var CV &gt; 0)"), IF(AND(Q193=0, R193&gt;0), IF(IFERROR(ROUND(AF193,8),0)=0, "Group 11: Only Failed | Without variation (no var CV = 0)", "Group 12: Only Failed | With variation (with var CV &gt; 0)"), IF(AND(Q193&gt;0, R193&gt;0), IF(ROUND(AA193,5)&lt;&gt;ROUND(AD193,5), IF(AND(IFERROR(ROUND(AC193,8),0)=0, IFERROR(ROUND(AF193,8),0)=0), "Group 1: Flaky | Passed (no variation: CV = 0) AND Failed (no variation: CV = 0) | Different Means", IF(AND(IFERROR(ROUND(AC193,8),0)&gt;0, IFERROR(ROUND(AF193,8),0)&gt;0), "Group 2: Flaky | Passed (with variation: CV &gt; 0) AND Failed (with variation: CV &gt; 0) | Different Means", IF(AND(IFERROR(ROUND(AC193,8),0)=0, IFERROR(ROUND(AF193,8),0)&gt;0), "Group 3: Flaky | Passed (no variation: CV = 0) AND Failed (with variation: CV &gt; 0) | Different Means", "Group 4: Flaky | Passed (with variation: CV &gt; 0) AND Failed (no variation: CV = 0) | Different Means"))), IF(AND(IFERROR(ROUND(AC193,8),0)=0, IFERROR(ROUND(AF193,8),0)=0), "Group 5: Flaky | Passed (no var CV = 0) AND Failed (no var CV = 0) | Equal Means", IF(AND(IFERROR(ROUND(AC193,8),0)&gt;0, IFERROR(ROUND(AF193,8),0)&gt;0), "Group 6: Flaky | Passed (with var CV &gt; 0) AND Failed (with var CV &gt; 0) | Equal Means", IF(AND(IFERROR(ROUND(AC193,8),0)=0, IFERROR(ROUND(AF193,8),0)&gt;0),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3" s="22" t="n">
        <v>95</v>
      </c>
      <c r="AI193" s="17" t="n">
        <v>5</v>
      </c>
      <c r="AJ193" s="39" t="str">
        <f aca="false">IF(AND(AH193&gt;0, AI193&gt;0), "Observed Flaky Test", "Non-observed Flaky Test")</f>
        <v>Observed Flaky Test</v>
      </c>
      <c r="AK193" s="20" t="n">
        <v>76797.8210526315</v>
      </c>
      <c r="AL193" s="94" t="n">
        <v>355.147526402083</v>
      </c>
      <c r="AM193" s="33" t="n">
        <f aca="false">IFERROR(AL193/AK193*100,"N/A")</f>
        <v>0.462444795352581</v>
      </c>
      <c r="AN193" s="90" t="n">
        <v>28397.4</v>
      </c>
      <c r="AO193" s="20" t="n">
        <v>16613.5919746453</v>
      </c>
      <c r="AP193" s="35" t="n">
        <f aca="false">IFERROR(AO193/AN193*100,"N/A")</f>
        <v>58.5039192836151</v>
      </c>
      <c r="AQ193" s="63" t="str">
        <f aca="false">IF(AND(AH193&gt;0, AI193&gt;0),
    IF(ROUND(N(AK193),5)&lt;&gt;ROUND(N(AN193),5),
        IF(AND(ROUND(N(AL193),8)=0, ROUND(N(AO193),8)=0), "Group 1: Flaky | Passed (no variation: SD = 0) AND Failed (no variation: SD = 0) | Different Means",
        IF(AND(ROUND(N(AL193),8)&gt;0, ROUND(N(AO193),8)&gt;0), "Group 2: Flaky | Passed (with variation: SD &gt; 0) AND Failed (with variation: SD &gt; 0) | Different Means",
        IF(AND(ROUND(N(AL193),8)=0, ROUND(N(AO193),8)&gt;0), "Group 3: Flaky | Passed (no variation: SD = 0) AND Failed (with variation: SD &gt; 0) | Different Means",
        "Group 4: Flaky | Passed (with variation: SD &gt; 0) AND Failed (no variation: SD = 0) | Different Means"))),
        IF(AND(ROUND(N(AL193),8)=0, ROUND(N(AO193),8)=0), "Group 5: Flaky | Passed (no var SD = 0) AND Failed (no var SD = 0) | Equal Means",
        IF(AND(ROUND(N(AL193),8)&gt;0, ROUND(N(AO193),8)&gt;0), "Group 6: Flaky | Passed (with var SD &gt; 0 ) AND Failed (with var SD &gt; 0) | Equal Means",
        IF(AND(ROUND(N(AL193),8)=0, ROUND(N(AO193),8)&gt;0), "Group 7: Flaky | Passed (no var SD = 0) AND Failed (with var SD &gt; 0) | Equal Means",
        "Group 8: Flaky | Passed (with var SD &gt; 0 ) AND Failed (no var SD = 0) | Equal Means")))
    ),
    IF(AH193&gt;0,
        IF(N(AL193)&gt;0, "Group 10: Only Passed | With variation (with var SD &gt; 0)", "Group 9: Only Passed | Without variation (no var SD = 0)"),
        IF(AI193&gt;0,
            IF(N(AO193)&gt;0,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93" s="42" t="str">
        <f aca="false">IF(OR(F193="Observed Flaky Test", I193="Observed Flaky Test", S193="Observed Flaky Test", AJ193="Observed Flaky Test"), "Observed Flaky Test", "Non-observed Flaky Test")</f>
        <v>Observed Flaky Test</v>
      </c>
    </row>
    <row r="194" customFormat="false" ht="15.75" hidden="false" customHeight="true" outlineLevel="0" collapsed="false">
      <c r="A194" s="81"/>
      <c r="B194" s="14" t="s">
        <v>454</v>
      </c>
      <c r="C194" s="14" t="s">
        <v>455</v>
      </c>
      <c r="D194" s="15" t="n">
        <v>100</v>
      </c>
      <c r="E194" s="15" t="n">
        <v>0</v>
      </c>
      <c r="F194" s="16" t="str">
        <f aca="false">IF(AND(D194&gt;0, E194&gt;0), "Observed Flaky Test", "Non-observed Flaky Test")</f>
        <v>Non-observed Flaky Test</v>
      </c>
      <c r="G194" s="22" t="n">
        <v>93</v>
      </c>
      <c r="H194" s="22" t="n">
        <v>7</v>
      </c>
      <c r="I194" s="61" t="str">
        <f aca="false">IF(AND(G194&gt;0, H194&gt;0), "Observed Flaky Test", "Non-observed Flaky Test")</f>
        <v>Observed Flaky Test</v>
      </c>
      <c r="J194" s="53" t="n">
        <v>48.339247</v>
      </c>
      <c r="K194" s="53" t="n">
        <v>0.212037</v>
      </c>
      <c r="L194" s="19" t="n">
        <f aca="false">IFERROR(K194/J194*100,"N/A")</f>
        <v>0.438643572581923</v>
      </c>
      <c r="M194" s="18" t="n">
        <v>49.22</v>
      </c>
      <c r="N194" s="53" t="n">
        <v>1.561986</v>
      </c>
      <c r="O194" s="20" t="n">
        <f aca="false">IFERROR(N194/M194*100,"N/A")</f>
        <v>3.17347826086957</v>
      </c>
      <c r="P194" s="62" t="str">
        <f aca="false">IF(AND(G194&gt;0, H194=0), IF(ROUND(K194,8)=0, "Group 9: Only Passed | Without variation (SD Passed = 0)", "Group 10: Only Passed | With variation (SD Passed &gt; 0)"), IF(AND(G194=0, H194&gt;0), IF(ROUND(N194,8)=0, "Group 11: Only Failed | Without variation (SD Failed = 0)", "Group 12: Only Failed | With variation (SD Failed &gt; 0)"), IF(AND(G194&gt;0, H194&gt;0), IF(ROUND(J194,5)&lt;&gt;ROUND(M194,5), IF(AND(ROUND(K194,8)=0, ROUND(N194,8)=0), "Group 1: Flaky | Passed (no variation) AND Failed (no variation) | Different Means", IF(AND(ROUND(K194,8)&gt;0, ROUND(N194,8)&gt;0), "Group 2: Flaky | Passed (with variation) AND Failed (with variation) | Different Means", IF(AND(ROUND(K194,8)=0, ROUND(N194,8)&gt;0), "Group 3: Flaky | Passed (no variation) AND Failed (with variation) | Different Means", "Group 4: Flaky | Passed (with variation) AND Failed (no variation) | Different Means"))), IF(AND(ROUND(K194,8)=0, ROUND(N194,8)=0), "Group 5: Flaky | Passed (no variation) AND Failed (no variation) | Equal Means", IF(AND(ROUND(K194,8)&gt;0, ROUND(N194,8)&gt;0), "Group 6: Flaky | Passed (with variation) AND Failed (with variation) | Equal Means", IF(AND(ROUND(K194,8)=0, ROUND(N194,8)&gt;0),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194" s="17" t="n">
        <v>93</v>
      </c>
      <c r="R194" s="17" t="n">
        <v>7</v>
      </c>
      <c r="S194" s="43" t="str">
        <f aca="false">IF(AND(Q194&gt;0, R194&gt;0), "Observed Flaky Test", "Non-observed Flaky Test")</f>
        <v>Observed Flaky Test</v>
      </c>
      <c r="T194" s="24" t="n">
        <v>451222.967742</v>
      </c>
      <c r="U194" s="24" t="n">
        <v>616.884219</v>
      </c>
      <c r="V194" s="25" t="n">
        <f aca="false">IFERROR(U194/T194*100,"N/A")</f>
        <v>0.136713833980349</v>
      </c>
      <c r="W194" s="24" t="n">
        <v>1176157.285714</v>
      </c>
      <c r="X194" s="24" t="n">
        <v>6890.665225</v>
      </c>
      <c r="Y194" s="27" t="n">
        <f aca="false">IFERROR(X194/W194*100,"N/A")</f>
        <v>0.585862563510538</v>
      </c>
      <c r="Z194" s="68" t="str">
        <f aca="false">IF(AND(Q194&gt;0, R194=0), IF(IFERROR(ROUND(V194,8),0)=0, "Group 9: Only Passed | Without variation (no var CV = 0)", "Group 10: Only Passed | With variation (with var CV &gt; 0)"), IF(AND(Q194=0, R194&gt;0), IF(IFERROR(ROUND(Y194,8),0)=0, "Group 11: Only Failed | Without variation (no var CV = 0)", "Group 12: Only Failed | With variation (with var CV &gt; 0)"), IF(AND(Q194&gt;0, R194&gt;0), IF(ROUND(T194,5)&lt;&gt;ROUND(W194,5), IF(AND(IFERROR(ROUND(V194,8),0)=0, IFERROR(ROUND(Y194,8),0)=0), "Group 1: Flaky | Passed (no variation: CV = 0) AND Failed (no variation: CV = 0) | Different Means", IF(AND(IFERROR(ROUND(V194,8),0)&gt;0, IFERROR(ROUND(Y194,8),0)&gt;0), "Group 2: Flaky | Passed (with variation: CV &gt; 0) AND Failed (with variation: CV &gt; 0) | Different Means", IF(AND(IFERROR(ROUND(V194,8),0)=0, IFERROR(ROUND(Y194,8),0)&gt;0), "Group 3: Flaky | Passed (no variation: CV = 0) AND Failed (with variation: CV &gt; 0) | Different Means", "Group 4: Flaky | Passed (with variation: CV &gt; 0) AND Failed (no variation: CV = 0) | Different Means"))), IF(AND(IFERROR(ROUND(V194,8),0)=0, IFERROR(ROUND(Y194,8),0)=0), "Group 5: Flaky | Passed (no var CV = 0) AND Failed (no var CV = 0) | Equal Means", IF(AND(IFERROR(ROUND(V194,8),0)&gt;0, IFERROR(ROUND(Y194,8),0)&gt;0), "Group 6: Flaky | Passed (with var CV &gt; 0) AND Failed (with var CV &gt; 0) | Equal Means", IF(AND(IFERROR(ROUND(V194,8),0)=0, IFERROR(ROUND(Y194,8),0)&gt;0),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4" s="29" t="n">
        <v>23.494639</v>
      </c>
      <c r="AB194" s="29" t="n">
        <v>0.132091</v>
      </c>
      <c r="AC194" s="29" t="n">
        <f aca="false">IFERROR(AB194/AA194*100,"N/A")</f>
        <v>0.562217619091743</v>
      </c>
      <c r="AD194" s="29" t="n">
        <v>6.037308</v>
      </c>
      <c r="AE194" s="29" t="n">
        <v>7.487694</v>
      </c>
      <c r="AF194" s="29" t="n">
        <f aca="false">IFERROR(AE194/AD194*100,"N/A")</f>
        <v>124.023720505894</v>
      </c>
      <c r="AG194" s="36" t="str">
        <f aca="false">IF(AND(Q194&gt;0, R194=0), IF(IFERROR(ROUND(AC194,8),0)=0, "Group 9: Only Passed | Without variation (no var CV = 0)", "Group 10: Only Passed | With variation (with var CV &gt; 0)"), IF(AND(Q194=0, R194&gt;0), IF(IFERROR(ROUND(AF194,8),0)=0, "Group 11: Only Failed | Without variation (no var CV = 0)", "Group 12: Only Failed | With variation (with var CV &gt; 0)"), IF(AND(Q194&gt;0, R194&gt;0), IF(ROUND(AA194,5)&lt;&gt;ROUND(AD194,5), IF(AND(IFERROR(ROUND(AC194,8),0)=0, IFERROR(ROUND(AF194,8),0)=0), "Group 1: Flaky | Passed (no variation: CV = 0) AND Failed (no variation: CV = 0) | Different Means", IF(AND(IFERROR(ROUND(AC194,8),0)&gt;0, IFERROR(ROUND(AF194,8),0)&gt;0), "Group 2: Flaky | Passed (with variation: CV &gt; 0) AND Failed (with variation: CV &gt; 0) | Different Means", IF(AND(IFERROR(ROUND(AC194,8),0)=0, IFERROR(ROUND(AF194,8),0)&gt;0), "Group 3: Flaky | Passed (no variation: CV = 0) AND Failed (with variation: CV &gt; 0) | Different Means", "Group 4: Flaky | Passed (with variation: CV &gt; 0) AND Failed (no variation: CV = 0) | Different Means"))), IF(AND(IFERROR(ROUND(AC194,8),0)=0, IFERROR(ROUND(AF194,8),0)=0), "Group 5: Flaky | Passed (no var CV = 0) AND Failed (no var CV = 0) | Equal Means", IF(AND(IFERROR(ROUND(AC194,8),0)&gt;0, IFERROR(ROUND(AF194,8),0)&gt;0), "Group 6: Flaky | Passed (with var CV &gt; 0) AND Failed (with var CV &gt; 0) | Equal Means", IF(AND(IFERROR(ROUND(AC194,8),0)=0, IFERROR(ROUND(AF194,8),0)&gt;0),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4" s="22" t="n">
        <v>95</v>
      </c>
      <c r="AI194" s="17" t="n">
        <v>5</v>
      </c>
      <c r="AJ194" s="39" t="str">
        <f aca="false">IF(AND(AH194&gt;0, AI194&gt;0), "Observed Flaky Test", "Non-observed Flaky Test")</f>
        <v>Observed Flaky Test</v>
      </c>
      <c r="AK194" s="20" t="n">
        <v>76491.1368421052</v>
      </c>
      <c r="AL194" s="94" t="n">
        <v>363.208620976462</v>
      </c>
      <c r="AM194" s="33" t="n">
        <f aca="false">IFERROR(AL194/AK194*100,"N/A")</f>
        <v>0.474837524936001</v>
      </c>
      <c r="AN194" s="90" t="n">
        <v>55098.2</v>
      </c>
      <c r="AO194" s="20" t="n">
        <v>10825.9668251847</v>
      </c>
      <c r="AP194" s="35" t="n">
        <f aca="false">IFERROR(AO194/AN194*100,"N/A")</f>
        <v>19.6484945518814</v>
      </c>
      <c r="AQ194" s="63" t="str">
        <f aca="false">IF(AND(AH194&gt;0, AI194&gt;0),
    IF(ROUND(N(AK194),5)&lt;&gt;ROUND(N(AN194),5),
        IF(AND(ROUND(N(AL194),8)=0, ROUND(N(AO194),8)=0), "Group 1: Flaky | Passed (no variation: SD = 0) AND Failed (no variation: SD = 0) | Different Means",
        IF(AND(ROUND(N(AL194),8)&gt;0, ROUND(N(AO194),8)&gt;0), "Group 2: Flaky | Passed (with variation: SD &gt; 0) AND Failed (with variation: SD &gt; 0) | Different Means",
        IF(AND(ROUND(N(AL194),8)=0, ROUND(N(AO194),8)&gt;0), "Group 3: Flaky | Passed (no variation: SD = 0) AND Failed (with variation: SD &gt; 0) | Different Means",
        "Group 4: Flaky | Passed (with variation: SD &gt; 0) AND Failed (no variation: SD = 0) | Different Means"))),
        IF(AND(ROUND(N(AL194),8)=0, ROUND(N(AO194),8)=0), "Group 5: Flaky | Passed (no var SD = 0) AND Failed (no var SD = 0) | Equal Means",
        IF(AND(ROUND(N(AL194),8)&gt;0, ROUND(N(AO194),8)&gt;0), "Group 6: Flaky | Passed (with var SD &gt; 0 ) AND Failed (with var SD &gt; 0) | Equal Means",
        IF(AND(ROUND(N(AL194),8)=0, ROUND(N(AO194),8)&gt;0), "Group 7: Flaky | Passed (no var SD = 0) AND Failed (with var SD &gt; 0) | Equal Means",
        "Group 8: Flaky | Passed (with var SD &gt; 0 ) AND Failed (no var SD = 0) | Equal Means")))
    ),
    IF(AH194&gt;0,
        IF(N(AL194)&gt;0, "Group 10: Only Passed | With variation (with var SD &gt; 0)", "Group 9: Only Passed | Without variation (no var SD = 0)"),
        IF(AI194&gt;0,
            IF(N(AO194)&gt;0,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94" s="42" t="str">
        <f aca="false">IF(OR(F194="Observed Flaky Test", I194="Observed Flaky Test", S194="Observed Flaky Test", AJ194="Observed Flaky Test"), "Observed Flaky Test", "Non-observed Flaky Test")</f>
        <v>Observed Flaky Test</v>
      </c>
    </row>
    <row r="195" customFormat="false" ht="26.25" hidden="false" customHeight="true" outlineLevel="0" collapsed="false">
      <c r="A195" s="81" t="s">
        <v>456</v>
      </c>
      <c r="B195" s="14" t="s">
        <v>457</v>
      </c>
      <c r="C195" s="14" t="s">
        <v>458</v>
      </c>
      <c r="D195" s="15" t="n">
        <v>99</v>
      </c>
      <c r="E195" s="15" t="n">
        <v>1</v>
      </c>
      <c r="F195" s="61" t="str">
        <f aca="false">IF(AND(D195&gt;0, E195&gt;0), "Observed Flaky Test", "Non-observed Flaky Test")</f>
        <v>Observed Flaky Test</v>
      </c>
      <c r="G195" s="22" t="n">
        <v>99</v>
      </c>
      <c r="H195" s="22" t="n">
        <v>1</v>
      </c>
      <c r="I195" s="61" t="str">
        <f aca="false">IF(AND(G195&gt;0, H195&gt;0), "Observed Flaky Test", "Non-observed Flaky Test")</f>
        <v>Observed Flaky Test</v>
      </c>
      <c r="J195" s="18" t="n">
        <v>0.03</v>
      </c>
      <c r="K195" s="18" t="n">
        <v>0</v>
      </c>
      <c r="L195" s="19" t="n">
        <f aca="false">IFERROR(K195/J195*100,"N/A")</f>
        <v>0</v>
      </c>
      <c r="M195" s="18" t="n">
        <v>0.02</v>
      </c>
      <c r="N195" s="18" t="n">
        <v>0</v>
      </c>
      <c r="O195" s="20" t="n">
        <f aca="false">IFERROR(N195/M195*100,"N/A")</f>
        <v>0</v>
      </c>
      <c r="P195" s="78" t="str">
        <f aca="false">IF(AND(G195&gt;0, H195=0), IF(ROUND(K195,8)=0, "Group 9: Only Passed | Without variation (SD Passed = 0)", "Group 10: Only Passed | With variation (SD Passed &gt; 0)"), IF(AND(G195=0, H195&gt;0), IF(ROUND(N195,8)=0, "Group 11: Only Failed | Without variation (SD Failed = 0)", "Group 12: Only Failed | With variation (SD Failed &gt; 0)"), IF(AND(G195&gt;0, H195&gt;0), IF(ROUND(J195,5)&lt;&gt;ROUND(M195,5), IF(AND(ROUND(K195,8)=0, ROUND(N195,8)=0), "Group 1: Flaky | Passed (no variation) AND Failed (no variation) | Different Means", IF(AND(ROUND(K195,8)&gt;0, ROUND(N195,8)&gt;0), "Group 2: Flaky | Passed (with variation) AND Failed (with variation) | Different Means", IF(AND(ROUND(K195,8)=0, ROUND(N195,8)&gt;0), "Group 3: Flaky | Passed (no variation) AND Failed (with variation) | Different Means", "Group 4: Flaky | Passed (with variation) AND Failed (no variation) | Different Means"))), IF(AND(ROUND(K195,8)=0, ROUND(N195,8)=0), "Group 5: Flaky | Passed (no variation) AND Failed (no variation) | Equal Means", IF(AND(ROUND(K195,8)&gt;0, ROUND(N195,8)&gt;0), "Group 6: Flaky | Passed (with variation) AND Failed (with variation) | Equal Means", IF(AND(ROUND(K195,8)=0, ROUND(N195,8)&gt;0),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95" s="17" t="n">
        <v>98</v>
      </c>
      <c r="R195" s="17" t="n">
        <v>2</v>
      </c>
      <c r="S195" s="43" t="str">
        <f aca="false">IF(AND(Q195&gt;0, R195&gt;0), "Observed Flaky Test", "Non-observed Flaky Test")</f>
        <v>Observed Flaky Test</v>
      </c>
      <c r="T195" s="55" t="n">
        <v>676045</v>
      </c>
      <c r="U195" s="22" t="n">
        <v>0</v>
      </c>
      <c r="V195" s="25" t="n">
        <f aca="false">IFERROR(U195/T195*100,"N/A")</f>
        <v>0</v>
      </c>
      <c r="W195" s="22" t="n">
        <v>676216</v>
      </c>
      <c r="X195" s="22" t="n">
        <v>0</v>
      </c>
      <c r="Y195" s="27" t="n">
        <f aca="false">IFERROR(X195/W195*100,"N/A")</f>
        <v>0</v>
      </c>
      <c r="Z195" s="103" t="str">
        <f aca="false">IF(AND(Q195&gt;0, R195=0), IF(IFERROR(ROUND(V195,8),0)=0, "Group 9: Only Passed | Without variation (no var CV = 0)", "Group 10: Only Passed | With variation (with var CV &gt; 0)"), IF(AND(Q195=0, R195&gt;0), IF(IFERROR(ROUND(Y195,8),0)=0, "Group 11: Only Failed | Without variation (no var CV = 0)", "Group 12: Only Failed | With variation (with var CV &gt; 0)"), IF(AND(Q195&gt;0, R195&gt;0), IF(ROUND(T195,5)&lt;&gt;ROUND(W195,5), IF(AND(IFERROR(ROUND(V195,8),0)=0, IFERROR(ROUND(Y195,8),0)=0), "Group 1: Flaky | Passed (no variation: CV = 0) AND Failed (no variation: CV = 0) | Different Means", IF(AND(IFERROR(ROUND(V195,8),0)&gt;0, IFERROR(ROUND(Y195,8),0)&gt;0), "Group 2: Flaky | Passed (with variation: CV &gt; 0) AND Failed (with variation: CV &gt; 0) | Different Means", IF(AND(IFERROR(ROUND(V195,8),0)=0, IFERROR(ROUND(Y195,8),0)&gt;0), "Group 3: Flaky | Passed (no variation: CV = 0) AND Failed (with variation: CV &gt; 0) | Different Means", "Group 4: Flaky | Passed (with variation: CV &gt; 0) AND Failed (no variation: CV = 0) | Different Means"))), IF(AND(IFERROR(ROUND(V195,8),0)=0, IFERROR(ROUND(Y195,8),0)=0), "Group 5: Flaky | Passed (no var CV = 0) AND Failed (no var CV = 0) | Equal Means", IF(AND(IFERROR(ROUND(V195,8),0)&gt;0, IFERROR(ROUND(Y195,8),0)&gt;0), "Group 6: Flaky | Passed (with var CV &gt; 0) AND Failed (with var CV &gt; 0) | Equal Means", IF(AND(IFERROR(ROUND(V195,8),0)=0, IFERROR(ROUND(Y195,8),0)&gt;0), "Group 7: Flaky | Passed (no var CV = 0) AND Failed (with var CV &gt; 0) | Equal Means", "Group 8: Flaky | Passed (with var CV &gt; 0) AND Failed (no var CV = 0) | Equal Means")))), "Invalid")))</f>
        <v>Group 1: Flaky | Passed (no variation: CV = 0) AND Failed (no variation: CV = 0) | Different Means</v>
      </c>
      <c r="AA195" s="29" t="n">
        <v>0.54534</v>
      </c>
      <c r="AB195" s="29" t="n">
        <v>0.051146</v>
      </c>
      <c r="AC195" s="29" t="n">
        <f aca="false">IFERROR(AB195/AA195*100,"N/A")</f>
        <v>9.37873620126893</v>
      </c>
      <c r="AD195" s="29" t="n">
        <v>0.527925</v>
      </c>
      <c r="AE195" s="29" t="n">
        <v>0.018983</v>
      </c>
      <c r="AF195" s="29" t="n">
        <f aca="false">IFERROR(AE195/AD195*100,"N/A")</f>
        <v>3.59577591513946</v>
      </c>
      <c r="AG195" s="36" t="str">
        <f aca="false">IF(AND(Q195&gt;0, R195=0), IF(IFERROR(ROUND(AC195,8),0)=0, "Group 9: Only Passed | Without variation (no var CV = 0)", "Group 10: Only Passed | With variation (with var CV &gt; 0)"), IF(AND(Q195=0, R195&gt;0), IF(IFERROR(ROUND(AF195,8),0)=0, "Group 11: Only Failed | Without variation (no var CV = 0)", "Group 12: Only Failed | With variation (with var CV &gt; 0)"), IF(AND(Q195&gt;0, R195&gt;0), IF(ROUND(AA195,5)&lt;&gt;ROUND(AD195,5), IF(AND(IFERROR(ROUND(AC195,8),0)=0, IFERROR(ROUND(AF195,8),0)=0), "Group 1: Flaky | Passed (no variation: CV = 0) AND Failed (no variation: CV = 0) | Different Means", IF(AND(IFERROR(ROUND(AC195,8),0)&gt;0, IFERROR(ROUND(AF195,8),0)&gt;0), "Group 2: Flaky | Passed (with variation: CV &gt; 0) AND Failed (with variation: CV &gt; 0) | Different Means", IF(AND(IFERROR(ROUND(AC195,8),0)=0, IFERROR(ROUND(AF195,8),0)&gt;0), "Group 3: Flaky | Passed (no variation: CV = 0) AND Failed (with variation: CV &gt; 0) | Different Means", "Group 4: Flaky | Passed (with variation: CV &gt; 0) AND Failed (no variation: CV = 0) | Different Means"))), IF(AND(IFERROR(ROUND(AC195,8),0)=0, IFERROR(ROUND(AF195,8),0)=0), "Group 5: Flaky | Passed (no var CV = 0) AND Failed (no var CV = 0) | Equal Means", IF(AND(IFERROR(ROUND(AC195,8),0)&gt;0, IFERROR(ROUND(AF195,8),0)&gt;0), "Group 6: Flaky | Passed (with var CV &gt; 0) AND Failed (with var CV &gt; 0) | Equal Means", IF(AND(IFERROR(ROUND(AC195,8),0)=0, IFERROR(ROUND(AF195,8),0)&gt;0),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5" s="22" t="n">
        <v>99</v>
      </c>
      <c r="AI195" s="17" t="n">
        <v>1</v>
      </c>
      <c r="AJ195" s="39" t="str">
        <f aca="false">IF(AND(AH195&gt;0, AI195&gt;0), "Observed Flaky Test", "Non-observed Flaky Test")</f>
        <v>Observed Flaky Test</v>
      </c>
      <c r="AK195" s="94" t="n">
        <v>983.464646464646</v>
      </c>
      <c r="AL195" s="99" t="n">
        <v>3.56660569018325</v>
      </c>
      <c r="AM195" s="33" t="n">
        <f aca="false">IFERROR(AL195/AK195*100,"N/A")</f>
        <v>0.362657234604667</v>
      </c>
      <c r="AN195" s="90" t="n">
        <v>533</v>
      </c>
      <c r="AO195" s="90" t="n">
        <v>0</v>
      </c>
      <c r="AP195" s="35" t="n">
        <f aca="false">IFERROR(AO195/AN195*100,"N/A")</f>
        <v>0</v>
      </c>
      <c r="AQ195" s="60" t="str">
        <f aca="false">IF(AND(AH195&gt;0, AI195&gt;0),
    IF(ROUND(N(AK195),5)&lt;&gt;ROUND(N(AN195),5),
        IF(AND(ROUND(N(AL195),8)=0, ROUND(N(AO195),8)=0), "Group 1: Flaky | Passed (no variation: SD = 0) AND Failed (no variation: SD = 0) | Different Means",
        IF(AND(ROUND(N(AL195),8)&gt;0, ROUND(N(AO195),8)&gt;0), "Group 2: Flaky | Passed (with variation: SD &gt; 0) AND Failed (with variation: SD &gt; 0) | Different Means",
        IF(AND(ROUND(N(AL195),8)=0, ROUND(N(AO195),8)&gt;0), "Group 3: Flaky | Passed (no variation: SD = 0) AND Failed (with variation: SD &gt; 0) | Different Means",
        "Group 4: Flaky | Passed (with variation: SD &gt; 0) AND Failed (no variation: SD = 0) | Different Means"))),
        IF(AND(ROUND(N(AL195),8)=0, ROUND(N(AO195),8)=0), "Group 5: Flaky | Passed (no var SD = 0) AND Failed (no var SD = 0) | Equal Means",
        IF(AND(ROUND(N(AL195),8)&gt;0, ROUND(N(AO195),8)&gt;0), "Group 6: Flaky | Passed (with var SD &gt; 0 ) AND Failed (with var SD &gt; 0) | Equal Means",
        IF(AND(ROUND(N(AL195),8)=0, ROUND(N(AO195),8)&gt;0), "Group 7: Flaky | Passed (no var SD = 0) AND Failed (with var SD &gt; 0) | Equal Means",
        "Group 8: Flaky | Passed (with var SD &gt; 0 ) AND Failed (no var SD = 0) | Equal Means")))
    ),
    IF(AH195&gt;0,
        IF(N(AL195)&gt;0, "Group 10: Only Passed | With variation (with var SD &gt; 0)", "Group 9: Only Passed | Without variation (no var SD = 0)"),
        IF(AI195&gt;0,
            IF(N(AO195)&gt;0,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95" s="42" t="str">
        <f aca="false">IF(OR(F195="Observed Flaky Test", I195="Observed Flaky Test", S195="Observed Flaky Test", AJ195="Observed Flaky Test"), "Observed Flaky Test", "Non-observed Flaky Test")</f>
        <v>Observed Flaky Test</v>
      </c>
    </row>
    <row r="196" customFormat="false" ht="15.75" hidden="false" customHeight="true" outlineLevel="0" collapsed="false">
      <c r="A196" s="81"/>
      <c r="B196" s="14" t="s">
        <v>459</v>
      </c>
      <c r="C196" s="14" t="s">
        <v>460</v>
      </c>
      <c r="D196" s="15" t="n">
        <v>96</v>
      </c>
      <c r="E196" s="15" t="n">
        <v>4</v>
      </c>
      <c r="F196" s="61" t="str">
        <f aca="false">IF(AND(D196&gt;0, E196&gt;0), "Observed Flaky Test", "Non-observed Flaky Test")</f>
        <v>Observed Flaky Test</v>
      </c>
      <c r="G196" s="22" t="n">
        <v>99</v>
      </c>
      <c r="H196" s="22" t="n">
        <v>1</v>
      </c>
      <c r="I196" s="61" t="str">
        <f aca="false">IF(AND(G196&gt;0, H196&gt;0), "Observed Flaky Test", "Non-observed Flaky Test")</f>
        <v>Observed Flaky Test</v>
      </c>
      <c r="J196" s="18" t="n">
        <v>0.02</v>
      </c>
      <c r="K196" s="18" t="n">
        <v>0</v>
      </c>
      <c r="L196" s="19" t="n">
        <f aca="false">IFERROR(K196/J196*100,"N/A")</f>
        <v>0</v>
      </c>
      <c r="M196" s="18" t="n">
        <v>0.02</v>
      </c>
      <c r="N196" s="18" t="n">
        <v>0</v>
      </c>
      <c r="O196" s="20" t="n">
        <f aca="false">IFERROR(N196/M196*100,"N/A")</f>
        <v>0</v>
      </c>
      <c r="P196" s="92" t="str">
        <f aca="false">IF(AND(G196&gt;0, H196=0), IF(ROUND(K196,8)=0, "Group 9: Only Passed | Without variation (SD Passed = 0)", "Group 10: Only Passed | With variation (SD Passed &gt; 0)"), IF(AND(G196=0, H196&gt;0), IF(ROUND(N196,8)=0, "Group 11: Only Failed | Without variation (SD Failed = 0)", "Group 12: Only Failed | With variation (SD Failed &gt; 0)"), IF(AND(G196&gt;0, H196&gt;0), IF(ROUND(J196,5)&lt;&gt;ROUND(M196,5), IF(AND(ROUND(K196,8)=0, ROUND(N196,8)=0), "Group 1: Flaky | Passed (no variation) AND Failed (no variation) | Different Means", IF(AND(ROUND(K196,8)&gt;0, ROUND(N196,8)&gt;0), "Group 2: Flaky | Passed (with variation) AND Failed (with variation) | Different Means", IF(AND(ROUND(K196,8)=0, ROUND(N196,8)&gt;0), "Group 3: Flaky | Passed (no variation) AND Failed (with variation) | Different Means", "Group 4: Flaky | Passed (with variation) AND Failed (no variation) | Different Means"))), IF(AND(ROUND(K196,8)=0, ROUND(N196,8)=0), "Group 5: Flaky | Passed (no variation) AND Failed (no variation) | Equal Means", IF(AND(ROUND(K196,8)&gt;0, ROUND(N196,8)&gt;0), "Group 6: Flaky | Passed (with variation) AND Failed (with variation) | Equal Means", IF(AND(ROUND(K196,8)=0, ROUND(N196,8)&gt;0),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196" s="17" t="n">
        <v>94</v>
      </c>
      <c r="R196" s="17" t="n">
        <v>6</v>
      </c>
      <c r="S196" s="43" t="str">
        <f aca="false">IF(AND(Q196&gt;0, R196&gt;0), "Observed Flaky Test", "Non-observed Flaky Test")</f>
        <v>Observed Flaky Test</v>
      </c>
      <c r="T196" s="55" t="n">
        <v>676044</v>
      </c>
      <c r="U196" s="22" t="n">
        <v>0</v>
      </c>
      <c r="V196" s="25" t="n">
        <f aca="false">IFERROR(U196/T196*100,"N/A")</f>
        <v>0</v>
      </c>
      <c r="W196" s="24" t="n">
        <v>676216.333333</v>
      </c>
      <c r="X196" s="24" t="n">
        <v>0.516398</v>
      </c>
      <c r="Y196" s="27" t="n">
        <f aca="false">IFERROR(X196/W196*100,"N/A")</f>
        <v>7.63657981247995E-005</v>
      </c>
      <c r="Z196" s="44" t="str">
        <f aca="false">IF(AND(Q196&gt;0, R196=0), IF(IFERROR(ROUND(V196,8),0)=0, "Group 9: Only Passed | Without variation (no var CV = 0)", "Group 10: Only Passed | With variation (with var CV &gt; 0)"), IF(AND(Q196=0, R196&gt;0), IF(IFERROR(ROUND(Y196,8),0)=0, "Group 11: Only Failed | Without variation (no var CV = 0)", "Group 12: Only Failed | With variation (with var CV &gt; 0)"), IF(AND(Q196&gt;0, R196&gt;0), IF(ROUND(T196,5)&lt;&gt;ROUND(W196,5), IF(AND(IFERROR(ROUND(V196,8),0)=0, IFERROR(ROUND(Y196,8),0)=0), "Group 1: Flaky | Passed (no variation: CV = 0) AND Failed (no variation: CV = 0) | Different Means", IF(AND(IFERROR(ROUND(V196,8),0)&gt;0, IFERROR(ROUND(Y196,8),0)&gt;0), "Group 2: Flaky | Passed (with variation: CV &gt; 0) AND Failed (with variation: CV &gt; 0) | Different Means", IF(AND(IFERROR(ROUND(V196,8),0)=0, IFERROR(ROUND(Y196,8),0)&gt;0), "Group 3: Flaky | Passed (no variation: CV = 0) AND Failed (with variation: CV &gt; 0) | Different Means", "Group 4: Flaky | Passed (with variation: CV &gt; 0) AND Failed (no variation: CV = 0) | Different Means"))), IF(AND(IFERROR(ROUND(V196,8),0)=0, IFERROR(ROUND(Y196,8),0)=0), "Group 5: Flaky | Passed (no var CV = 0) AND Failed (no var CV = 0) | Equal Means", IF(AND(IFERROR(ROUND(V196,8),0)&gt;0, IFERROR(ROUND(Y196,8),0)&gt;0), "Group 6: Flaky | Passed (with var CV &gt; 0) AND Failed (with var CV &gt; 0) | Equal Means", IF(AND(IFERROR(ROUND(V196,8),0)=0, IFERROR(ROUND(Y196,8),0)&gt;0),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A196" s="29" t="n">
        <v>0.540973</v>
      </c>
      <c r="AB196" s="29" t="n">
        <v>0.020986</v>
      </c>
      <c r="AC196" s="29" t="n">
        <f aca="false">IFERROR(AB196/AA196*100,"N/A")</f>
        <v>3.87930636094593</v>
      </c>
      <c r="AD196" s="29" t="n">
        <v>0.531063</v>
      </c>
      <c r="AE196" s="29" t="n">
        <v>0.022705</v>
      </c>
      <c r="AF196" s="29" t="n">
        <f aca="false">IFERROR(AE196/AD196*100,"N/A")</f>
        <v>4.275387289267</v>
      </c>
      <c r="AG196" s="36" t="str">
        <f aca="false">IF(AND(Q196&gt;0, R196=0), IF(IFERROR(ROUND(AC196,8),0)=0, "Group 9: Only Passed | Without variation (no var CV = 0)", "Group 10: Only Passed | With variation (with var CV &gt; 0)"), IF(AND(Q196=0, R196&gt;0), IF(IFERROR(ROUND(AF196,8),0)=0, "Group 11: Only Failed | Without variation (no var CV = 0)", "Group 12: Only Failed | With variation (with var CV &gt; 0)"), IF(AND(Q196&gt;0, R196&gt;0), IF(ROUND(AA196,5)&lt;&gt;ROUND(AD196,5), IF(AND(IFERROR(ROUND(AC196,8),0)=0, IFERROR(ROUND(AF196,8),0)=0), "Group 1: Flaky | Passed (no variation: CV = 0) AND Failed (no variation: CV = 0) | Different Means", IF(AND(IFERROR(ROUND(AC196,8),0)&gt;0, IFERROR(ROUND(AF196,8),0)&gt;0), "Group 2: Flaky | Passed (with variation: CV &gt; 0) AND Failed (with variation: CV &gt; 0) | Different Means", IF(AND(IFERROR(ROUND(AC196,8),0)=0, IFERROR(ROUND(AF196,8),0)&gt;0), "Group 3: Flaky | Passed (no variation: CV = 0) AND Failed (with variation: CV &gt; 0) | Different Means", "Group 4: Flaky | Passed (with variation: CV &gt; 0) AND Failed (no variation: CV = 0) | Different Means"))), IF(AND(IFERROR(ROUND(AC196,8),0)=0, IFERROR(ROUND(AF196,8),0)=0), "Group 5: Flaky | Passed (no var CV = 0) AND Failed (no var CV = 0) | Equal Means", IF(AND(IFERROR(ROUND(AC196,8),0)&gt;0, IFERROR(ROUND(AF196,8),0)&gt;0), "Group 6: Flaky | Passed (with var CV &gt; 0) AND Failed (with var CV &gt; 0) | Equal Means", IF(AND(IFERROR(ROUND(AC196,8),0)=0, IFERROR(ROUND(AF196,8),0)&gt;0),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6" s="22" t="n">
        <v>100</v>
      </c>
      <c r="AI196" s="17" t="n">
        <v>0</v>
      </c>
      <c r="AJ196" s="31" t="str">
        <f aca="false">IF(AND(AH196&gt;0, AI196&gt;0), "Observed Flaky Test", "Non-observed Flaky Test")</f>
        <v>Non-observed Flaky Test</v>
      </c>
      <c r="AK196" s="102" t="n">
        <v>975.78</v>
      </c>
      <c r="AL196" s="97" t="n">
        <v>14.6594886016056</v>
      </c>
      <c r="AM196" s="33" t="n">
        <f aca="false">IFERROR(AL196/AK196*100,"N/A")</f>
        <v>1.50233542413306</v>
      </c>
      <c r="AN196" s="90" t="n">
        <v>0</v>
      </c>
      <c r="AO196" s="90" t="n">
        <v>0</v>
      </c>
      <c r="AP196" s="35" t="str">
        <f aca="false">IFERROR(AO196/AN196*100,"N/A")</f>
        <v>N/A</v>
      </c>
      <c r="AQ196" s="52" t="str">
        <f aca="false">IF(AND(AH196&gt;0, AI196&gt;0),
    IF(ROUND(N(AK196),5)&lt;&gt;ROUND(N(AN196),5),
        IF(AND(ROUND(N(AL196),8)=0, ROUND(N(AO196),8)=0), "Group 1: Flaky | Passed (no variation: SD = 0) AND Failed (no variation: SD = 0) | Different Means",
        IF(AND(ROUND(N(AL196),8)&gt;0, ROUND(N(AO196),8)&gt;0), "Group 2: Flaky | Passed (with variation: SD &gt; 0) AND Failed (with variation: SD &gt; 0) | Different Means",
        IF(AND(ROUND(N(AL196),8)=0, ROUND(N(AO196),8)&gt;0), "Group 3: Flaky | Passed (no variation: SD = 0) AND Failed (with variation: SD &gt; 0) | Different Means",
        "Group 4: Flaky | Passed (with variation: SD &gt; 0) AND Failed (no variation: SD = 0) | Different Means"))),
        IF(AND(ROUND(N(AL196),8)=0, ROUND(N(AO196),8)=0), "Group 5: Flaky | Passed (no var SD = 0) AND Failed (no var SD = 0) | Equal Means",
        IF(AND(ROUND(N(AL196),8)&gt;0, ROUND(N(AO196),8)&gt;0), "Group 6: Flaky | Passed (with var SD &gt; 0 ) AND Failed (with var SD &gt; 0) | Equal Means",
        IF(AND(ROUND(N(AL196),8)=0, ROUND(N(AO196),8)&gt;0), "Group 7: Flaky | Passed (no var SD = 0) AND Failed (with var SD &gt; 0) | Equal Means",
        "Group 8: Flaky | Passed (with var SD &gt; 0 ) AND Failed (no var SD = 0) | Equal Means")))
    ),
    IF(AH196&gt;0,
        IF(N(AL196)&gt;0, "Group 10: Only Passed | With variation (with var SD &gt; 0)", "Group 9: Only Passed | Without variation (no var SD = 0)"),
        IF(AI196&gt;0,
            IF(N(AO196)&gt;0,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196" s="42" t="str">
        <f aca="false">IF(OR(F196="Observed Flaky Test", I196="Observed Flaky Test", S196="Observed Flaky Test", AJ196="Observed Flaky Test"), "Observed Flaky Test", "Non-observed Flaky Test")</f>
        <v>Observed Flaky Test</v>
      </c>
    </row>
    <row r="197" customFormat="false" ht="15.75" hidden="false" customHeight="true" outlineLevel="0" collapsed="false">
      <c r="A197" s="81" t="s">
        <v>461</v>
      </c>
      <c r="B197" s="14" t="s">
        <v>462</v>
      </c>
      <c r="C197" s="14" t="s">
        <v>463</v>
      </c>
      <c r="D197" s="15" t="n">
        <v>99</v>
      </c>
      <c r="E197" s="15" t="n">
        <v>1</v>
      </c>
      <c r="F197" s="61" t="str">
        <f aca="false">IF(AND(D197&gt;0, E197&gt;0), "Observed Flaky Test", "Non-observed Flaky Test")</f>
        <v>Observed Flaky Test</v>
      </c>
      <c r="G197" s="22" t="n">
        <v>96</v>
      </c>
      <c r="H197" s="22" t="n">
        <v>4</v>
      </c>
      <c r="I197" s="61" t="str">
        <f aca="false">IF(AND(G197&gt;0, H197&gt;0), "Observed Flaky Test", "Non-observed Flaky Test")</f>
        <v>Observed Flaky Test</v>
      </c>
      <c r="J197" s="18" t="n">
        <v>60.99</v>
      </c>
      <c r="K197" s="18" t="n">
        <v>0</v>
      </c>
      <c r="L197" s="19" t="n">
        <f aca="false">IFERROR(K197/J197*100,"N/A")</f>
        <v>0</v>
      </c>
      <c r="M197" s="18" t="n">
        <v>60.44</v>
      </c>
      <c r="N197" s="18" t="n">
        <v>0</v>
      </c>
      <c r="O197" s="20" t="n">
        <f aca="false">IFERROR(N197/M197*100,"N/A")</f>
        <v>0</v>
      </c>
      <c r="P197" s="78" t="str">
        <f aca="false">IF(AND(G197&gt;0, H197=0), IF(ROUND(K197,8)=0, "Group 9: Only Passed | Without variation (SD Passed = 0)", "Group 10: Only Passed | With variation (SD Passed &gt; 0)"), IF(AND(G197=0, H197&gt;0), IF(ROUND(N197,8)=0, "Group 11: Only Failed | Without variation (SD Failed = 0)", "Group 12: Only Failed | With variation (SD Failed &gt; 0)"), IF(AND(G197&gt;0, H197&gt;0), IF(ROUND(J197,5)&lt;&gt;ROUND(M197,5), IF(AND(ROUND(K197,8)=0, ROUND(N197,8)=0), "Group 1: Flaky | Passed (no variation) AND Failed (no variation) | Different Means", IF(AND(ROUND(K197,8)&gt;0, ROUND(N197,8)&gt;0), "Group 2: Flaky | Passed (with variation) AND Failed (with variation) | Different Means", IF(AND(ROUND(K197,8)=0, ROUND(N197,8)&gt;0), "Group 3: Flaky | Passed (no variation) AND Failed (with variation) | Different Means", "Group 4: Flaky | Passed (with variation) AND Failed (no variation) | Different Means"))), IF(AND(ROUND(K197,8)=0, ROUND(N197,8)=0), "Group 5: Flaky | Passed (no variation) AND Failed (no variation) | Equal Means", IF(AND(ROUND(K197,8)&gt;0, ROUND(N197,8)&gt;0), "Group 6: Flaky | Passed (with variation) AND Failed (with variation) | Equal Means", IF(AND(ROUND(K197,8)=0, ROUND(N197,8)&gt;0),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197" s="17" t="n">
        <v>99</v>
      </c>
      <c r="R197" s="17" t="n">
        <v>1</v>
      </c>
      <c r="S197" s="43" t="str">
        <f aca="false">IF(AND(Q197&gt;0, R197&gt;0), "Observed Flaky Test", "Non-observed Flaky Test")</f>
        <v>Observed Flaky Test</v>
      </c>
      <c r="T197" s="26" t="n">
        <v>343694.717172</v>
      </c>
      <c r="U197" s="24" t="n">
        <v>11.097932</v>
      </c>
      <c r="V197" s="25" t="n">
        <f aca="false">IFERROR(U197/T197*100,"N/A")</f>
        <v>0.00322900860720711</v>
      </c>
      <c r="W197" s="55" t="n">
        <v>416519</v>
      </c>
      <c r="X197" s="22" t="n">
        <v>0</v>
      </c>
      <c r="Y197" s="27" t="n">
        <f aca="false">IFERROR(X197/W197*100,"N/A")</f>
        <v>0</v>
      </c>
      <c r="Z197" s="69" t="str">
        <f aca="false">IF(AND(Q197&gt;0, R197=0), IF(IFERROR(ROUND(V197,8),0)=0, "Group 9: Only Passed | Without variation (no var CV = 0)", "Group 10: Only Passed | With variation (with var CV &gt; 0)"), IF(AND(Q197=0, R197&gt;0), IF(IFERROR(ROUND(Y197,8),0)=0, "Group 11: Only Failed | Without variation (no var CV = 0)", "Group 12: Only Failed | With variation (with var CV &gt; 0)"), IF(AND(Q197&gt;0, R197&gt;0), IF(ROUND(T197,5)&lt;&gt;ROUND(W197,5), IF(AND(IFERROR(ROUND(V197,8),0)=0, IFERROR(ROUND(Y197,8),0)=0), "Group 1: Flaky | Passed (no variation: CV = 0) AND Failed (no variation: CV = 0) | Different Means", IF(AND(IFERROR(ROUND(V197,8),0)&gt;0, IFERROR(ROUND(Y197,8),0)&gt;0), "Group 2: Flaky | Passed (with variation: CV &gt; 0) AND Failed (with variation: CV &gt; 0) | Different Means", IF(AND(IFERROR(ROUND(V197,8),0)=0, IFERROR(ROUND(Y197,8),0)&gt;0), "Group 3: Flaky | Passed (no variation: CV = 0) AND Failed (with variation: CV &gt; 0) | Different Means", "Group 4: Flaky | Passed (with variation: CV &gt; 0) AND Failed (no variation: CV = 0) | Different Means"))), IF(AND(IFERROR(ROUND(V197,8),0)=0, IFERROR(ROUND(Y197,8),0)=0), "Group 5: Flaky | Passed (no var CV = 0) AND Failed (no var CV = 0) | Equal Means", IF(AND(IFERROR(ROUND(V197,8),0)&gt;0, IFERROR(ROUND(Y197,8),0)&gt;0), "Group 6: Flaky | Passed (with var CV &gt; 0) AND Failed (with var CV &gt; 0) | Equal Means", IF(AND(IFERROR(ROUND(V197,8),0)=0, IFERROR(ROUND(Y197,8),0)&gt;0),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197" s="29" t="n">
        <v>0.613854</v>
      </c>
      <c r="AB197" s="29" t="n">
        <v>0.010317</v>
      </c>
      <c r="AC197" s="29" t="n">
        <f aca="false">IFERROR(AB197/AA197*100,"N/A")</f>
        <v>1.6806928031747</v>
      </c>
      <c r="AD197" s="29" t="n">
        <v>0.61707</v>
      </c>
      <c r="AE197" s="29" t="n">
        <v>0</v>
      </c>
      <c r="AF197" s="29" t="n">
        <f aca="false">IFERROR(AE197/AD197*100,"N/A")</f>
        <v>0</v>
      </c>
      <c r="AG197" s="70" t="str">
        <f aca="false">IF(AND(Q197&gt;0, R197=0), IF(IFERROR(ROUND(AC197,8),0)=0, "Group 9: Only Passed | Without variation (no var CV = 0)", "Group 10: Only Passed | With variation (with var CV &gt; 0)"), IF(AND(Q197=0, R197&gt;0), IF(IFERROR(ROUND(AF197,8),0)=0, "Group 11: Only Failed | Without variation (no var CV = 0)", "Group 12: Only Failed | With variation (with var CV &gt; 0)"), IF(AND(Q197&gt;0, R197&gt;0), IF(ROUND(AA197,5)&lt;&gt;ROUND(AD197,5), IF(AND(IFERROR(ROUND(AC197,8),0)=0, IFERROR(ROUND(AF197,8),0)=0), "Group 1: Flaky | Passed (no variation: CV = 0) AND Failed (no variation: CV = 0) | Different Means", IF(AND(IFERROR(ROUND(AC197,8),0)&gt;0, IFERROR(ROUND(AF197,8),0)&gt;0), "Group 2: Flaky | Passed (with variation: CV &gt; 0) AND Failed (with variation: CV &gt; 0) | Different Means", IF(AND(IFERROR(ROUND(AC197,8),0)=0, IFERROR(ROUND(AF197,8),0)&gt;0), "Group 3: Flaky | Passed (no variation: CV = 0) AND Failed (with variation: CV &gt; 0) | Different Means", "Group 4: Flaky | Passed (with variation: CV &gt; 0) AND Failed (no variation: CV = 0) | Different Means"))), IF(AND(IFERROR(ROUND(AC197,8),0)=0, IFERROR(ROUND(AF197,8),0)=0), "Group 5: Flaky | Passed (no var CV = 0) AND Failed (no var CV = 0) | Equal Means", IF(AND(IFERROR(ROUND(AC197,8),0)&gt;0, IFERROR(ROUND(AF197,8),0)&gt;0), "Group 6: Flaky | Passed (with var CV &gt; 0) AND Failed (with var CV &gt; 0) | Equal Means", IF(AND(IFERROR(ROUND(AC197,8),0)=0, IFERROR(ROUND(AF197,8),0)&gt;0),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197" s="22" t="n">
        <v>99</v>
      </c>
      <c r="AI197" s="17" t="n">
        <v>1</v>
      </c>
      <c r="AJ197" s="39" t="str">
        <f aca="false">IF(AND(AH197&gt;0, AI197&gt;0), "Observed Flaky Test", "Non-observed Flaky Test")</f>
        <v>Observed Flaky Test</v>
      </c>
      <c r="AK197" s="100" t="n">
        <v>2932.89898989899</v>
      </c>
      <c r="AL197" s="101" t="n">
        <v>0.562337495709296</v>
      </c>
      <c r="AM197" s="33" t="n">
        <f aca="false">IFERROR(AL197/AK197*100,"N/A")</f>
        <v>0.019173435486391</v>
      </c>
      <c r="AN197" s="90" t="n">
        <v>2656</v>
      </c>
      <c r="AO197" s="90" t="n">
        <v>0</v>
      </c>
      <c r="AP197" s="35" t="n">
        <f aca="false">IFERROR(AO197/AN197*100,"N/A")</f>
        <v>0</v>
      </c>
      <c r="AQ197" s="60" t="str">
        <f aca="false">IF(AND(AH197&gt;0, AI197&gt;0),
    IF(ROUND(N(AK197),5)&lt;&gt;ROUND(N(AN197),5),
        IF(AND(ROUND(N(AL197),8)=0, ROUND(N(AO197),8)=0), "Group 1: Flaky | Passed (no variation: SD = 0) AND Failed (no variation: SD = 0) | Different Means",
        IF(AND(ROUND(N(AL197),8)&gt;0, ROUND(N(AO197),8)&gt;0), "Group 2: Flaky | Passed (with variation: SD &gt; 0) AND Failed (with variation: SD &gt; 0) | Different Means",
        IF(AND(ROUND(N(AL197),8)=0, ROUND(N(AO197),8)&gt;0), "Group 3: Flaky | Passed (no variation: SD = 0) AND Failed (with variation: SD &gt; 0) | Different Means",
        "Group 4: Flaky | Passed (with variation: SD &gt; 0) AND Failed (no variation: SD = 0) | Different Means"))),
        IF(AND(ROUND(N(AL197),8)=0, ROUND(N(AO197),8)=0), "Group 5: Flaky | Passed (no var SD = 0) AND Failed (no var SD = 0) | Equal Means",
        IF(AND(ROUND(N(AL197),8)&gt;0, ROUND(N(AO197),8)&gt;0), "Group 6: Flaky | Passed (with var SD &gt; 0 ) AND Failed (with var SD &gt; 0) | Equal Means",
        IF(AND(ROUND(N(AL197),8)=0, ROUND(N(AO197),8)&gt;0), "Group 7: Flaky | Passed (no var SD = 0) AND Failed (with var SD &gt; 0) | Equal Means",
        "Group 8: Flaky | Passed (with var SD &gt; 0 ) AND Failed (no var SD = 0) | Equal Means")))
    ),
    IF(AH197&gt;0,
        IF(N(AL197)&gt;0, "Group 10: Only Passed | With variation (with var SD &gt; 0)", "Group 9: Only Passed | Without variation (no var SD = 0)"),
        IF(AI197&gt;0,
            IF(N(AO197)&gt;0,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197" s="42" t="str">
        <f aca="false">IF(OR(F197="Observed Flaky Test", I197="Observed Flaky Test", S197="Observed Flaky Test", AJ197="Observed Flaky Test"), "Observed Flaky Test", "Non-observed Flaky Test")</f>
        <v>Observed Flaky Test</v>
      </c>
    </row>
    <row r="198" customFormat="false" ht="15.75" hidden="false" customHeight="true" outlineLevel="0" collapsed="false">
      <c r="A198" s="81" t="s">
        <v>464</v>
      </c>
      <c r="B198" s="14" t="s">
        <v>465</v>
      </c>
      <c r="C198" s="14" t="s">
        <v>466</v>
      </c>
      <c r="D198" s="15" t="n">
        <v>97</v>
      </c>
      <c r="E198" s="15" t="n">
        <v>3</v>
      </c>
      <c r="F198" s="61" t="str">
        <f aca="false">IF(AND(D198&gt;0, E198&gt;0), "Observed Flaky Test", "Non-observed Flaky Test")</f>
        <v>Observed Flaky Test</v>
      </c>
      <c r="G198" s="22" t="n">
        <v>91</v>
      </c>
      <c r="H198" s="22" t="n">
        <v>9</v>
      </c>
      <c r="I198" s="61" t="str">
        <f aca="false">IF(AND(G198&gt;0, H198&gt;0), "Observed Flaky Test", "Non-observed Flaky Test")</f>
        <v>Observed Flaky Test</v>
      </c>
      <c r="J198" s="53" t="n">
        <v>28.022308</v>
      </c>
      <c r="K198" s="53" t="n">
        <v>0.012499</v>
      </c>
      <c r="L198" s="19" t="n">
        <f aca="false">IFERROR(K198/J198*100,"N/A")</f>
        <v>0.0446037492700459</v>
      </c>
      <c r="M198" s="18" t="n">
        <v>28.37</v>
      </c>
      <c r="N198" s="18" t="n">
        <v>0</v>
      </c>
      <c r="O198" s="20" t="n">
        <f aca="false">IFERROR(N198/M198*100,"N/A")</f>
        <v>0</v>
      </c>
      <c r="P198" s="77" t="str">
        <f aca="false">IF(AND(G198&gt;0, H198=0), IF(ROUND(K198,8)=0, "Group 9: Only Passed | Without variation (SD Passed = 0)", "Group 10: Only Passed | With variation (SD Passed &gt; 0)"), IF(AND(G198=0, H198&gt;0), IF(ROUND(N198,8)=0, "Group 11: Only Failed | Without variation (SD Failed = 0)", "Group 12: Only Failed | With variation (SD Failed &gt; 0)"), IF(AND(G198&gt;0, H198&gt;0), IF(ROUND(J198,5)&lt;&gt;ROUND(M198,5), IF(AND(ROUND(K198,8)=0, ROUND(N198,8)=0), "Group 1: Flaky | Passed (no variation) AND Failed (no variation) | Different Means", IF(AND(ROUND(K198,8)&gt;0, ROUND(N198,8)&gt;0), "Group 2: Flaky | Passed (with variation) AND Failed (with variation) | Different Means", IF(AND(ROUND(K198,8)=0, ROUND(N198,8)&gt;0), "Group 3: Flaky | Passed (no variation) AND Failed (with variation) | Different Means", "Group 4: Flaky | Passed (with variation) AND Failed (no variation) | Different Means"))), IF(AND(ROUND(K198,8)=0, ROUND(N198,8)=0), "Group 5: Flaky | Passed (no variation) AND Failed (no variation) | Equal Means", IF(AND(ROUND(K198,8)&gt;0, ROUND(N198,8)&gt;0), "Group 6: Flaky | Passed (with variation) AND Failed (with variation) | Equal Means", IF(AND(ROUND(K198,8)=0, ROUND(N198,8)&gt;0),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198" s="17" t="n">
        <v>97</v>
      </c>
      <c r="R198" s="17" t="n">
        <v>3</v>
      </c>
      <c r="S198" s="43" t="str">
        <f aca="false">IF(AND(Q198&gt;0, R198&gt;0), "Observed Flaky Test", "Non-observed Flaky Test")</f>
        <v>Observed Flaky Test</v>
      </c>
      <c r="T198" s="24" t="n">
        <v>3998148.845361</v>
      </c>
      <c r="U198" s="24" t="n">
        <v>999052.668896</v>
      </c>
      <c r="V198" s="25" t="n">
        <f aca="false">IFERROR(U198/T198*100,"N/A")</f>
        <v>24.9878808302794</v>
      </c>
      <c r="W198" s="24" t="n">
        <v>3725247.333333</v>
      </c>
      <c r="X198" s="24" t="n">
        <v>1371263.590797</v>
      </c>
      <c r="Y198" s="27" t="n">
        <f aca="false">IFERROR(X198/W198*100,"N/A")</f>
        <v>36.8100012723215</v>
      </c>
      <c r="Z198" s="68" t="str">
        <f aca="false">IF(AND(Q198&gt;0, R198=0), IF(IFERROR(ROUND(V198,8),0)=0, "Group 9: Only Passed | Without variation (no var CV = 0)", "Group 10: Only Passed | With variation (with var CV &gt; 0)"), IF(AND(Q198=0, R198&gt;0), IF(IFERROR(ROUND(Y198,8),0)=0, "Group 11: Only Failed | Without variation (no var CV = 0)", "Group 12: Only Failed | With variation (with var CV &gt; 0)"), IF(AND(Q198&gt;0, R198&gt;0), IF(ROUND(T198,5)&lt;&gt;ROUND(W198,5), IF(AND(IFERROR(ROUND(V198,8),0)=0, IFERROR(ROUND(Y198,8),0)=0), "Group 1: Flaky | Passed (no variation: CV = 0) AND Failed (no variation: CV = 0) | Different Means", IF(AND(IFERROR(ROUND(V198,8),0)&gt;0, IFERROR(ROUND(Y198,8),0)&gt;0), "Group 2: Flaky | Passed (with variation: CV &gt; 0) AND Failed (with variation: CV &gt; 0) | Different Means", IF(AND(IFERROR(ROUND(V198,8),0)=0, IFERROR(ROUND(Y198,8),0)&gt;0), "Group 3: Flaky | Passed (no variation: CV = 0) AND Failed (with variation: CV &gt; 0) | Different Means", "Group 4: Flaky | Passed (with variation: CV &gt; 0) AND Failed (no variation: CV = 0) | Different Means"))), IF(AND(IFERROR(ROUND(V198,8),0)=0, IFERROR(ROUND(Y198,8),0)=0), "Group 5: Flaky | Passed (no var CV = 0) AND Failed (no var CV = 0) | Equal Means", IF(AND(IFERROR(ROUND(V198,8),0)&gt;0, IFERROR(ROUND(Y198,8),0)&gt;0), "Group 6: Flaky | Passed (with var CV &gt; 0) AND Failed (with var CV &gt; 0) | Equal Means", IF(AND(IFERROR(ROUND(V198,8),0)=0, IFERROR(ROUND(Y198,8),0)&gt;0),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8" s="29" t="n">
        <v>1.980185</v>
      </c>
      <c r="AB198" s="29" t="n">
        <v>0.335912</v>
      </c>
      <c r="AC198" s="29" t="n">
        <f aca="false">IFERROR(AB198/AA198*100,"N/A")</f>
        <v>16.9636675361141</v>
      </c>
      <c r="AD198" s="29" t="n">
        <v>1.874616</v>
      </c>
      <c r="AE198" s="29" t="n">
        <v>0.399314</v>
      </c>
      <c r="AF198" s="29" t="n">
        <f aca="false">IFERROR(AE198/AD198*100,"N/A")</f>
        <v>21.3011091338173</v>
      </c>
      <c r="AG198" s="36" t="str">
        <f aca="false">IF(AND(Q198&gt;0, R198=0), IF(IFERROR(ROUND(AC198,8),0)=0, "Group 9: Only Passed | Without variation (no var CV = 0)", "Group 10: Only Passed | With variation (with var CV &gt; 0)"), IF(AND(Q198=0, R198&gt;0), IF(IFERROR(ROUND(AF198,8),0)=0, "Group 11: Only Failed | Without variation (no var CV = 0)", "Group 12: Only Failed | With variation (with var CV &gt; 0)"), IF(AND(Q198&gt;0, R198&gt;0), IF(ROUND(AA198,5)&lt;&gt;ROUND(AD198,5), IF(AND(IFERROR(ROUND(AC198,8),0)=0, IFERROR(ROUND(AF198,8),0)=0), "Group 1: Flaky | Passed (no variation: CV = 0) AND Failed (no variation: CV = 0) | Different Means", IF(AND(IFERROR(ROUND(AC198,8),0)&gt;0, IFERROR(ROUND(AF198,8),0)&gt;0), "Group 2: Flaky | Passed (with variation: CV &gt; 0) AND Failed (with variation: CV &gt; 0) | Different Means", IF(AND(IFERROR(ROUND(AC198,8),0)=0, IFERROR(ROUND(AF198,8),0)&gt;0), "Group 3: Flaky | Passed (no variation: CV = 0) AND Failed (with variation: CV &gt; 0) | Different Means", "Group 4: Flaky | Passed (with variation: CV &gt; 0) AND Failed (no variation: CV = 0) | Different Means"))), IF(AND(IFERROR(ROUND(AC198,8),0)=0, IFERROR(ROUND(AF198,8),0)=0), "Group 5: Flaky | Passed (no var CV = 0) AND Failed (no var CV = 0) | Equal Means", IF(AND(IFERROR(ROUND(AC198,8),0)&gt;0, IFERROR(ROUND(AF198,8),0)&gt;0), "Group 6: Flaky | Passed (with var CV &gt; 0) AND Failed (with var CV &gt; 0) | Equal Means", IF(AND(IFERROR(ROUND(AC198,8),0)=0, IFERROR(ROUND(AF198,8),0)&gt;0),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8" s="22" t="n">
        <v>93</v>
      </c>
      <c r="AI198" s="17" t="n">
        <v>7</v>
      </c>
      <c r="AJ198" s="39" t="str">
        <f aca="false">IF(AND(AH198&gt;0, AI198&gt;0), "Observed Flaky Test", "Non-observed Flaky Test")</f>
        <v>Observed Flaky Test</v>
      </c>
      <c r="AK198" s="35" t="n">
        <v>68973049.9569892</v>
      </c>
      <c r="AL198" s="35" t="n">
        <v>18195262.8429411</v>
      </c>
      <c r="AM198" s="33" t="n">
        <f aca="false">IFERROR(AL198/AK198*100,"N/A")</f>
        <v>26.3802497559372</v>
      </c>
      <c r="AN198" s="35" t="n">
        <v>72793022.4285714</v>
      </c>
      <c r="AO198" s="35" t="n">
        <v>27687791.0801094</v>
      </c>
      <c r="AP198" s="35" t="n">
        <f aca="false">IFERROR(AO198/AN198*100,"N/A")</f>
        <v>38.0363256756899</v>
      </c>
      <c r="AQ198" s="63" t="str">
        <f aca="false">IF(AND(AH198&gt;0, AI198&gt;0),
    IF(ROUND(N(AK198),5)&lt;&gt;ROUND(N(AN198),5),
        IF(AND(ROUND(N(AL198),8)=0, ROUND(N(AO198),8)=0), "Group 1: Flaky | Passed (no variation: SD = 0) AND Failed (no variation: SD = 0) | Different Means",
        IF(AND(ROUND(N(AL198),8)&gt;0, ROUND(N(AO198),8)&gt;0), "Group 2: Flaky | Passed (with variation: SD &gt; 0) AND Failed (with variation: SD &gt; 0) | Different Means",
        IF(AND(ROUND(N(AL198),8)=0, ROUND(N(AO198),8)&gt;0), "Group 3: Flaky | Passed (no variation: SD = 0) AND Failed (with variation: SD &gt; 0) | Different Means",
        "Group 4: Flaky | Passed (with variation: SD &gt; 0) AND Failed (no variation: SD = 0) | Different Means"))),
        IF(AND(ROUND(N(AL198),8)=0, ROUND(N(AO198),8)=0), "Group 5: Flaky | Passed (no var SD = 0) AND Failed (no var SD = 0) | Equal Means",
        IF(AND(ROUND(N(AL198),8)&gt;0, ROUND(N(AO198),8)&gt;0), "Group 6: Flaky | Passed (with var SD &gt; 0 ) AND Failed (with var SD &gt; 0) | Equal Means",
        IF(AND(ROUND(N(AL198),8)=0, ROUND(N(AO198),8)&gt;0), "Group 7: Flaky | Passed (no var SD = 0) AND Failed (with var SD &gt; 0) | Equal Means",
        "Group 8: Flaky | Passed (with var SD &gt; 0 ) AND Failed (no var SD = 0) | Equal Means")))
    ),
    IF(AH198&gt;0,
        IF(N(AL198)&gt;0, "Group 10: Only Passed | With variation (with var SD &gt; 0)", "Group 9: Only Passed | Without variation (no var SD = 0)"),
        IF(AI198&gt;0,
            IF(N(AO198)&gt;0,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198" s="42" t="str">
        <f aca="false">IF(OR(F198="Observed Flaky Test", I198="Observed Flaky Test", S198="Observed Flaky Test", AJ198="Observed Flaky Test"), "Observed Flaky Test", "Non-observed Flaky Test")</f>
        <v>Observed Flaky Test</v>
      </c>
    </row>
    <row r="199" customFormat="false" ht="26.25" hidden="false" customHeight="true" outlineLevel="0" collapsed="false">
      <c r="A199" s="81" t="s">
        <v>467</v>
      </c>
      <c r="B199" s="14" t="s">
        <v>468</v>
      </c>
      <c r="C199" s="14" t="s">
        <v>469</v>
      </c>
      <c r="D199" s="15" t="n">
        <v>67</v>
      </c>
      <c r="E199" s="15" t="n">
        <v>33</v>
      </c>
      <c r="F199" s="61" t="str">
        <f aca="false">IF(AND(D199&gt;0, E199&gt;0), "Observed Flaky Test", "Non-observed Flaky Test")</f>
        <v>Observed Flaky Test</v>
      </c>
      <c r="G199" s="22" t="n">
        <v>12</v>
      </c>
      <c r="H199" s="22" t="n">
        <v>88</v>
      </c>
      <c r="I199" s="61" t="str">
        <f aca="false">IF(AND(G199&gt;0, H199&gt;0), "Observed Flaky Test", "Non-observed Flaky Test")</f>
        <v>Observed Flaky Test</v>
      </c>
      <c r="J199" s="18" t="n">
        <v>54.29</v>
      </c>
      <c r="K199" s="18" t="n">
        <v>0</v>
      </c>
      <c r="L199" s="19" t="n">
        <f aca="false">IFERROR(K199/J199*100,"N/A")</f>
        <v>0</v>
      </c>
      <c r="M199" s="53" t="n">
        <v>40.729318</v>
      </c>
      <c r="N199" s="53" t="n">
        <v>4.523446</v>
      </c>
      <c r="O199" s="20" t="n">
        <f aca="false">IFERROR(N199/M199*100,"N/A")</f>
        <v>11.1061177110798</v>
      </c>
      <c r="P199" s="67" t="str">
        <f aca="false">IF(AND(G199&gt;0, H199=0), IF(ROUND(K199,8)=0, "Group 9: Only Passed | Without variation (SD Passed = 0)", "Group 10: Only Passed | With variation (SD Passed &gt; 0)"), IF(AND(G199=0, H199&gt;0), IF(ROUND(N199,8)=0, "Group 11: Only Failed | Without variation (SD Failed = 0)", "Group 12: Only Failed | With variation (SD Failed &gt; 0)"), IF(AND(G199&gt;0, H199&gt;0), IF(ROUND(J199,5)&lt;&gt;ROUND(M199,5), IF(AND(ROUND(K199,8)=0, ROUND(N199,8)=0), "Group 1: Flaky | Passed (no variation) AND Failed (no variation) | Different Means", IF(AND(ROUND(K199,8)&gt;0, ROUND(N199,8)&gt;0), "Group 2: Flaky | Passed (with variation) AND Failed (with variation) | Different Means", IF(AND(ROUND(K199,8)=0, ROUND(N199,8)&gt;0), "Group 3: Flaky | Passed (no variation) AND Failed (with variation) | Different Means", "Group 4: Flaky | Passed (with variation) AND Failed (no variation) | Different Means"))), IF(AND(ROUND(K199,8)=0, ROUND(N199,8)=0), "Group 5: Flaky | Passed (no variation) AND Failed (no variation) | Equal Means", IF(AND(ROUND(K199,8)&gt;0, ROUND(N199,8)&gt;0), "Group 6: Flaky | Passed (with variation) AND Failed (with variation) | Equal Means", IF(AND(ROUND(K199,8)=0, ROUND(N199,8)&gt;0),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199" s="17" t="n">
        <v>63</v>
      </c>
      <c r="R199" s="17" t="n">
        <v>37</v>
      </c>
      <c r="S199" s="43" t="str">
        <f aca="false">IF(AND(Q199&gt;0, R199&gt;0), "Observed Flaky Test", "Non-observed Flaky Test")</f>
        <v>Observed Flaky Test</v>
      </c>
      <c r="T199" s="24" t="n">
        <v>430538.952381</v>
      </c>
      <c r="U199" s="24" t="n">
        <v>150.274526</v>
      </c>
      <c r="V199" s="25" t="n">
        <f aca="false">IFERROR(U199/T199*100,"N/A")</f>
        <v>0.0349038165232066</v>
      </c>
      <c r="W199" s="24" t="n">
        <v>565767.378378</v>
      </c>
      <c r="X199" s="24" t="n">
        <v>104.532385</v>
      </c>
      <c r="Y199" s="27" t="n">
        <f aca="false">IFERROR(X199/W199*100,"N/A")</f>
        <v>0.018476212838514</v>
      </c>
      <c r="Z199" s="68" t="str">
        <f aca="false">IF(AND(Q199&gt;0, R199=0), IF(IFERROR(ROUND(V199,8),0)=0, "Group 9: Only Passed | Without variation (no var CV = 0)", "Group 10: Only Passed | With variation (with var CV &gt; 0)"), IF(AND(Q199=0, R199&gt;0), IF(IFERROR(ROUND(Y199,8),0)=0, "Group 11: Only Failed | Without variation (no var CV = 0)", "Group 12: Only Failed | With variation (with var CV &gt; 0)"), IF(AND(Q199&gt;0, R199&gt;0), IF(ROUND(T199,5)&lt;&gt;ROUND(W199,5), IF(AND(IFERROR(ROUND(V199,8),0)=0, IFERROR(ROUND(Y199,8),0)=0), "Group 1: Flaky | Passed (no variation: CV = 0) AND Failed (no variation: CV = 0) | Different Means", IF(AND(IFERROR(ROUND(V199,8),0)&gt;0, IFERROR(ROUND(Y199,8),0)&gt;0), "Group 2: Flaky | Passed (with variation: CV &gt; 0) AND Failed (with variation: CV &gt; 0) | Different Means", IF(AND(IFERROR(ROUND(V199,8),0)=0, IFERROR(ROUND(Y199,8),0)&gt;0), "Group 3: Flaky | Passed (no variation: CV = 0) AND Failed (with variation: CV &gt; 0) | Different Means", "Group 4: Flaky | Passed (with variation: CV &gt; 0) AND Failed (no variation: CV = 0) | Different Means"))), IF(AND(IFERROR(ROUND(V199,8),0)=0, IFERROR(ROUND(Y199,8),0)=0), "Group 5: Flaky | Passed (no var CV = 0) AND Failed (no var CV = 0) | Equal Means", IF(AND(IFERROR(ROUND(V199,8),0)&gt;0, IFERROR(ROUND(Y199,8),0)&gt;0), "Group 6: Flaky | Passed (with var CV &gt; 0) AND Failed (with var CV &gt; 0) | Equal Means", IF(AND(IFERROR(ROUND(V199,8),0)=0, IFERROR(ROUND(Y199,8),0)&gt;0),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199" s="29" t="n">
        <v>4.910027</v>
      </c>
      <c r="AB199" s="29" t="n">
        <v>2.07346</v>
      </c>
      <c r="AC199" s="29" t="n">
        <f aca="false">IFERROR(AB199/AA199*100,"N/A")</f>
        <v>42.2290956852172</v>
      </c>
      <c r="AD199" s="29" t="n">
        <v>4.579495</v>
      </c>
      <c r="AE199" s="29" t="n">
        <v>0.736156</v>
      </c>
      <c r="AF199" s="29" t="n">
        <f aca="false">IFERROR(AE199/AD199*100,"N/A")</f>
        <v>16.0750475762066</v>
      </c>
      <c r="AG199" s="36" t="str">
        <f aca="false">IF(AND(Q199&gt;0, R199=0), IF(IFERROR(ROUND(AC199,8),0)=0, "Group 9: Only Passed | Without variation (no var CV = 0)", "Group 10: Only Passed | With variation (with var CV &gt; 0)"), IF(AND(Q199=0, R199&gt;0), IF(IFERROR(ROUND(AF199,8),0)=0, "Group 11: Only Failed | Without variation (no var CV = 0)", "Group 12: Only Failed | With variation (with var CV &gt; 0)"), IF(AND(Q199&gt;0, R199&gt;0), IF(ROUND(AA199,5)&lt;&gt;ROUND(AD199,5), IF(AND(IFERROR(ROUND(AC199,8),0)=0, IFERROR(ROUND(AF199,8),0)=0), "Group 1: Flaky | Passed (no variation: CV = 0) AND Failed (no variation: CV = 0) | Different Means", IF(AND(IFERROR(ROUND(AC199,8),0)&gt;0, IFERROR(ROUND(AF199,8),0)&gt;0), "Group 2: Flaky | Passed (with variation: CV &gt; 0) AND Failed (with variation: CV &gt; 0) | Different Means", IF(AND(IFERROR(ROUND(AC199,8),0)=0, IFERROR(ROUND(AF199,8),0)&gt;0), "Group 3: Flaky | Passed (no variation: CV = 0) AND Failed (with variation: CV &gt; 0) | Different Means", "Group 4: Flaky | Passed (with variation: CV &gt; 0) AND Failed (no variation: CV = 0) | Different Means"))), IF(AND(IFERROR(ROUND(AC199,8),0)=0, IFERROR(ROUND(AF199,8),0)=0), "Group 5: Flaky | Passed (no var CV = 0) AND Failed (no var CV = 0) | Equal Means", IF(AND(IFERROR(ROUND(AC199,8),0)&gt;0, IFERROR(ROUND(AF199,8),0)&gt;0), "Group 6: Flaky | Passed (with var CV &gt; 0) AND Failed (with var CV &gt; 0) | Equal Means", IF(AND(IFERROR(ROUND(AC199,8),0)=0, IFERROR(ROUND(AF199,8),0)&gt;0),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199" s="22" t="n">
        <v>3</v>
      </c>
      <c r="AI199" s="17" t="n">
        <v>97</v>
      </c>
      <c r="AJ199" s="39" t="str">
        <f aca="false">IF(AND(AH199&gt;0, AI199&gt;0), "Observed Flaky Test", "Non-observed Flaky Test")</f>
        <v>Observed Flaky Test</v>
      </c>
      <c r="AK199" s="90" t="n">
        <v>6298</v>
      </c>
      <c r="AL199" s="90" t="n">
        <v>0</v>
      </c>
      <c r="AM199" s="33" t="n">
        <f aca="false">IFERROR(AL199/AK199*100,"N/A")</f>
        <v>0</v>
      </c>
      <c r="AN199" s="100" t="n">
        <v>1939.19587628865</v>
      </c>
      <c r="AO199" s="100" t="n">
        <v>2376.01682899122</v>
      </c>
      <c r="AP199" s="35" t="n">
        <f aca="false">IFERROR(AO199/AN199*100,"N/A")</f>
        <v>122.525880858337</v>
      </c>
      <c r="AQ199" s="41" t="str">
        <f aca="false">IF(AND(AH199&gt;0, AI199&gt;0),
    IF(ROUND(N(AK199),5)&lt;&gt;ROUND(N(AN199),5),
        IF(AND(ROUND(N(AL199),8)=0, ROUND(N(AO199),8)=0), "Group 1: Flaky | Passed (no variation: SD = 0) AND Failed (no variation: SD = 0) | Different Means",
        IF(AND(ROUND(N(AL199),8)&gt;0, ROUND(N(AO199),8)&gt;0), "Group 2: Flaky | Passed (with variation: SD &gt; 0) AND Failed (with variation: SD &gt; 0) | Different Means",
        IF(AND(ROUND(N(AL199),8)=0, ROUND(N(AO199),8)&gt;0), "Group 3: Flaky | Passed (no variation: SD = 0) AND Failed (with variation: SD &gt; 0) | Different Means",
        "Group 4: Flaky | Passed (with variation: SD &gt; 0) AND Failed (no variation: SD = 0) | Different Means"))),
        IF(AND(ROUND(N(AL199),8)=0, ROUND(N(AO199),8)=0), "Group 5: Flaky | Passed (no var SD = 0) AND Failed (no var SD = 0) | Equal Means",
        IF(AND(ROUND(N(AL199),8)&gt;0, ROUND(N(AO199),8)&gt;0), "Group 6: Flaky | Passed (with var SD &gt; 0 ) AND Failed (with var SD &gt; 0) | Equal Means",
        IF(AND(ROUND(N(AL199),8)=0, ROUND(N(AO199),8)&gt;0), "Group 7: Flaky | Passed (no var SD = 0) AND Failed (with var SD &gt; 0) | Equal Means",
        "Group 8: Flaky | Passed (with var SD &gt; 0 ) AND Failed (no var SD = 0) | Equal Means")))
    ),
    IF(AH199&gt;0,
        IF(N(AL199)&gt;0, "Group 10: Only Passed | With variation (with var SD &gt; 0)", "Group 9: Only Passed | Without variation (no var SD = 0)"),
        IF(AI199&gt;0,
            IF(N(AO199)&gt;0,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199" s="42" t="str">
        <f aca="false">IF(OR(F199="Observed Flaky Test", I199="Observed Flaky Test", S199="Observed Flaky Test", AJ199="Observed Flaky Test"), "Observed Flaky Test", "Non-observed Flaky Test")</f>
        <v>Observed Flaky Test</v>
      </c>
    </row>
    <row r="200" customFormat="false" ht="15.75" hidden="false" customHeight="true" outlineLevel="0" collapsed="false">
      <c r="A200" s="81"/>
      <c r="B200" s="14" t="s">
        <v>470</v>
      </c>
      <c r="C200" s="14" t="s">
        <v>471</v>
      </c>
      <c r="D200" s="15" t="n">
        <v>63</v>
      </c>
      <c r="E200" s="15" t="n">
        <v>37</v>
      </c>
      <c r="F200" s="61" t="str">
        <f aca="false">IF(AND(D200&gt;0, E200&gt;0), "Observed Flaky Test", "Non-observed Flaky Test")</f>
        <v>Observed Flaky Test</v>
      </c>
      <c r="G200" s="22" t="n">
        <v>9</v>
      </c>
      <c r="H200" s="22" t="n">
        <v>91</v>
      </c>
      <c r="I200" s="61" t="str">
        <f aca="false">IF(AND(G200&gt;0, H200&gt;0), "Observed Flaky Test", "Non-observed Flaky Test")</f>
        <v>Observed Flaky Test</v>
      </c>
      <c r="J200" s="18" t="n">
        <v>53.21</v>
      </c>
      <c r="K200" s="18" t="n">
        <v>0</v>
      </c>
      <c r="L200" s="19" t="n">
        <f aca="false">IFERROR(K200/J200*100,"N/A")</f>
        <v>0</v>
      </c>
      <c r="M200" s="53" t="n">
        <v>40.815165</v>
      </c>
      <c r="N200" s="53" t="n">
        <v>4.542625</v>
      </c>
      <c r="O200" s="20" t="n">
        <f aca="false">IFERROR(N200/M200*100,"N/A")</f>
        <v>11.129747974803</v>
      </c>
      <c r="P200" s="67" t="str">
        <f aca="false">IF(AND(G200&gt;0, H200=0), IF(ROUND(K200,8)=0, "Group 9: Only Passed | Without variation (SD Passed = 0)", "Group 10: Only Passed | With variation (SD Passed &gt; 0)"), IF(AND(G200=0, H200&gt;0), IF(ROUND(N200,8)=0, "Group 11: Only Failed | Without variation (SD Failed = 0)", "Group 12: Only Failed | With variation (SD Failed &gt; 0)"), IF(AND(G200&gt;0, H200&gt;0), IF(ROUND(J200,5)&lt;&gt;ROUND(M200,5), IF(AND(ROUND(K200,8)=0, ROUND(N200,8)=0), "Group 1: Flaky | Passed (no variation) AND Failed (no variation) | Different Means", IF(AND(ROUND(K200,8)&gt;0, ROUND(N200,8)&gt;0), "Group 2: Flaky | Passed (with variation) AND Failed (with variation) | Different Means", IF(AND(ROUND(K200,8)=0, ROUND(N200,8)&gt;0), "Group 3: Flaky | Passed (no variation) AND Failed (with variation) | Different Means", "Group 4: Flaky | Passed (with variation) AND Failed (no variation) | Different Means"))), IF(AND(ROUND(K200,8)=0, ROUND(N200,8)=0), "Group 5: Flaky | Passed (no variation) AND Failed (no variation) | Equal Means", IF(AND(ROUND(K200,8)&gt;0, ROUND(N200,8)&gt;0), "Group 6: Flaky | Passed (with variation) AND Failed (with variation) | Equal Means", IF(AND(ROUND(K200,8)=0, ROUND(N200,8)&gt;0),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00" s="17" t="n">
        <v>62</v>
      </c>
      <c r="R200" s="17" t="n">
        <v>38</v>
      </c>
      <c r="S200" s="43" t="str">
        <f aca="false">IF(AND(Q200&gt;0, R200&gt;0), "Observed Flaky Test", "Non-observed Flaky Test")</f>
        <v>Observed Flaky Test</v>
      </c>
      <c r="T200" s="24" t="n">
        <v>430555.032258</v>
      </c>
      <c r="U200" s="26" t="n">
        <v>189.520877</v>
      </c>
      <c r="V200" s="25" t="n">
        <f aca="false">IFERROR(U200/T200*100,"N/A")</f>
        <v>0.0440178055766943</v>
      </c>
      <c r="W200" s="24" t="n">
        <v>565810.447368</v>
      </c>
      <c r="X200" s="24" t="n">
        <v>162.994229</v>
      </c>
      <c r="Y200" s="27" t="n">
        <f aca="false">IFERROR(X200/W200*100,"N/A")</f>
        <v>0.0288072144581645</v>
      </c>
      <c r="Z200" s="68" t="str">
        <f aca="false">IF(AND(Q200&gt;0, R200=0), IF(IFERROR(ROUND(V200,8),0)=0, "Group 9: Only Passed | Without variation (no var CV = 0)", "Group 10: Only Passed | With variation (with var CV &gt; 0)"), IF(AND(Q200=0, R200&gt;0), IF(IFERROR(ROUND(Y200,8),0)=0, "Group 11: Only Failed | Without variation (no var CV = 0)", "Group 12: Only Failed | With variation (with var CV &gt; 0)"), IF(AND(Q200&gt;0, R200&gt;0), IF(ROUND(T200,5)&lt;&gt;ROUND(W200,5), IF(AND(IFERROR(ROUND(V200,8),0)=0, IFERROR(ROUND(Y200,8),0)=0), "Group 1: Flaky | Passed (no variation: CV = 0) AND Failed (no variation: CV = 0) | Different Means", IF(AND(IFERROR(ROUND(V200,8),0)&gt;0, IFERROR(ROUND(Y200,8),0)&gt;0), "Group 2: Flaky | Passed (with variation: CV &gt; 0) AND Failed (with variation: CV &gt; 0) | Different Means", IF(AND(IFERROR(ROUND(V200,8),0)=0, IFERROR(ROUND(Y200,8),0)&gt;0), "Group 3: Flaky | Passed (no variation: CV = 0) AND Failed (with variation: CV &gt; 0) | Different Means", "Group 4: Flaky | Passed (with variation: CV &gt; 0) AND Failed (no variation: CV = 0) | Different Means"))), IF(AND(IFERROR(ROUND(V200,8),0)=0, IFERROR(ROUND(Y200,8),0)=0), "Group 5: Flaky | Passed (no var CV = 0) AND Failed (no var CV = 0) | Equal Means", IF(AND(IFERROR(ROUND(V200,8),0)&gt;0, IFERROR(ROUND(Y200,8),0)&gt;0), "Group 6: Flaky | Passed (with var CV &gt; 0) AND Failed (with var CV &gt; 0) | Equal Means", IF(AND(IFERROR(ROUND(V200,8),0)=0, IFERROR(ROUND(Y200,8),0)&gt;0),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0" s="29" t="n">
        <v>4.681897</v>
      </c>
      <c r="AB200" s="29" t="n">
        <v>0.585168</v>
      </c>
      <c r="AC200" s="29" t="n">
        <f aca="false">IFERROR(AB200/AA200*100,"N/A")</f>
        <v>12.498523568545</v>
      </c>
      <c r="AD200" s="29" t="n">
        <v>4.69353</v>
      </c>
      <c r="AE200" s="29" t="n">
        <v>0.580417</v>
      </c>
      <c r="AF200" s="29" t="n">
        <f aca="false">IFERROR(AE200/AD200*100,"N/A")</f>
        <v>12.3663212976161</v>
      </c>
      <c r="AG200" s="36" t="str">
        <f aca="false">IF(AND(Q200&gt;0, R200=0), IF(IFERROR(ROUND(AC200,8),0)=0, "Group 9: Only Passed | Without variation (no var CV = 0)", "Group 10: Only Passed | With variation (with var CV &gt; 0)"), IF(AND(Q200=0, R200&gt;0), IF(IFERROR(ROUND(AF200,8),0)=0, "Group 11: Only Failed | Without variation (no var CV = 0)", "Group 12: Only Failed | With variation (with var CV &gt; 0)"), IF(AND(Q200&gt;0, R200&gt;0), IF(ROUND(AA200,5)&lt;&gt;ROUND(AD200,5), IF(AND(IFERROR(ROUND(AC200,8),0)=0, IFERROR(ROUND(AF200,8),0)=0), "Group 1: Flaky | Passed (no variation: CV = 0) AND Failed (no variation: CV = 0) | Different Means", IF(AND(IFERROR(ROUND(AC200,8),0)&gt;0, IFERROR(ROUND(AF200,8),0)&gt;0), "Group 2: Flaky | Passed (with variation: CV &gt; 0) AND Failed (with variation: CV &gt; 0) | Different Means", IF(AND(IFERROR(ROUND(AC200,8),0)=0, IFERROR(ROUND(AF200,8),0)&gt;0), "Group 3: Flaky | Passed (no variation: CV = 0) AND Failed (with variation: CV &gt; 0) | Different Means", "Group 4: Flaky | Passed (with variation: CV &gt; 0) AND Failed (no variation: CV = 0) | Different Means"))), IF(AND(IFERROR(ROUND(AC200,8),0)=0, IFERROR(ROUND(AF200,8),0)=0), "Group 5: Flaky | Passed (no var CV = 0) AND Failed (no var CV = 0) | Equal Means", IF(AND(IFERROR(ROUND(AC200,8),0)&gt;0, IFERROR(ROUND(AF200,8),0)&gt;0), "Group 6: Flaky | Passed (with var CV &gt; 0) AND Failed (with var CV &gt; 0) | Equal Means", IF(AND(IFERROR(ROUND(AC200,8),0)=0, IFERROR(ROUND(AF200,8),0)&gt;0),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0" s="22" t="n">
        <v>4</v>
      </c>
      <c r="AI200" s="17" t="n">
        <v>96</v>
      </c>
      <c r="AJ200" s="39" t="str">
        <f aca="false">IF(AND(AH200&gt;0, AI200&gt;0), "Observed Flaky Test", "Non-observed Flaky Test")</f>
        <v>Observed Flaky Test</v>
      </c>
      <c r="AK200" s="90" t="n">
        <v>6290</v>
      </c>
      <c r="AL200" s="90" t="n">
        <v>0</v>
      </c>
      <c r="AM200" s="33" t="n">
        <f aca="false">IFERROR(AL200/AK200*100,"N/A")</f>
        <v>0</v>
      </c>
      <c r="AN200" s="90" t="n">
        <v>1838375</v>
      </c>
      <c r="AO200" s="100" t="n">
        <v>2308.89985764467</v>
      </c>
      <c r="AP200" s="35" t="n">
        <f aca="false">IFERROR(AO200/AN200*100,"N/A")</f>
        <v>0.125594607065733</v>
      </c>
      <c r="AQ200" s="41" t="str">
        <f aca="false">IF(AND(AH200&gt;0, AI200&gt;0),
    IF(ROUND(N(AK200),5)&lt;&gt;ROUND(N(AN200),5),
        IF(AND(ROUND(N(AL200),8)=0, ROUND(N(AO200),8)=0), "Group 1: Flaky | Passed (no variation: SD = 0) AND Failed (no variation: SD = 0) | Different Means",
        IF(AND(ROUND(N(AL200),8)&gt;0, ROUND(N(AO200),8)&gt;0), "Group 2: Flaky | Passed (with variation: SD &gt; 0) AND Failed (with variation: SD &gt; 0) | Different Means",
        IF(AND(ROUND(N(AL200),8)=0, ROUND(N(AO200),8)&gt;0), "Group 3: Flaky | Passed (no variation: SD = 0) AND Failed (with variation: SD &gt; 0) | Different Means",
        "Group 4: Flaky | Passed (with variation: SD &gt; 0) AND Failed (no variation: SD = 0) | Different Means"))),
        IF(AND(ROUND(N(AL200),8)=0, ROUND(N(AO200),8)=0), "Group 5: Flaky | Passed (no var SD = 0) AND Failed (no var SD = 0) | Equal Means",
        IF(AND(ROUND(N(AL200),8)&gt;0, ROUND(N(AO200),8)&gt;0), "Group 6: Flaky | Passed (with var SD &gt; 0 ) AND Failed (with var SD &gt; 0) | Equal Means",
        IF(AND(ROUND(N(AL200),8)=0, ROUND(N(AO200),8)&gt;0), "Group 7: Flaky | Passed (no var SD = 0) AND Failed (with var SD &gt; 0) | Equal Means",
        "Group 8: Flaky | Passed (with var SD &gt; 0 ) AND Failed (no var SD = 0) | Equal Means")))
    ),
    IF(AH200&gt;0,
        IF(N(AL200)&gt;0, "Group 10: Only Passed | With variation (with var SD &gt; 0)", "Group 9: Only Passed | Without variation (no var SD = 0)"),
        IF(AI200&gt;0,
            IF(N(AO200)&gt;0,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0" s="42" t="str">
        <f aca="false">IF(OR(F200="Observed Flaky Test", I200="Observed Flaky Test", S200="Observed Flaky Test", AJ200="Observed Flaky Test"), "Observed Flaky Test", "Non-observed Flaky Test")</f>
        <v>Observed Flaky Test</v>
      </c>
    </row>
    <row r="201" customFormat="false" ht="15.75" hidden="false" customHeight="true" outlineLevel="0" collapsed="false">
      <c r="A201" s="81"/>
      <c r="B201" s="14" t="s">
        <v>472</v>
      </c>
      <c r="C201" s="14" t="s">
        <v>473</v>
      </c>
      <c r="D201" s="15" t="n">
        <v>10</v>
      </c>
      <c r="E201" s="15" t="n">
        <v>90</v>
      </c>
      <c r="F201" s="61" t="str">
        <f aca="false">IF(AND(D201&gt;0, E201&gt;0), "Observed Flaky Test", "Non-observed Flaky Test")</f>
        <v>Observed Flaky Test</v>
      </c>
      <c r="G201" s="22" t="n">
        <v>10</v>
      </c>
      <c r="H201" s="22" t="n">
        <v>90</v>
      </c>
      <c r="I201" s="61" t="str">
        <f aca="false">IF(AND(G201&gt;0, H201&gt;0), "Observed Flaky Test", "Non-observed Flaky Test")</f>
        <v>Observed Flaky Test</v>
      </c>
      <c r="J201" s="18" t="n">
        <v>53.21</v>
      </c>
      <c r="K201" s="18" t="n">
        <v>0</v>
      </c>
      <c r="L201" s="19" t="n">
        <f aca="false">IFERROR(K201/J201*100,"N/A")</f>
        <v>0</v>
      </c>
      <c r="M201" s="53" t="n">
        <v>40.546333</v>
      </c>
      <c r="N201" s="53" t="n">
        <v>4.476799</v>
      </c>
      <c r="O201" s="20" t="n">
        <f aca="false">IFERROR(N201/M201*100,"N/A")</f>
        <v>11.0411932936081</v>
      </c>
      <c r="P201" s="67" t="str">
        <f aca="false">IF(AND(G201&gt;0, H201=0), IF(ROUND(K201,8)=0, "Group 9: Only Passed | Without variation (SD Passed = 0)", "Group 10: Only Passed | With variation (SD Passed &gt; 0)"), IF(AND(G201=0, H201&gt;0), IF(ROUND(N201,8)=0, "Group 11: Only Failed | Without variation (SD Failed = 0)", "Group 12: Only Failed | With variation (SD Failed &gt; 0)"), IF(AND(G201&gt;0, H201&gt;0), IF(ROUND(J201,5)&lt;&gt;ROUND(M201,5), IF(AND(ROUND(K201,8)=0, ROUND(N201,8)=0), "Group 1: Flaky | Passed (no variation) AND Failed (no variation) | Different Means", IF(AND(ROUND(K201,8)&gt;0, ROUND(N201,8)&gt;0), "Group 2: Flaky | Passed (with variation) AND Failed (with variation) | Different Means", IF(AND(ROUND(K201,8)=0, ROUND(N201,8)&gt;0), "Group 3: Flaky | Passed (no variation) AND Failed (with variation) | Different Means", "Group 4: Flaky | Passed (with variation) AND Failed (no variation) | Different Means"))), IF(AND(ROUND(K201,8)=0, ROUND(N201,8)=0), "Group 5: Flaky | Passed (no variation) AND Failed (no variation) | Equal Means", IF(AND(ROUND(K201,8)&gt;0, ROUND(N201,8)&gt;0), "Group 6: Flaky | Passed (with variation) AND Failed (with variation) | Equal Means", IF(AND(ROUND(K201,8)=0, ROUND(N201,8)&gt;0),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01" s="17" t="n">
        <v>9</v>
      </c>
      <c r="R201" s="17" t="n">
        <v>91</v>
      </c>
      <c r="S201" s="43" t="str">
        <f aca="false">IF(AND(Q201&gt;0, R201&gt;0), "Observed Flaky Test", "Non-observed Flaky Test")</f>
        <v>Observed Flaky Test</v>
      </c>
      <c r="T201" s="24" t="n">
        <v>430557.555556</v>
      </c>
      <c r="U201" s="24" t="n">
        <v>215.804953</v>
      </c>
      <c r="V201" s="25" t="n">
        <f aca="false">IFERROR(U201/T201*100,"N/A")</f>
        <v>0.0501222078709827</v>
      </c>
      <c r="W201" s="24" t="n">
        <v>557938.692308</v>
      </c>
      <c r="X201" s="24" t="n">
        <v>1457.76208</v>
      </c>
      <c r="Y201" s="27" t="n">
        <f aca="false">IFERROR(X201/W201*100,"N/A")</f>
        <v>0.261276391133539</v>
      </c>
      <c r="Z201" s="68" t="str">
        <f aca="false">IF(AND(Q201&gt;0, R201=0), IF(IFERROR(ROUND(V201,8),0)=0, "Group 9: Only Passed | Without variation (no var CV = 0)", "Group 10: Only Passed | With variation (with var CV &gt; 0)"), IF(AND(Q201=0, R201&gt;0), IF(IFERROR(ROUND(Y201,8),0)=0, "Group 11: Only Failed | Without variation (no var CV = 0)", "Group 12: Only Failed | With variation (with var CV &gt; 0)"), IF(AND(Q201&gt;0, R201&gt;0), IF(ROUND(T201,5)&lt;&gt;ROUND(W201,5), IF(AND(IFERROR(ROUND(V201,8),0)=0, IFERROR(ROUND(Y201,8),0)=0), "Group 1: Flaky | Passed (no variation: CV = 0) AND Failed (no variation: CV = 0) | Different Means", IF(AND(IFERROR(ROUND(V201,8),0)&gt;0, IFERROR(ROUND(Y201,8),0)&gt;0), "Group 2: Flaky | Passed (with variation: CV &gt; 0) AND Failed (with variation: CV &gt; 0) | Different Means", IF(AND(IFERROR(ROUND(V201,8),0)=0, IFERROR(ROUND(Y201,8),0)&gt;0), "Group 3: Flaky | Passed (no variation: CV = 0) AND Failed (with variation: CV &gt; 0) | Different Means", "Group 4: Flaky | Passed (with variation: CV &gt; 0) AND Failed (no variation: CV = 0) | Different Means"))), IF(AND(IFERROR(ROUND(V201,8),0)=0, IFERROR(ROUND(Y201,8),0)=0), "Group 5: Flaky | Passed (no var CV = 0) AND Failed (no var CV = 0) | Equal Means", IF(AND(IFERROR(ROUND(V201,8),0)&gt;0, IFERROR(ROUND(Y201,8),0)&gt;0), "Group 6: Flaky | Passed (with var CV &gt; 0) AND Failed (with var CV &gt; 0) | Equal Means", IF(AND(IFERROR(ROUND(V201,8),0)=0, IFERROR(ROUND(Y201,8),0)&gt;0),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1" s="29" t="n">
        <v>5.053903</v>
      </c>
      <c r="AB201" s="29" t="n">
        <v>1.093959</v>
      </c>
      <c r="AC201" s="29" t="n">
        <f aca="false">IFERROR(AB201/AA201*100,"N/A")</f>
        <v>21.6458250188023</v>
      </c>
      <c r="AD201" s="29" t="n">
        <v>3.955588</v>
      </c>
      <c r="AE201" s="29" t="n">
        <v>0.355241</v>
      </c>
      <c r="AF201" s="29" t="n">
        <f aca="false">IFERROR(AE201/AD201*100,"N/A")</f>
        <v>8.98073813551866</v>
      </c>
      <c r="AG201" s="36" t="str">
        <f aca="false">IF(AND(Q201&gt;0, R201=0), IF(IFERROR(ROUND(AC201,8),0)=0, "Group 9: Only Passed | Without variation (no var CV = 0)", "Group 10: Only Passed | With variation (with var CV &gt; 0)"), IF(AND(Q201=0, R201&gt;0), IF(IFERROR(ROUND(AF201,8),0)=0, "Group 11: Only Failed | Without variation (no var CV = 0)", "Group 12: Only Failed | With variation (with var CV &gt; 0)"), IF(AND(Q201&gt;0, R201&gt;0), IF(ROUND(AA201,5)&lt;&gt;ROUND(AD201,5), IF(AND(IFERROR(ROUND(AC201,8),0)=0, IFERROR(ROUND(AF201,8),0)=0), "Group 1: Flaky | Passed (no variation: CV = 0) AND Failed (no variation: CV = 0) | Different Means", IF(AND(IFERROR(ROUND(AC201,8),0)&gt;0, IFERROR(ROUND(AF201,8),0)&gt;0), "Group 2: Flaky | Passed (with variation: CV &gt; 0) AND Failed (with variation: CV &gt; 0) | Different Means", IF(AND(IFERROR(ROUND(AC201,8),0)=0, IFERROR(ROUND(AF201,8),0)&gt;0), "Group 3: Flaky | Passed (no variation: CV = 0) AND Failed (with variation: CV &gt; 0) | Different Means", "Group 4: Flaky | Passed (with variation: CV &gt; 0) AND Failed (no variation: CV = 0) | Different Means"))), IF(AND(IFERROR(ROUND(AC201,8),0)=0, IFERROR(ROUND(AF201,8),0)=0), "Group 5: Flaky | Passed (no var CV = 0) AND Failed (no var CV = 0) | Equal Means", IF(AND(IFERROR(ROUND(AC201,8),0)&gt;0, IFERROR(ROUND(AF201,8),0)&gt;0), "Group 6: Flaky | Passed (with var CV &gt; 0) AND Failed (with var CV &gt; 0) | Equal Means", IF(AND(IFERROR(ROUND(AC201,8),0)=0, IFERROR(ROUND(AF201,8),0)&gt;0),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1" s="22" t="n">
        <v>3</v>
      </c>
      <c r="AI201" s="17" t="n">
        <v>97</v>
      </c>
      <c r="AJ201" s="39" t="str">
        <f aca="false">IF(AND(AH201&gt;0, AI201&gt;0), "Observed Flaky Test", "Non-observed Flaky Test")</f>
        <v>Observed Flaky Test</v>
      </c>
      <c r="AK201" s="90" t="n">
        <v>6294</v>
      </c>
      <c r="AL201" s="90" t="n">
        <v>0</v>
      </c>
      <c r="AM201" s="33" t="n">
        <f aca="false">IFERROR(AL201/AK201*100,"N/A")</f>
        <v>0</v>
      </c>
      <c r="AN201" s="100" t="n">
        <v>1996.47422680412</v>
      </c>
      <c r="AO201" s="100" t="n">
        <v>2410.67310401742</v>
      </c>
      <c r="AP201" s="35" t="n">
        <f aca="false">IFERROR(AO201/AN201*100,"N/A")</f>
        <v>120.746517618529</v>
      </c>
      <c r="AQ201" s="41" t="str">
        <f aca="false">IF(AND(AH201&gt;0, AI201&gt;0),
    IF(ROUND(N(AK201),5)&lt;&gt;ROUND(N(AN201),5),
        IF(AND(ROUND(N(AL201),8)=0, ROUND(N(AO201),8)=0), "Group 1: Flaky | Passed (no variation: SD = 0) AND Failed (no variation: SD = 0) | Different Means",
        IF(AND(ROUND(N(AL201),8)&gt;0, ROUND(N(AO201),8)&gt;0), "Group 2: Flaky | Passed (with variation: SD &gt; 0) AND Failed (with variation: SD &gt; 0) | Different Means",
        IF(AND(ROUND(N(AL201),8)=0, ROUND(N(AO201),8)&gt;0), "Group 3: Flaky | Passed (no variation: SD = 0) AND Failed (with variation: SD &gt; 0) | Different Means",
        "Group 4: Flaky | Passed (with variation: SD &gt; 0) AND Failed (no variation: SD = 0) | Different Means"))),
        IF(AND(ROUND(N(AL201),8)=0, ROUND(N(AO201),8)=0), "Group 5: Flaky | Passed (no var SD = 0) AND Failed (no var SD = 0) | Equal Means",
        IF(AND(ROUND(N(AL201),8)&gt;0, ROUND(N(AO201),8)&gt;0), "Group 6: Flaky | Passed (with var SD &gt; 0 ) AND Failed (with var SD &gt; 0) | Equal Means",
        IF(AND(ROUND(N(AL201),8)=0, ROUND(N(AO201),8)&gt;0), "Group 7: Flaky | Passed (no var SD = 0) AND Failed (with var SD &gt; 0) | Equal Means",
        "Group 8: Flaky | Passed (with var SD &gt; 0 ) AND Failed (no var SD = 0) | Equal Means")))
    ),
    IF(AH201&gt;0,
        IF(N(AL201)&gt;0, "Group 10: Only Passed | With variation (with var SD &gt; 0)", "Group 9: Only Passed | Without variation (no var SD = 0)"),
        IF(AI201&gt;0,
            IF(N(AO201)&gt;0,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1" s="42" t="str">
        <f aca="false">IF(OR(F201="Observed Flaky Test", I201="Observed Flaky Test", S201="Observed Flaky Test", AJ201="Observed Flaky Test"), "Observed Flaky Test", "Non-observed Flaky Test")</f>
        <v>Observed Flaky Test</v>
      </c>
    </row>
    <row r="202" customFormat="false" ht="15.75" hidden="false" customHeight="true" outlineLevel="0" collapsed="false">
      <c r="A202" s="81"/>
      <c r="B202" s="14" t="s">
        <v>474</v>
      </c>
      <c r="C202" s="14" t="s">
        <v>475</v>
      </c>
      <c r="D202" s="15" t="n">
        <v>3</v>
      </c>
      <c r="E202" s="15" t="n">
        <v>97</v>
      </c>
      <c r="F202" s="61" t="str">
        <f aca="false">IF(AND(D202&gt;0, E202&gt;0), "Observed Flaky Test", "Non-observed Flaky Test")</f>
        <v>Observed Flaky Test</v>
      </c>
      <c r="G202" s="17" t="n">
        <v>4</v>
      </c>
      <c r="H202" s="17" t="n">
        <v>96</v>
      </c>
      <c r="I202" s="61" t="str">
        <f aca="false">IF(AND(G202&gt;0, H202&gt;0), "Observed Flaky Test", "Non-observed Flaky Test")</f>
        <v>Observed Flaky Test</v>
      </c>
      <c r="J202" s="74" t="n">
        <v>53.21</v>
      </c>
      <c r="K202" s="74" t="n">
        <v>0</v>
      </c>
      <c r="L202" s="19" t="n">
        <f aca="false">IFERROR(K202/J202*100,"N/A")</f>
        <v>0</v>
      </c>
      <c r="M202" s="84" t="n">
        <v>39.4625</v>
      </c>
      <c r="N202" s="84" t="n">
        <v>4.022688</v>
      </c>
      <c r="O202" s="20" t="n">
        <f aca="false">IFERROR(N202/M202*100,"N/A")</f>
        <v>10.1936978143807</v>
      </c>
      <c r="P202" s="67" t="str">
        <f aca="false">IF(AND(G202&gt;0, H202=0), IF(ROUND(K202,8)=0, "Group 9: Only Passed | Without variation (SD Passed = 0)", "Group 10: Only Passed | With variation (SD Passed &gt; 0)"), IF(AND(G202=0, H202&gt;0), IF(ROUND(N202,8)=0, "Group 11: Only Failed | Without variation (SD Failed = 0)", "Group 12: Only Failed | With variation (SD Failed &gt; 0)"), IF(AND(G202&gt;0, H202&gt;0), IF(ROUND(J202,5)&lt;&gt;ROUND(M202,5), IF(AND(ROUND(K202,8)=0, ROUND(N202,8)=0), "Group 1: Flaky | Passed (no variation) AND Failed (no variation) | Different Means", IF(AND(ROUND(K202,8)&gt;0, ROUND(N202,8)&gt;0), "Group 2: Flaky | Passed (with variation) AND Failed (with variation) | Different Means", IF(AND(ROUND(K202,8)=0, ROUND(N202,8)&gt;0), "Group 3: Flaky | Passed (no variation) AND Failed (with variation) | Different Means", "Group 4: Flaky | Passed (with variation) AND Failed (no variation) | Different Means"))), IF(AND(ROUND(K202,8)=0, ROUND(N202,8)=0), "Group 5: Flaky | Passed (no variation) AND Failed (no variation) | Equal Means", IF(AND(ROUND(K202,8)&gt;0, ROUND(N202,8)&gt;0), "Group 6: Flaky | Passed (with variation) AND Failed (with variation) | Equal Means", IF(AND(ROUND(K202,8)=0, ROUND(N202,8)&gt;0),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02" s="17" t="n">
        <v>3</v>
      </c>
      <c r="R202" s="17" t="n">
        <v>97</v>
      </c>
      <c r="S202" s="43" t="str">
        <f aca="false">IF(AND(Q202&gt;0, R202&gt;0), "Observed Flaky Test", "Non-observed Flaky Test")</f>
        <v>Observed Flaky Test</v>
      </c>
      <c r="T202" s="55" t="n">
        <v>430673</v>
      </c>
      <c r="U202" s="24" t="n">
        <v>209.616316</v>
      </c>
      <c r="V202" s="25" t="n">
        <f aca="false">IFERROR(U202/T202*100,"N/A")</f>
        <v>0.0486718034332313</v>
      </c>
      <c r="W202" s="26" t="n">
        <v>557667.051546</v>
      </c>
      <c r="X202" s="26" t="n">
        <v>119.47292</v>
      </c>
      <c r="Y202" s="27" t="n">
        <f aca="false">IFERROR(X202/W202*100,"N/A")</f>
        <v>0.0214237006953862</v>
      </c>
      <c r="Z202" s="68" t="str">
        <f aca="false">IF(AND(Q202&gt;0, R202=0), IF(IFERROR(ROUND(V202,8),0)=0, "Group 9: Only Passed | Without variation (no var CV = 0)", "Group 10: Only Passed | With variation (with var CV &gt; 0)"), IF(AND(Q202=0, R202&gt;0), IF(IFERROR(ROUND(Y202,8),0)=0, "Group 11: Only Failed | Without variation (no var CV = 0)", "Group 12: Only Failed | With variation (with var CV &gt; 0)"), IF(AND(Q202&gt;0, R202&gt;0), IF(ROUND(T202,5)&lt;&gt;ROUND(W202,5), IF(AND(IFERROR(ROUND(V202,8),0)=0, IFERROR(ROUND(Y202,8),0)=0), "Group 1: Flaky | Passed (no variation: CV = 0) AND Failed (no variation: CV = 0) | Different Means", IF(AND(IFERROR(ROUND(V202,8),0)&gt;0, IFERROR(ROUND(Y202,8),0)&gt;0), "Group 2: Flaky | Passed (with variation: CV &gt; 0) AND Failed (with variation: CV &gt; 0) | Different Means", IF(AND(IFERROR(ROUND(V202,8),0)=0, IFERROR(ROUND(Y202,8),0)&gt;0), "Group 3: Flaky | Passed (no variation: CV = 0) AND Failed (with variation: CV &gt; 0) | Different Means", "Group 4: Flaky | Passed (with variation: CV &gt; 0) AND Failed (no variation: CV = 0) | Different Means"))), IF(AND(IFERROR(ROUND(V202,8),0)=0, IFERROR(ROUND(Y202,8),0)=0), "Group 5: Flaky | Passed (no var CV = 0) AND Failed (no var CV = 0) | Equal Means", IF(AND(IFERROR(ROUND(V202,8),0)&gt;0, IFERROR(ROUND(Y202,8),0)&gt;0), "Group 6: Flaky | Passed (with var CV &gt; 0) AND Failed (with var CV &gt; 0) | Equal Means", IF(AND(IFERROR(ROUND(V202,8),0)=0, IFERROR(ROUND(Y202,8),0)&gt;0),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2" s="29" t="n">
        <v>5.259503</v>
      </c>
      <c r="AB202" s="29" t="n">
        <v>0.118347</v>
      </c>
      <c r="AC202" s="29" t="n">
        <f aca="false">IFERROR(AB202/AA202*100,"N/A")</f>
        <v>2.25015557553632</v>
      </c>
      <c r="AD202" s="29" t="n">
        <v>3.849218</v>
      </c>
      <c r="AE202" s="29" t="n">
        <v>0.33038</v>
      </c>
      <c r="AF202" s="29" t="n">
        <f aca="false">IFERROR(AE202/AD202*100,"N/A")</f>
        <v>8.58304206205001</v>
      </c>
      <c r="AG202" s="36" t="str">
        <f aca="false">IF(AND(Q202&gt;0, R202=0), IF(IFERROR(ROUND(AC202,8),0)=0, "Group 9: Only Passed | Without variation (no var CV = 0)", "Group 10: Only Passed | With variation (with var CV &gt; 0)"), IF(AND(Q202=0, R202&gt;0), IF(IFERROR(ROUND(AF202,8),0)=0, "Group 11: Only Failed | Without variation (no var CV = 0)", "Group 12: Only Failed | With variation (with var CV &gt; 0)"), IF(AND(Q202&gt;0, R202&gt;0), IF(ROUND(AA202,5)&lt;&gt;ROUND(AD202,5), IF(AND(IFERROR(ROUND(AC202,8),0)=0, IFERROR(ROUND(AF202,8),0)=0), "Group 1: Flaky | Passed (no variation: CV = 0) AND Failed (no variation: CV = 0) | Different Means", IF(AND(IFERROR(ROUND(AC202,8),0)&gt;0, IFERROR(ROUND(AF202,8),0)&gt;0), "Group 2: Flaky | Passed (with variation: CV &gt; 0) AND Failed (with variation: CV &gt; 0) | Different Means", IF(AND(IFERROR(ROUND(AC202,8),0)=0, IFERROR(ROUND(AF202,8),0)&gt;0), "Group 3: Flaky | Passed (no variation: CV = 0) AND Failed (with variation: CV &gt; 0) | Different Means", "Group 4: Flaky | Passed (with variation: CV &gt; 0) AND Failed (no variation: CV = 0) | Different Means"))), IF(AND(IFERROR(ROUND(AC202,8),0)=0, IFERROR(ROUND(AF202,8),0)=0), "Group 5: Flaky | Passed (no var CV = 0) AND Failed (no var CV = 0) | Equal Means", IF(AND(IFERROR(ROUND(AC202,8),0)&gt;0, IFERROR(ROUND(AF202,8),0)&gt;0), "Group 6: Flaky | Passed (with var CV &gt; 0) AND Failed (with var CV &gt; 0) | Equal Means", IF(AND(IFERROR(ROUND(AC202,8),0)=0, IFERROR(ROUND(AF202,8),0)&gt;0),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2" s="22" t="n">
        <v>4</v>
      </c>
      <c r="AI202" s="17" t="n">
        <v>96</v>
      </c>
      <c r="AJ202" s="39" t="str">
        <f aca="false">IF(AND(AH202&gt;0, AI202&gt;0), "Observed Flaky Test", "Non-observed Flaky Test")</f>
        <v>Observed Flaky Test</v>
      </c>
      <c r="AK202" s="90" t="n">
        <v>6288</v>
      </c>
      <c r="AL202" s="90" t="n">
        <v>0</v>
      </c>
      <c r="AM202" s="33" t="n">
        <f aca="false">IFERROR(AL202/AK202*100,"N/A")</f>
        <v>0</v>
      </c>
      <c r="AN202" s="90" t="n">
        <v>1838375</v>
      </c>
      <c r="AO202" s="100" t="n">
        <v>2308.89985764467</v>
      </c>
      <c r="AP202" s="35" t="n">
        <f aca="false">IFERROR(AO202/AN202*100,"N/A")</f>
        <v>0.125594607065733</v>
      </c>
      <c r="AQ202" s="41" t="str">
        <f aca="false">IF(AND(AH202&gt;0, AI202&gt;0),
    IF(ROUND(N(AK202),5)&lt;&gt;ROUND(N(AN202),5),
        IF(AND(ROUND(N(AL202),8)=0, ROUND(N(AO202),8)=0), "Group 1: Flaky | Passed (no variation: SD = 0) AND Failed (no variation: SD = 0) | Different Means",
        IF(AND(ROUND(N(AL202),8)&gt;0, ROUND(N(AO202),8)&gt;0), "Group 2: Flaky | Passed (with variation: SD &gt; 0) AND Failed (with variation: SD &gt; 0) | Different Means",
        IF(AND(ROUND(N(AL202),8)=0, ROUND(N(AO202),8)&gt;0), "Group 3: Flaky | Passed (no variation: SD = 0) AND Failed (with variation: SD &gt; 0) | Different Means",
        "Group 4: Flaky | Passed (with variation: SD &gt; 0) AND Failed (no variation: SD = 0) | Different Means"))),
        IF(AND(ROUND(N(AL202),8)=0, ROUND(N(AO202),8)=0), "Group 5: Flaky | Passed (no var SD = 0) AND Failed (no var SD = 0) | Equal Means",
        IF(AND(ROUND(N(AL202),8)&gt;0, ROUND(N(AO202),8)&gt;0), "Group 6: Flaky | Passed (with var SD &gt; 0 ) AND Failed (with var SD &gt; 0) | Equal Means",
        IF(AND(ROUND(N(AL202),8)=0, ROUND(N(AO202),8)&gt;0), "Group 7: Flaky | Passed (no var SD = 0) AND Failed (with var SD &gt; 0) | Equal Means",
        "Group 8: Flaky | Passed (with var SD &gt; 0 ) AND Failed (no var SD = 0) | Equal Means")))
    ),
    IF(AH202&gt;0,
        IF(N(AL202)&gt;0, "Group 10: Only Passed | With variation (with var SD &gt; 0)", "Group 9: Only Passed | Without variation (no var SD = 0)"),
        IF(AI202&gt;0,
            IF(N(AO202)&gt;0,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2" s="42" t="str">
        <f aca="false">IF(OR(F202="Observed Flaky Test", I202="Observed Flaky Test", S202="Observed Flaky Test", AJ202="Observed Flaky Test"), "Observed Flaky Test", "Non-observed Flaky Test")</f>
        <v>Observed Flaky Test</v>
      </c>
    </row>
    <row r="203" customFormat="false" ht="15.75" hidden="false" customHeight="true" outlineLevel="0" collapsed="false">
      <c r="A203" s="81"/>
      <c r="B203" s="14" t="s">
        <v>476</v>
      </c>
      <c r="C203" s="14" t="s">
        <v>477</v>
      </c>
      <c r="D203" s="15" t="n">
        <v>4</v>
      </c>
      <c r="E203" s="15" t="n">
        <v>96</v>
      </c>
      <c r="F203" s="61" t="str">
        <f aca="false">IF(AND(D203&gt;0, E203&gt;0), "Observed Flaky Test", "Non-observed Flaky Test")</f>
        <v>Observed Flaky Test</v>
      </c>
      <c r="G203" s="22" t="n">
        <v>1</v>
      </c>
      <c r="H203" s="22" t="n">
        <v>99</v>
      </c>
      <c r="I203" s="61" t="str">
        <f aca="false">IF(AND(G203&gt;0, H203&gt;0), "Observed Flaky Test", "Non-observed Flaky Test")</f>
        <v>Observed Flaky Test</v>
      </c>
      <c r="J203" s="18" t="n">
        <v>53.21</v>
      </c>
      <c r="K203" s="18" t="n">
        <v>0</v>
      </c>
      <c r="L203" s="19" t="n">
        <f aca="false">IFERROR(K203/J203*100,"N/A")</f>
        <v>0</v>
      </c>
      <c r="M203" s="53" t="n">
        <v>37.609192</v>
      </c>
      <c r="N203" s="53" t="n">
        <v>2.034368</v>
      </c>
      <c r="O203" s="20" t="n">
        <f aca="false">IFERROR(N203/M203*100,"N/A")</f>
        <v>5.40923080719203</v>
      </c>
      <c r="P203" s="67" t="str">
        <f aca="false">IF(AND(G203&gt;0, H203=0), IF(ROUND(K203,8)=0, "Group 9: Only Passed | Without variation (SD Passed = 0)", "Group 10: Only Passed | With variation (SD Passed &gt; 0)"), IF(AND(G203=0, H203&gt;0), IF(ROUND(N203,8)=0, "Group 11: Only Failed | Without variation (SD Failed = 0)", "Group 12: Only Failed | With variation (SD Failed &gt; 0)"), IF(AND(G203&gt;0, H203&gt;0), IF(ROUND(J203,5)&lt;&gt;ROUND(M203,5), IF(AND(ROUND(K203,8)=0, ROUND(N203,8)=0), "Group 1: Flaky | Passed (no variation) AND Failed (no variation) | Different Means", IF(AND(ROUND(K203,8)&gt;0, ROUND(N203,8)&gt;0), "Group 2: Flaky | Passed (with variation) AND Failed (with variation) | Different Means", IF(AND(ROUND(K203,8)=0, ROUND(N203,8)&gt;0), "Group 3: Flaky | Passed (no variation) AND Failed (with variation) | Different Means", "Group 4: Flaky | Passed (with variation) AND Failed (no variation) | Different Means"))), IF(AND(ROUND(K203,8)=0, ROUND(N203,8)=0), "Group 5: Flaky | Passed (no variation) AND Failed (no variation) | Equal Means", IF(AND(ROUND(K203,8)&gt;0, ROUND(N203,8)&gt;0), "Group 6: Flaky | Passed (with variation) AND Failed (with variation) | Equal Means", IF(AND(ROUND(K203,8)=0, ROUND(N203,8)&gt;0),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03" s="17" t="n">
        <v>4</v>
      </c>
      <c r="R203" s="17" t="n">
        <v>96</v>
      </c>
      <c r="S203" s="43" t="str">
        <f aca="false">IF(AND(Q203&gt;0, R203&gt;0), "Observed Flaky Test", "Non-observed Flaky Test")</f>
        <v>Observed Flaky Test</v>
      </c>
      <c r="T203" s="55" t="n">
        <v>430655</v>
      </c>
      <c r="U203" s="24" t="n">
        <v>167.401712</v>
      </c>
      <c r="V203" s="25" t="n">
        <f aca="false">IFERROR(U203/T203*100,"N/A")</f>
        <v>0.0388714195817998</v>
      </c>
      <c r="W203" s="24" t="n">
        <v>557671.385417</v>
      </c>
      <c r="X203" s="24" t="n">
        <v>119.991436</v>
      </c>
      <c r="Y203" s="27" t="n">
        <f aca="false">IFERROR(X203/W203*100,"N/A")</f>
        <v>0.0215165129748008</v>
      </c>
      <c r="Z203" s="68" t="str">
        <f aca="false">IF(AND(Q203&gt;0, R203=0), IF(IFERROR(ROUND(V203,8),0)=0, "Group 9: Only Passed | Without variation (no var CV = 0)", "Group 10: Only Passed | With variation (with var CV &gt; 0)"), IF(AND(Q203=0, R203&gt;0), IF(IFERROR(ROUND(Y203,8),0)=0, "Group 11: Only Failed | Without variation (no var CV = 0)", "Group 12: Only Failed | With variation (with var CV &gt; 0)"), IF(AND(Q203&gt;0, R203&gt;0), IF(ROUND(T203,5)&lt;&gt;ROUND(W203,5), IF(AND(IFERROR(ROUND(V203,8),0)=0, IFERROR(ROUND(Y203,8),0)=0), "Group 1: Flaky | Passed (no variation: CV = 0) AND Failed (no variation: CV = 0) | Different Means", IF(AND(IFERROR(ROUND(V203,8),0)&gt;0, IFERROR(ROUND(Y203,8),0)&gt;0), "Group 2: Flaky | Passed (with variation: CV &gt; 0) AND Failed (with variation: CV &gt; 0) | Different Means", IF(AND(IFERROR(ROUND(V203,8),0)=0, IFERROR(ROUND(Y203,8),0)&gt;0), "Group 3: Flaky | Passed (no variation: CV = 0) AND Failed (with variation: CV &gt; 0) | Different Means", "Group 4: Flaky | Passed (with variation: CV &gt; 0) AND Failed (no variation: CV = 0) | Different Means"))), IF(AND(IFERROR(ROUND(V203,8),0)=0, IFERROR(ROUND(Y203,8),0)=0), "Group 5: Flaky | Passed (no var CV = 0) AND Failed (no var CV = 0) | Equal Means", IF(AND(IFERROR(ROUND(V203,8),0)&gt;0, IFERROR(ROUND(Y203,8),0)&gt;0), "Group 6: Flaky | Passed (with var CV &gt; 0) AND Failed (with var CV &gt; 0) | Equal Means", IF(AND(IFERROR(ROUND(V203,8),0)=0, IFERROR(ROUND(Y203,8),0)&gt;0),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3" s="29" t="n">
        <v>6.242592</v>
      </c>
      <c r="AB203" s="29" t="n">
        <v>2.160076</v>
      </c>
      <c r="AC203" s="29" t="n">
        <f aca="false">IFERROR(AB203/AA203*100,"N/A")</f>
        <v>34.6022293303807</v>
      </c>
      <c r="AD203" s="29" t="n">
        <v>3.900689</v>
      </c>
      <c r="AE203" s="29" t="n">
        <v>0.340158</v>
      </c>
      <c r="AF203" s="29" t="n">
        <f aca="false">IFERROR(AE203/AD203*100,"N/A")</f>
        <v>8.72045938550856</v>
      </c>
      <c r="AG203" s="36" t="str">
        <f aca="false">IF(AND(Q203&gt;0, R203=0), IF(IFERROR(ROUND(AC203,8),0)=0, "Group 9: Only Passed | Without variation (no var CV = 0)", "Group 10: Only Passed | With variation (with var CV &gt; 0)"), IF(AND(Q203=0, R203&gt;0), IF(IFERROR(ROUND(AF203,8),0)=0, "Group 11: Only Failed | Without variation (no var CV = 0)", "Group 12: Only Failed | With variation (with var CV &gt; 0)"), IF(AND(Q203&gt;0, R203&gt;0), IF(ROUND(AA203,5)&lt;&gt;ROUND(AD203,5), IF(AND(IFERROR(ROUND(AC203,8),0)=0, IFERROR(ROUND(AF203,8),0)=0), "Group 1: Flaky | Passed (no variation: CV = 0) AND Failed (no variation: CV = 0) | Different Means", IF(AND(IFERROR(ROUND(AC203,8),0)&gt;0, IFERROR(ROUND(AF203,8),0)&gt;0), "Group 2: Flaky | Passed (with variation: CV &gt; 0) AND Failed (with variation: CV &gt; 0) | Different Means", IF(AND(IFERROR(ROUND(AC203,8),0)=0, IFERROR(ROUND(AF203,8),0)&gt;0), "Group 3: Flaky | Passed (no variation: CV = 0) AND Failed (with variation: CV &gt; 0) | Different Means", "Group 4: Flaky | Passed (with variation: CV &gt; 0) AND Failed (no variation: CV = 0) | Different Means"))), IF(AND(IFERROR(ROUND(AC203,8),0)=0, IFERROR(ROUND(AF203,8),0)=0), "Group 5: Flaky | Passed (no var CV = 0) AND Failed (no var CV = 0) | Equal Means", IF(AND(IFERROR(ROUND(AC203,8),0)&gt;0, IFERROR(ROUND(AF203,8),0)&gt;0), "Group 6: Flaky | Passed (with var CV &gt; 0) AND Failed (with var CV &gt; 0) | Equal Means", IF(AND(IFERROR(ROUND(AC203,8),0)=0, IFERROR(ROUND(AF203,8),0)&gt;0),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3" s="22" t="n">
        <v>5</v>
      </c>
      <c r="AI203" s="17" t="n">
        <v>95</v>
      </c>
      <c r="AJ203" s="39" t="str">
        <f aca="false">IF(AND(AH203&gt;0, AI203&gt;0), "Observed Flaky Test", "Non-observed Flaky Test")</f>
        <v>Observed Flaky Test</v>
      </c>
      <c r="AK203" s="90" t="n">
        <v>6290</v>
      </c>
      <c r="AL203" s="90" t="n">
        <v>0</v>
      </c>
      <c r="AM203" s="33" t="n">
        <f aca="false">IFERROR(AL203/AK203*100,"N/A")</f>
        <v>0</v>
      </c>
      <c r="AN203" s="100" t="n">
        <v>1909.65263157894</v>
      </c>
      <c r="AO203" s="100" t="n">
        <v>2356.18440997222</v>
      </c>
      <c r="AP203" s="35" t="n">
        <f aca="false">IFERROR(AO203/AN203*100,"N/A")</f>
        <v>123.382879745207</v>
      </c>
      <c r="AQ203" s="41" t="str">
        <f aca="false">IF(AND(AH203&gt;0, AI203&gt;0),
    IF(ROUND(N(AK203),5)&lt;&gt;ROUND(N(AN203),5),
        IF(AND(ROUND(N(AL203),8)=0, ROUND(N(AO203),8)=0), "Group 1: Flaky | Passed (no variation: SD = 0) AND Failed (no variation: SD = 0) | Different Means",
        IF(AND(ROUND(N(AL203),8)&gt;0, ROUND(N(AO203),8)&gt;0), "Group 2: Flaky | Passed (with variation: SD &gt; 0) AND Failed (with variation: SD &gt; 0) | Different Means",
        IF(AND(ROUND(N(AL203),8)=0, ROUND(N(AO203),8)&gt;0), "Group 3: Flaky | Passed (no variation: SD = 0) AND Failed (with variation: SD &gt; 0) | Different Means",
        "Group 4: Flaky | Passed (with variation: SD &gt; 0) AND Failed (no variation: SD = 0) | Different Means"))),
        IF(AND(ROUND(N(AL203),8)=0, ROUND(N(AO203),8)=0), "Group 5: Flaky | Passed (no var SD = 0) AND Failed (no var SD = 0) | Equal Means",
        IF(AND(ROUND(N(AL203),8)&gt;0, ROUND(N(AO203),8)&gt;0), "Group 6: Flaky | Passed (with var SD &gt; 0 ) AND Failed (with var SD &gt; 0) | Equal Means",
        IF(AND(ROUND(N(AL203),8)=0, ROUND(N(AO203),8)&gt;0), "Group 7: Flaky | Passed (no var SD = 0) AND Failed (with var SD &gt; 0) | Equal Means",
        "Group 8: Flaky | Passed (with var SD &gt; 0 ) AND Failed (no var SD = 0) | Equal Means")))
    ),
    IF(AH203&gt;0,
        IF(N(AL203)&gt;0, "Group 10: Only Passed | With variation (with var SD &gt; 0)", "Group 9: Only Passed | Without variation (no var SD = 0)"),
        IF(AI203&gt;0,
            IF(N(AO203)&gt;0,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3" s="42" t="str">
        <f aca="false">IF(OR(F203="Observed Flaky Test", I203="Observed Flaky Test", S203="Observed Flaky Test", AJ203="Observed Flaky Test"), "Observed Flaky Test", "Non-observed Flaky Test")</f>
        <v>Observed Flaky Test</v>
      </c>
    </row>
    <row r="204" customFormat="false" ht="15.75" hidden="false" customHeight="true" outlineLevel="0" collapsed="false">
      <c r="A204" s="81"/>
      <c r="B204" s="14" t="s">
        <v>478</v>
      </c>
      <c r="C204" s="14" t="s">
        <v>479</v>
      </c>
      <c r="D204" s="15" t="n">
        <v>3</v>
      </c>
      <c r="E204" s="15" t="n">
        <v>97</v>
      </c>
      <c r="F204" s="61" t="str">
        <f aca="false">IF(AND(D204&gt;0, E204&gt;0), "Observed Flaky Test", "Non-observed Flaky Test")</f>
        <v>Observed Flaky Test</v>
      </c>
      <c r="G204" s="22" t="n">
        <v>0</v>
      </c>
      <c r="H204" s="22" t="n">
        <v>100</v>
      </c>
      <c r="I204" s="16" t="str">
        <f aca="false">IF(AND(G204&gt;0, H204&gt;0), "Observed Flaky Test", "Non-observed Flaky Test")</f>
        <v>Non-observed Flaky Test</v>
      </c>
      <c r="J204" s="18" t="n">
        <v>0</v>
      </c>
      <c r="K204" s="18" t="n">
        <v>0</v>
      </c>
      <c r="L204" s="19" t="str">
        <f aca="false">IFERROR(K204/J204*100,"N/A")</f>
        <v>N/A</v>
      </c>
      <c r="M204" s="18" t="n">
        <v>37.14</v>
      </c>
      <c r="N204" s="18" t="n">
        <v>0</v>
      </c>
      <c r="O204" s="20" t="n">
        <f aca="false">IFERROR(N204/M204*100,"N/A")</f>
        <v>0</v>
      </c>
      <c r="P204" s="21" t="str">
        <f aca="false">IF(AND(G204&gt;0, H204=0), IF(ROUND(K204,8)=0, "Group 9: Only Passed | Without variation (SD Passed = 0)", "Group 10: Only Passed | With variation (SD Passed &gt; 0)"), IF(AND(G204=0, H204&gt;0), IF(ROUND(N204,8)=0, "Group 11: Only Failed | Without variation (SD Failed = 0)", "Group 12: Only Failed | With variation (SD Failed &gt; 0)"), IF(AND(G204&gt;0, H204&gt;0), IF(ROUND(J204,5)&lt;&gt;ROUND(M204,5), IF(AND(ROUND(K204,8)=0, ROUND(N204,8)=0), "Group 1: Flaky | Passed (no variation) AND Failed (no variation) | Different Means", IF(AND(ROUND(K204,8)&gt;0, ROUND(N204,8)&gt;0), "Group 2: Flaky | Passed (with variation) AND Failed (with variation) | Different Means", IF(AND(ROUND(K204,8)=0, ROUND(N204,8)&gt;0), "Group 3: Flaky | Passed (no variation) AND Failed (with variation) | Different Means", "Group 4: Flaky | Passed (with variation) AND Failed (no variation) | Different Means"))), IF(AND(ROUND(K204,8)=0, ROUND(N204,8)=0), "Group 5: Flaky | Passed (no variation) AND Failed (no variation) | Equal Means", IF(AND(ROUND(K204,8)&gt;0, ROUND(N204,8)&gt;0), "Group 6: Flaky | Passed (with variation) AND Failed (with variation) | Equal Means", IF(AND(ROUND(K204,8)=0, ROUND(N204,8)&gt;0),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04" s="17" t="n">
        <v>4</v>
      </c>
      <c r="R204" s="17" t="n">
        <v>96</v>
      </c>
      <c r="S204" s="43" t="str">
        <f aca="false">IF(AND(Q204&gt;0, R204&gt;0), "Observed Flaky Test", "Non-observed Flaky Test")</f>
        <v>Observed Flaky Test</v>
      </c>
      <c r="T204" s="55" t="n">
        <v>431246.25</v>
      </c>
      <c r="U204" s="24" t="n">
        <v>204.247195</v>
      </c>
      <c r="V204" s="25" t="n">
        <f aca="false">IFERROR(U204/T204*100,"N/A")</f>
        <v>0.0473620802499732</v>
      </c>
      <c r="W204" s="55" t="n">
        <v>557705.5</v>
      </c>
      <c r="X204" s="24" t="n">
        <v>121.878887</v>
      </c>
      <c r="Y204" s="27" t="n">
        <f aca="false">IFERROR(X204/W204*100,"N/A")</f>
        <v>0.021853628303827</v>
      </c>
      <c r="Z204" s="68" t="str">
        <f aca="false">IF(AND(Q204&gt;0, R204=0), IF(IFERROR(ROUND(V204,8),0)=0, "Group 9: Only Passed | Without variation (no var CV = 0)", "Group 10: Only Passed | With variation (with var CV &gt; 0)"), IF(AND(Q204=0, R204&gt;0), IF(IFERROR(ROUND(Y204,8),0)=0, "Group 11: Only Failed | Without variation (no var CV = 0)", "Group 12: Only Failed | With variation (with var CV &gt; 0)"), IF(AND(Q204&gt;0, R204&gt;0), IF(ROUND(T204,5)&lt;&gt;ROUND(W204,5), IF(AND(IFERROR(ROUND(V204,8),0)=0, IFERROR(ROUND(Y204,8),0)=0), "Group 1: Flaky | Passed (no variation: CV = 0) AND Failed (no variation: CV = 0) | Different Means", IF(AND(IFERROR(ROUND(V204,8),0)&gt;0, IFERROR(ROUND(Y204,8),0)&gt;0), "Group 2: Flaky | Passed (with variation: CV &gt; 0) AND Failed (with variation: CV &gt; 0) | Different Means", IF(AND(IFERROR(ROUND(V204,8),0)=0, IFERROR(ROUND(Y204,8),0)&gt;0), "Group 3: Flaky | Passed (no variation: CV = 0) AND Failed (with variation: CV &gt; 0) | Different Means", "Group 4: Flaky | Passed (with variation: CV &gt; 0) AND Failed (no variation: CV = 0) | Different Means"))), IF(AND(IFERROR(ROUND(V204,8),0)=0, IFERROR(ROUND(Y204,8),0)=0), "Group 5: Flaky | Passed (no var CV = 0) AND Failed (no var CV = 0) | Equal Means", IF(AND(IFERROR(ROUND(V204,8),0)&gt;0, IFERROR(ROUND(Y204,8),0)&gt;0), "Group 6: Flaky | Passed (with var CV &gt; 0) AND Failed (with var CV &gt; 0) | Equal Means", IF(AND(IFERROR(ROUND(V204,8),0)=0, IFERROR(ROUND(Y204,8),0)&gt;0),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4" s="29" t="n">
        <v>6.011398</v>
      </c>
      <c r="AB204" s="29" t="n">
        <v>0.860604</v>
      </c>
      <c r="AC204" s="29" t="n">
        <f aca="false">IFERROR(AB204/AA204*100,"N/A")</f>
        <v>14.3162039844975</v>
      </c>
      <c r="AD204" s="29" t="n">
        <v>3.925457</v>
      </c>
      <c r="AE204" s="29" t="n">
        <v>0.305575</v>
      </c>
      <c r="AF204" s="29" t="n">
        <f aca="false">IFERROR(AE204/AD204*100,"N/A")</f>
        <v>7.78444395136668</v>
      </c>
      <c r="AG204" s="36" t="str">
        <f aca="false">IF(AND(Q204&gt;0, R204=0), IF(IFERROR(ROUND(AC204,8),0)=0, "Group 9: Only Passed | Without variation (no var CV = 0)", "Group 10: Only Passed | With variation (with var CV &gt; 0)"), IF(AND(Q204=0, R204&gt;0), IF(IFERROR(ROUND(AF204,8),0)=0, "Group 11: Only Failed | Without variation (no var CV = 0)", "Group 12: Only Failed | With variation (with var CV &gt; 0)"), IF(AND(Q204&gt;0, R204&gt;0), IF(ROUND(AA204,5)&lt;&gt;ROUND(AD204,5), IF(AND(IFERROR(ROUND(AC204,8),0)=0, IFERROR(ROUND(AF204,8),0)=0), "Group 1: Flaky | Passed (no variation: CV = 0) AND Failed (no variation: CV = 0) | Different Means", IF(AND(IFERROR(ROUND(AC204,8),0)&gt;0, IFERROR(ROUND(AF204,8),0)&gt;0), "Group 2: Flaky | Passed (with variation: CV &gt; 0) AND Failed (with variation: CV &gt; 0) | Different Means", IF(AND(IFERROR(ROUND(AC204,8),0)=0, IFERROR(ROUND(AF204,8),0)&gt;0), "Group 3: Flaky | Passed (no variation: CV = 0) AND Failed (with variation: CV &gt; 0) | Different Means", "Group 4: Flaky | Passed (with variation: CV &gt; 0) AND Failed (no variation: CV = 0) | Different Means"))), IF(AND(IFERROR(ROUND(AC204,8),0)=0, IFERROR(ROUND(AF204,8),0)=0), "Group 5: Flaky | Passed (no var CV = 0) AND Failed (no var CV = 0) | Equal Means", IF(AND(IFERROR(ROUND(AC204,8),0)&gt;0, IFERROR(ROUND(AF204,8),0)&gt;0), "Group 6: Flaky | Passed (with var CV &gt; 0) AND Failed (with var CV &gt; 0) | Equal Means", IF(AND(IFERROR(ROUND(AC204,8),0)=0, IFERROR(ROUND(AF204,8),0)&gt;0),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4" s="22" t="n">
        <v>4</v>
      </c>
      <c r="AI204" s="17" t="n">
        <v>96</v>
      </c>
      <c r="AJ204" s="39" t="str">
        <f aca="false">IF(AND(AH204&gt;0, AI204&gt;0), "Observed Flaky Test", "Non-observed Flaky Test")</f>
        <v>Observed Flaky Test</v>
      </c>
      <c r="AK204" s="90" t="n">
        <v>6579</v>
      </c>
      <c r="AL204" s="90" t="n">
        <v>0</v>
      </c>
      <c r="AM204" s="33" t="n">
        <f aca="false">IFERROR(AL204/AK204*100,"N/A")</f>
        <v>0</v>
      </c>
      <c r="AN204" s="90" t="n">
        <v>1838375</v>
      </c>
      <c r="AO204" s="100" t="n">
        <v>2308.89985764467</v>
      </c>
      <c r="AP204" s="35" t="n">
        <f aca="false">IFERROR(AO204/AN204*100,"N/A")</f>
        <v>0.125594607065733</v>
      </c>
      <c r="AQ204" s="41" t="str">
        <f aca="false">IF(AND(AH204&gt;0, AI204&gt;0),
    IF(ROUND(N(AK204),5)&lt;&gt;ROUND(N(AN204),5),
        IF(AND(ROUND(N(AL204),8)=0, ROUND(N(AO204),8)=0), "Group 1: Flaky | Passed (no variation: SD = 0) AND Failed (no variation: SD = 0) | Different Means",
        IF(AND(ROUND(N(AL204),8)&gt;0, ROUND(N(AO204),8)&gt;0), "Group 2: Flaky | Passed (with variation: SD &gt; 0) AND Failed (with variation: SD &gt; 0) | Different Means",
        IF(AND(ROUND(N(AL204),8)=0, ROUND(N(AO204),8)&gt;0), "Group 3: Flaky | Passed (no variation: SD = 0) AND Failed (with variation: SD &gt; 0) | Different Means",
        "Group 4: Flaky | Passed (with variation: SD &gt; 0) AND Failed (no variation: SD = 0) | Different Means"))),
        IF(AND(ROUND(N(AL204),8)=0, ROUND(N(AO204),8)=0), "Group 5: Flaky | Passed (no var SD = 0) AND Failed (no var SD = 0) | Equal Means",
        IF(AND(ROUND(N(AL204),8)&gt;0, ROUND(N(AO204),8)&gt;0), "Group 6: Flaky | Passed (with var SD &gt; 0 ) AND Failed (with var SD &gt; 0) | Equal Means",
        IF(AND(ROUND(N(AL204),8)=0, ROUND(N(AO204),8)&gt;0), "Group 7: Flaky | Passed (no var SD = 0) AND Failed (with var SD &gt; 0) | Equal Means",
        "Group 8: Flaky | Passed (with var SD &gt; 0 ) AND Failed (no var SD = 0) | Equal Means")))
    ),
    IF(AH204&gt;0,
        IF(N(AL204)&gt;0, "Group 10: Only Passed | With variation (with var SD &gt; 0)", "Group 9: Only Passed | Without variation (no var SD = 0)"),
        IF(AI204&gt;0,
            IF(N(AO204)&gt;0,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4" s="42" t="str">
        <f aca="false">IF(OR(F204="Observed Flaky Test", I204="Observed Flaky Test", S204="Observed Flaky Test", AJ204="Observed Flaky Test"), "Observed Flaky Test", "Non-observed Flaky Test")</f>
        <v>Observed Flaky Test</v>
      </c>
    </row>
    <row r="205" customFormat="false" ht="15.75" hidden="false" customHeight="true" outlineLevel="0" collapsed="false">
      <c r="A205" s="81"/>
      <c r="B205" s="14" t="s">
        <v>480</v>
      </c>
      <c r="C205" s="14" t="s">
        <v>481</v>
      </c>
      <c r="D205" s="15" t="n">
        <v>4</v>
      </c>
      <c r="E205" s="15" t="n">
        <v>96</v>
      </c>
      <c r="F205" s="61" t="str">
        <f aca="false">IF(AND(D205&gt;0, E205&gt;0), "Observed Flaky Test", "Non-observed Flaky Test")</f>
        <v>Observed Flaky Test</v>
      </c>
      <c r="G205" s="22" t="n">
        <v>1</v>
      </c>
      <c r="H205" s="22" t="n">
        <v>99</v>
      </c>
      <c r="I205" s="61" t="str">
        <f aca="false">IF(AND(G205&gt;0, H205&gt;0), "Observed Flaky Test", "Non-observed Flaky Test")</f>
        <v>Observed Flaky Test</v>
      </c>
      <c r="J205" s="18" t="n">
        <v>57.14</v>
      </c>
      <c r="K205" s="18" t="n">
        <v>0</v>
      </c>
      <c r="L205" s="19" t="n">
        <f aca="false">IFERROR(K205/J205*100,"N/A")</f>
        <v>0</v>
      </c>
      <c r="M205" s="18" t="n">
        <v>37.14</v>
      </c>
      <c r="N205" s="18" t="n">
        <v>0</v>
      </c>
      <c r="O205" s="20" t="n">
        <f aca="false">IFERROR(N205/M205*100,"N/A")</f>
        <v>0</v>
      </c>
      <c r="P205" s="78" t="str">
        <f aca="false">IF(AND(G205&gt;0, H205=0), IF(ROUND(K205,8)=0, "Group 9: Only Passed | Without variation (SD Passed = 0)", "Group 10: Only Passed | With variation (SD Passed &gt; 0)"), IF(AND(G205=0, H205&gt;0), IF(ROUND(N205,8)=0, "Group 11: Only Failed | Without variation (SD Failed = 0)", "Group 12: Only Failed | With variation (SD Failed &gt; 0)"), IF(AND(G205&gt;0, H205&gt;0), IF(ROUND(J205,5)&lt;&gt;ROUND(M205,5), IF(AND(ROUND(K205,8)=0, ROUND(N205,8)=0), "Group 1: Flaky | Passed (no variation) AND Failed (no variation) | Different Means", IF(AND(ROUND(K205,8)&gt;0, ROUND(N205,8)&gt;0), "Group 2: Flaky | Passed (with variation) AND Failed (with variation) | Different Means", IF(AND(ROUND(K205,8)=0, ROUND(N205,8)&gt;0), "Group 3: Flaky | Passed (no variation) AND Failed (with variation) | Different Means", "Group 4: Flaky | Passed (with variation) AND Failed (no variation) | Different Means"))), IF(AND(ROUND(K205,8)=0, ROUND(N205,8)=0), "Group 5: Flaky | Passed (no variation) AND Failed (no variation) | Equal Means", IF(AND(ROUND(K205,8)&gt;0, ROUND(N205,8)&gt;0), "Group 6: Flaky | Passed (with variation) AND Failed (with variation) | Equal Means", IF(AND(ROUND(K205,8)=0, ROUND(N205,8)&gt;0),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05" s="17" t="n">
        <v>3</v>
      </c>
      <c r="R205" s="17" t="n">
        <v>97</v>
      </c>
      <c r="S205" s="43" t="str">
        <f aca="false">IF(AND(Q205&gt;0, R205&gt;0), "Observed Flaky Test", "Non-observed Flaky Test")</f>
        <v>Observed Flaky Test</v>
      </c>
      <c r="T205" s="55" t="n">
        <v>431089</v>
      </c>
      <c r="U205" s="24" t="n">
        <v>12.165525</v>
      </c>
      <c r="V205" s="25" t="n">
        <f aca="false">IFERROR(U205/T205*100,"N/A")</f>
        <v>0.00282204486776513</v>
      </c>
      <c r="W205" s="24" t="n">
        <v>557661.938144</v>
      </c>
      <c r="X205" s="24" t="n">
        <v>92.495587</v>
      </c>
      <c r="Y205" s="27" t="n">
        <f aca="false">IFERROR(X205/W205*100,"N/A")</f>
        <v>0.016586318820295</v>
      </c>
      <c r="Z205" s="68" t="str">
        <f aca="false">IF(AND(Q205&gt;0, R205=0), IF(IFERROR(ROUND(V205,8),0)=0, "Group 9: Only Passed | Without variation (no var CV = 0)", "Group 10: Only Passed | With variation (with var CV &gt; 0)"), IF(AND(Q205=0, R205&gt;0), IF(IFERROR(ROUND(Y205,8),0)=0, "Group 11: Only Failed | Without variation (no var CV = 0)", "Group 12: Only Failed | With variation (with var CV &gt; 0)"), IF(AND(Q205&gt;0, R205&gt;0), IF(ROUND(T205,5)&lt;&gt;ROUND(W205,5), IF(AND(IFERROR(ROUND(V205,8),0)=0, IFERROR(ROUND(Y205,8),0)=0), "Group 1: Flaky | Passed (no variation: CV = 0) AND Failed (no variation: CV = 0) | Different Means", IF(AND(IFERROR(ROUND(V205,8),0)&gt;0, IFERROR(ROUND(Y205,8),0)&gt;0), "Group 2: Flaky | Passed (with variation: CV &gt; 0) AND Failed (with variation: CV &gt; 0) | Different Means", IF(AND(IFERROR(ROUND(V205,8),0)=0, IFERROR(ROUND(Y205,8),0)&gt;0), "Group 3: Flaky | Passed (no variation: CV = 0) AND Failed (with variation: CV &gt; 0) | Different Means", "Group 4: Flaky | Passed (with variation: CV &gt; 0) AND Failed (no variation: CV = 0) | Different Means"))), IF(AND(IFERROR(ROUND(V205,8),0)=0, IFERROR(ROUND(Y205,8),0)=0), "Group 5: Flaky | Passed (no var CV = 0) AND Failed (no var CV = 0) | Equal Means", IF(AND(IFERROR(ROUND(V205,8),0)&gt;0, IFERROR(ROUND(Y205,8),0)&gt;0), "Group 6: Flaky | Passed (with var CV &gt; 0) AND Failed (with var CV &gt; 0) | Equal Means", IF(AND(IFERROR(ROUND(V205,8),0)=0, IFERROR(ROUND(Y205,8),0)&gt;0),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5" s="29" t="n">
        <v>5.581337</v>
      </c>
      <c r="AB205" s="29" t="n">
        <v>0.633764</v>
      </c>
      <c r="AC205" s="29" t="n">
        <f aca="false">IFERROR(AB205/AA205*100,"N/A")</f>
        <v>11.3550570409921</v>
      </c>
      <c r="AD205" s="29" t="n">
        <v>3.898174</v>
      </c>
      <c r="AE205" s="29" t="n">
        <v>0.352581</v>
      </c>
      <c r="AF205" s="29" t="n">
        <f aca="false">IFERROR(AE205/AD205*100,"N/A")</f>
        <v>9.04477327076729</v>
      </c>
      <c r="AG205" s="36" t="str">
        <f aca="false">IF(AND(Q205&gt;0, R205=0), IF(IFERROR(ROUND(AC205,8),0)=0, "Group 9: Only Passed | Without variation (no var CV = 0)", "Group 10: Only Passed | With variation (with var CV &gt; 0)"), IF(AND(Q205=0, R205&gt;0), IF(IFERROR(ROUND(AF205,8),0)=0, "Group 11: Only Failed | Without variation (no var CV = 0)", "Group 12: Only Failed | With variation (with var CV &gt; 0)"), IF(AND(Q205&gt;0, R205&gt;0), IF(ROUND(AA205,5)&lt;&gt;ROUND(AD205,5), IF(AND(IFERROR(ROUND(AC205,8),0)=0, IFERROR(ROUND(AF205,8),0)=0), "Group 1: Flaky | Passed (no variation: CV = 0) AND Failed (no variation: CV = 0) | Different Means", IF(AND(IFERROR(ROUND(AC205,8),0)&gt;0, IFERROR(ROUND(AF205,8),0)&gt;0), "Group 2: Flaky | Passed (with variation: CV &gt; 0) AND Failed (with variation: CV &gt; 0) | Different Means", IF(AND(IFERROR(ROUND(AC205,8),0)=0, IFERROR(ROUND(AF205,8),0)&gt;0), "Group 3: Flaky | Passed (no variation: CV = 0) AND Failed (with variation: CV &gt; 0) | Different Means", "Group 4: Flaky | Passed (with variation: CV &gt; 0) AND Failed (no variation: CV = 0) | Different Means"))), IF(AND(IFERROR(ROUND(AC205,8),0)=0, IFERROR(ROUND(AF205,8),0)=0), "Group 5: Flaky | Passed (no var CV = 0) AND Failed (no var CV = 0) | Equal Means", IF(AND(IFERROR(ROUND(AC205,8),0)&gt;0, IFERROR(ROUND(AF205,8),0)&gt;0), "Group 6: Flaky | Passed (with var CV &gt; 0) AND Failed (with var CV &gt; 0) | Equal Means", IF(AND(IFERROR(ROUND(AC205,8),0)=0, IFERROR(ROUND(AF205,8),0)&gt;0),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5" s="22" t="n">
        <v>3</v>
      </c>
      <c r="AI205" s="17" t="n">
        <v>97</v>
      </c>
      <c r="AJ205" s="39" t="str">
        <f aca="false">IF(AND(AH205&gt;0, AI205&gt;0), "Observed Flaky Test", "Non-observed Flaky Test")</f>
        <v>Observed Flaky Test</v>
      </c>
      <c r="AK205" s="90" t="n">
        <v>6579</v>
      </c>
      <c r="AL205" s="90" t="n">
        <v>0</v>
      </c>
      <c r="AM205" s="33" t="n">
        <f aca="false">IFERROR(AL205/AK205*100,"N/A")</f>
        <v>0</v>
      </c>
      <c r="AN205" s="100" t="n">
        <v>1881.91752577319</v>
      </c>
      <c r="AO205" s="100" t="n">
        <v>2339.43094785757</v>
      </c>
      <c r="AP205" s="35" t="n">
        <f aca="false">IFERROR(AO205/AN205*100,"N/A")</f>
        <v>124.311024038974</v>
      </c>
      <c r="AQ205" s="41" t="str">
        <f aca="false">IF(AND(AH205&gt;0, AI205&gt;0),
    IF(ROUND(N(AK205),5)&lt;&gt;ROUND(N(AN205),5),
        IF(AND(ROUND(N(AL205),8)=0, ROUND(N(AO205),8)=0), "Group 1: Flaky | Passed (no variation: SD = 0) AND Failed (no variation: SD = 0) | Different Means",
        IF(AND(ROUND(N(AL205),8)&gt;0, ROUND(N(AO205),8)&gt;0), "Group 2: Flaky | Passed (with variation: SD &gt; 0) AND Failed (with variation: SD &gt; 0) | Different Means",
        IF(AND(ROUND(N(AL205),8)=0, ROUND(N(AO205),8)&gt;0), "Group 3: Flaky | Passed (no variation: SD = 0) AND Failed (with variation: SD &gt; 0) | Different Means",
        "Group 4: Flaky | Passed (with variation: SD &gt; 0) AND Failed (no variation: SD = 0) | Different Means"))),
        IF(AND(ROUND(N(AL205),8)=0, ROUND(N(AO205),8)=0), "Group 5: Flaky | Passed (no var SD = 0) AND Failed (no var SD = 0) | Equal Means",
        IF(AND(ROUND(N(AL205),8)&gt;0, ROUND(N(AO205),8)&gt;0), "Group 6: Flaky | Passed (with var SD &gt; 0 ) AND Failed (with var SD &gt; 0) | Equal Means",
        IF(AND(ROUND(N(AL205),8)=0, ROUND(N(AO205),8)&gt;0), "Group 7: Flaky | Passed (no var SD = 0) AND Failed (with var SD &gt; 0) | Equal Means",
        "Group 8: Flaky | Passed (with var SD &gt; 0 ) AND Failed (no var SD = 0) | Equal Means")))
    ),
    IF(AH205&gt;0,
        IF(N(AL205)&gt;0, "Group 10: Only Passed | With variation (with var SD &gt; 0)", "Group 9: Only Passed | Without variation (no var SD = 0)"),
        IF(AI205&gt;0,
            IF(N(AO205)&gt;0,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5" s="42" t="str">
        <f aca="false">IF(OR(F205="Observed Flaky Test", I205="Observed Flaky Test", S205="Observed Flaky Test", AJ205="Observed Flaky Test"), "Observed Flaky Test", "Non-observed Flaky Test")</f>
        <v>Observed Flaky Test</v>
      </c>
    </row>
    <row r="206" customFormat="false" ht="15.75" hidden="false" customHeight="true" outlineLevel="0" collapsed="false">
      <c r="A206" s="81"/>
      <c r="B206" s="14" t="s">
        <v>482</v>
      </c>
      <c r="C206" s="14" t="s">
        <v>483</v>
      </c>
      <c r="D206" s="15" t="n">
        <v>3</v>
      </c>
      <c r="E206" s="15" t="n">
        <v>97</v>
      </c>
      <c r="F206" s="61" t="str">
        <f aca="false">IF(AND(D206&gt;0, E206&gt;0), "Observed Flaky Test", "Non-observed Flaky Test")</f>
        <v>Observed Flaky Test</v>
      </c>
      <c r="G206" s="22" t="n">
        <v>0</v>
      </c>
      <c r="H206" s="22" t="n">
        <v>100</v>
      </c>
      <c r="I206" s="16" t="str">
        <f aca="false">IF(AND(G206&gt;0, H206&gt;0), "Observed Flaky Test", "Non-observed Flaky Test")</f>
        <v>Non-observed Flaky Test</v>
      </c>
      <c r="J206" s="18" t="n">
        <v>0</v>
      </c>
      <c r="K206" s="18" t="n">
        <v>0</v>
      </c>
      <c r="L206" s="19" t="str">
        <f aca="false">IFERROR(K206/J206*100,"N/A")</f>
        <v>N/A</v>
      </c>
      <c r="M206" s="18" t="n">
        <v>37.14</v>
      </c>
      <c r="N206" s="18" t="n">
        <v>0</v>
      </c>
      <c r="O206" s="20" t="n">
        <f aca="false">IFERROR(N206/M206*100,"N/A")</f>
        <v>0</v>
      </c>
      <c r="P206" s="21" t="str">
        <f aca="false">IF(AND(G206&gt;0, H206=0), IF(ROUND(K206,8)=0, "Group 9: Only Passed | Without variation (SD Passed = 0)", "Group 10: Only Passed | With variation (SD Passed &gt; 0)"), IF(AND(G206=0, H206&gt;0), IF(ROUND(N206,8)=0, "Group 11: Only Failed | Without variation (SD Failed = 0)", "Group 12: Only Failed | With variation (SD Failed &gt; 0)"), IF(AND(G206&gt;0, H206&gt;0), IF(ROUND(J206,5)&lt;&gt;ROUND(M206,5), IF(AND(ROUND(K206,8)=0, ROUND(N206,8)=0), "Group 1: Flaky | Passed (no variation) AND Failed (no variation) | Different Means", IF(AND(ROUND(K206,8)&gt;0, ROUND(N206,8)&gt;0), "Group 2: Flaky | Passed (with variation) AND Failed (with variation) | Different Means", IF(AND(ROUND(K206,8)=0, ROUND(N206,8)&gt;0), "Group 3: Flaky | Passed (no variation) AND Failed (with variation) | Different Means", "Group 4: Flaky | Passed (with variation) AND Failed (no variation) | Different Means"))), IF(AND(ROUND(K206,8)=0, ROUND(N206,8)=0), "Group 5: Flaky | Passed (no variation) AND Failed (no variation) | Equal Means", IF(AND(ROUND(K206,8)&gt;0, ROUND(N206,8)&gt;0), "Group 6: Flaky | Passed (with variation) AND Failed (with variation) | Equal Means", IF(AND(ROUND(K206,8)=0, ROUND(N206,8)&gt;0),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06" s="17" t="n">
        <v>4</v>
      </c>
      <c r="R206" s="17" t="n">
        <v>96</v>
      </c>
      <c r="S206" s="43" t="str">
        <f aca="false">IF(AND(Q206&gt;0, R206&gt;0), "Observed Flaky Test", "Non-observed Flaky Test")</f>
        <v>Observed Flaky Test</v>
      </c>
      <c r="T206" s="22" t="n">
        <v>431176.25</v>
      </c>
      <c r="U206" s="24" t="n">
        <v>172.571483</v>
      </c>
      <c r="V206" s="25" t="n">
        <f aca="false">IFERROR(U206/T206*100,"N/A")</f>
        <v>0.0400234203530459</v>
      </c>
      <c r="W206" s="58" t="n">
        <v>557711125</v>
      </c>
      <c r="X206" s="24" t="n">
        <v>124.316087</v>
      </c>
      <c r="Y206" s="27" t="n">
        <f aca="false">IFERROR(X206/W206*100,"N/A")</f>
        <v>2.22904083184642E-005</v>
      </c>
      <c r="Z206" s="68" t="str">
        <f aca="false">IF(AND(Q206&gt;0, R206=0), IF(IFERROR(ROUND(V206,8),0)=0, "Group 9: Only Passed | Without variation (no var CV = 0)", "Group 10: Only Passed | With variation (with var CV &gt; 0)"), IF(AND(Q206=0, R206&gt;0), IF(IFERROR(ROUND(Y206,8),0)=0, "Group 11: Only Failed | Without variation (no var CV = 0)", "Group 12: Only Failed | With variation (with var CV &gt; 0)"), IF(AND(Q206&gt;0, R206&gt;0), IF(ROUND(T206,5)&lt;&gt;ROUND(W206,5), IF(AND(IFERROR(ROUND(V206,8),0)=0, IFERROR(ROUND(Y206,8),0)=0), "Group 1: Flaky | Passed (no variation: CV = 0) AND Failed (no variation: CV = 0) | Different Means", IF(AND(IFERROR(ROUND(V206,8),0)&gt;0, IFERROR(ROUND(Y206,8),0)&gt;0), "Group 2: Flaky | Passed (with variation: CV &gt; 0) AND Failed (with variation: CV &gt; 0) | Different Means", IF(AND(IFERROR(ROUND(V206,8),0)=0, IFERROR(ROUND(Y206,8),0)&gt;0), "Group 3: Flaky | Passed (no variation: CV = 0) AND Failed (with variation: CV &gt; 0) | Different Means", "Group 4: Flaky | Passed (with variation: CV &gt; 0) AND Failed (no variation: CV = 0) | Different Means"))), IF(AND(IFERROR(ROUND(V206,8),0)=0, IFERROR(ROUND(Y206,8),0)=0), "Group 5: Flaky | Passed (no var CV = 0) AND Failed (no var CV = 0) | Equal Means", IF(AND(IFERROR(ROUND(V206,8),0)&gt;0, IFERROR(ROUND(Y206,8),0)&gt;0), "Group 6: Flaky | Passed (with var CV &gt; 0) AND Failed (with var CV &gt; 0) | Equal Means", IF(AND(IFERROR(ROUND(V206,8),0)=0, IFERROR(ROUND(Y206,8),0)&gt;0),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6" s="29" t="n">
        <v>5.487186</v>
      </c>
      <c r="AB206" s="29" t="n">
        <v>0.636758</v>
      </c>
      <c r="AC206" s="29" t="n">
        <f aca="false">IFERROR(AB206/AA206*100,"N/A")</f>
        <v>11.6044544507877</v>
      </c>
      <c r="AD206" s="29" t="n">
        <v>3.941246</v>
      </c>
      <c r="AE206" s="29" t="n">
        <v>0.345167</v>
      </c>
      <c r="AF206" s="29" t="n">
        <f aca="false">IFERROR(AE206/AD206*100,"N/A")</f>
        <v>8.75781415318912</v>
      </c>
      <c r="AG206" s="36" t="str">
        <f aca="false">IF(AND(Q206&gt;0, R206=0), IF(IFERROR(ROUND(AC206,8),0)=0, "Group 9: Only Passed | Without variation (no var CV = 0)", "Group 10: Only Passed | With variation (with var CV &gt; 0)"), IF(AND(Q206=0, R206&gt;0), IF(IFERROR(ROUND(AF206,8),0)=0, "Group 11: Only Failed | Without variation (no var CV = 0)", "Group 12: Only Failed | With variation (with var CV &gt; 0)"), IF(AND(Q206&gt;0, R206&gt;0), IF(ROUND(AA206,5)&lt;&gt;ROUND(AD206,5), IF(AND(IFERROR(ROUND(AC206,8),0)=0, IFERROR(ROUND(AF206,8),0)=0), "Group 1: Flaky | Passed (no variation: CV = 0) AND Failed (no variation: CV = 0) | Different Means", IF(AND(IFERROR(ROUND(AC206,8),0)&gt;0, IFERROR(ROUND(AF206,8),0)&gt;0), "Group 2: Flaky | Passed (with variation: CV &gt; 0) AND Failed (with variation: CV &gt; 0) | Different Means", IF(AND(IFERROR(ROUND(AC206,8),0)=0, IFERROR(ROUND(AF206,8),0)&gt;0), "Group 3: Flaky | Passed (no variation: CV = 0) AND Failed (with variation: CV &gt; 0) | Different Means", "Group 4: Flaky | Passed (with variation: CV &gt; 0) AND Failed (no variation: CV = 0) | Different Means"))), IF(AND(IFERROR(ROUND(AC206,8),0)=0, IFERROR(ROUND(AF206,8),0)=0), "Group 5: Flaky | Passed (no var CV = 0) AND Failed (no var CV = 0) | Equal Means", IF(AND(IFERROR(ROUND(AC206,8),0)&gt;0, IFERROR(ROUND(AF206,8),0)&gt;0), "Group 6: Flaky | Passed (with var CV &gt; 0) AND Failed (with var CV &gt; 0) | Equal Means", IF(AND(IFERROR(ROUND(AC206,8),0)=0, IFERROR(ROUND(AF206,8),0)&gt;0),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6" s="22" t="n">
        <v>5</v>
      </c>
      <c r="AI206" s="17" t="n">
        <v>95</v>
      </c>
      <c r="AJ206" s="39" t="str">
        <f aca="false">IF(AND(AH206&gt;0, AI206&gt;0), "Observed Flaky Test", "Non-observed Flaky Test")</f>
        <v>Observed Flaky Test</v>
      </c>
      <c r="AK206" s="90" t="n">
        <v>6579</v>
      </c>
      <c r="AL206" s="90" t="n">
        <v>0</v>
      </c>
      <c r="AM206" s="33" t="n">
        <f aca="false">IFERROR(AL206/AK206*100,"N/A")</f>
        <v>0</v>
      </c>
      <c r="AN206" s="100" t="n">
        <v>1791.45263157894</v>
      </c>
      <c r="AO206" s="100" t="n">
        <v>2277.77107721104</v>
      </c>
      <c r="AP206" s="35" t="n">
        <f aca="false">IFERROR(AO206/AN206*100,"N/A")</f>
        <v>127.146598076862</v>
      </c>
      <c r="AQ206" s="41" t="str">
        <f aca="false">IF(AND(AH206&gt;0, AI206&gt;0),
    IF(ROUND(N(AK206),5)&lt;&gt;ROUND(N(AN206),5),
        IF(AND(ROUND(N(AL206),8)=0, ROUND(N(AO206),8)=0), "Group 1: Flaky | Passed (no variation: SD = 0) AND Failed (no variation: SD = 0) | Different Means",
        IF(AND(ROUND(N(AL206),8)&gt;0, ROUND(N(AO206),8)&gt;0), "Group 2: Flaky | Passed (with variation: SD &gt; 0) AND Failed (with variation: SD &gt; 0) | Different Means",
        IF(AND(ROUND(N(AL206),8)=0, ROUND(N(AO206),8)&gt;0), "Group 3: Flaky | Passed (no variation: SD = 0) AND Failed (with variation: SD &gt; 0) | Different Means",
        "Group 4: Flaky | Passed (with variation: SD &gt; 0) AND Failed (no variation: SD = 0) | Different Means"))),
        IF(AND(ROUND(N(AL206),8)=0, ROUND(N(AO206),8)=0), "Group 5: Flaky | Passed (no var SD = 0) AND Failed (no var SD = 0) | Equal Means",
        IF(AND(ROUND(N(AL206),8)&gt;0, ROUND(N(AO206),8)&gt;0), "Group 6: Flaky | Passed (with var SD &gt; 0 ) AND Failed (with var SD &gt; 0) | Equal Means",
        IF(AND(ROUND(N(AL206),8)=0, ROUND(N(AO206),8)&gt;0), "Group 7: Flaky | Passed (no var SD = 0) AND Failed (with var SD &gt; 0) | Equal Means",
        "Group 8: Flaky | Passed (with var SD &gt; 0 ) AND Failed (no var SD = 0) | Equal Means")))
    ),
    IF(AH206&gt;0,
        IF(N(AL206)&gt;0, "Group 10: Only Passed | With variation (with var SD &gt; 0)", "Group 9: Only Passed | Without variation (no var SD = 0)"),
        IF(AI206&gt;0,
            IF(N(AO206)&gt;0,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6" s="42" t="str">
        <f aca="false">IF(OR(F206="Observed Flaky Test", I206="Observed Flaky Test", S206="Observed Flaky Test", AJ206="Observed Flaky Test"), "Observed Flaky Test", "Non-observed Flaky Test")</f>
        <v>Observed Flaky Test</v>
      </c>
    </row>
    <row r="207" customFormat="false" ht="15.75" hidden="false" customHeight="true" outlineLevel="0" collapsed="false">
      <c r="A207" s="81"/>
      <c r="B207" s="14" t="s">
        <v>484</v>
      </c>
      <c r="C207" s="14" t="s">
        <v>485</v>
      </c>
      <c r="D207" s="15" t="n">
        <v>4</v>
      </c>
      <c r="E207" s="15" t="n">
        <v>96</v>
      </c>
      <c r="F207" s="61" t="str">
        <f aca="false">IF(AND(D207&gt;0, E207&gt;0), "Observed Flaky Test", "Non-observed Flaky Test")</f>
        <v>Observed Flaky Test</v>
      </c>
      <c r="G207" s="22" t="n">
        <v>0</v>
      </c>
      <c r="H207" s="22" t="n">
        <v>100</v>
      </c>
      <c r="I207" s="16" t="str">
        <f aca="false">IF(AND(G207&gt;0, H207&gt;0), "Observed Flaky Test", "Non-observed Flaky Test")</f>
        <v>Non-observed Flaky Test</v>
      </c>
      <c r="J207" s="18" t="n">
        <v>0</v>
      </c>
      <c r="K207" s="18" t="n">
        <v>0</v>
      </c>
      <c r="L207" s="19" t="str">
        <f aca="false">IFERROR(K207/J207*100,"N/A")</f>
        <v>N/A</v>
      </c>
      <c r="M207" s="18" t="n">
        <v>37.14</v>
      </c>
      <c r="N207" s="18" t="n">
        <v>0</v>
      </c>
      <c r="O207" s="20" t="n">
        <f aca="false">IFERROR(N207/M207*100,"N/A")</f>
        <v>0</v>
      </c>
      <c r="P207" s="21" t="str">
        <f aca="false">IF(AND(G207&gt;0, H207=0), IF(ROUND(K207,8)=0, "Group 9: Only Passed | Without variation (SD Passed = 0)", "Group 10: Only Passed | With variation (SD Passed &gt; 0)"), IF(AND(G207=0, H207&gt;0), IF(ROUND(N207,8)=0, "Group 11: Only Failed | Without variation (SD Failed = 0)", "Group 12: Only Failed | With variation (SD Failed &gt; 0)"), IF(AND(G207&gt;0, H207&gt;0), IF(ROUND(J207,5)&lt;&gt;ROUND(M207,5), IF(AND(ROUND(K207,8)=0, ROUND(N207,8)=0), "Group 1: Flaky | Passed (no variation) AND Failed (no variation) | Different Means", IF(AND(ROUND(K207,8)&gt;0, ROUND(N207,8)&gt;0), "Group 2: Flaky | Passed (with variation) AND Failed (with variation) | Different Means", IF(AND(ROUND(K207,8)=0, ROUND(N207,8)&gt;0), "Group 3: Flaky | Passed (no variation) AND Failed (with variation) | Different Means", "Group 4: Flaky | Passed (with variation) AND Failed (no variation) | Different Means"))), IF(AND(ROUND(K207,8)=0, ROUND(N207,8)=0), "Group 5: Flaky | Passed (no variation) AND Failed (no variation) | Equal Means", IF(AND(ROUND(K207,8)&gt;0, ROUND(N207,8)&gt;0), "Group 6: Flaky | Passed (with variation) AND Failed (with variation) | Equal Means", IF(AND(ROUND(K207,8)=0, ROUND(N207,8)&gt;0),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07" s="17" t="n">
        <v>3</v>
      </c>
      <c r="R207" s="17" t="n">
        <v>97</v>
      </c>
      <c r="S207" s="43" t="str">
        <f aca="false">IF(AND(Q207&gt;0, R207&gt;0), "Observed Flaky Test", "Non-observed Flaky Test")</f>
        <v>Observed Flaky Test</v>
      </c>
      <c r="T207" s="24" t="n">
        <v>431227.333333</v>
      </c>
      <c r="U207" s="26" t="n">
        <v>188.505526</v>
      </c>
      <c r="V207" s="25" t="n">
        <f aca="false">IFERROR(U207/T207*100,"N/A")</f>
        <v>0.0437137239290983</v>
      </c>
      <c r="W207" s="24" t="n">
        <v>557720.701031</v>
      </c>
      <c r="X207" s="24" t="n">
        <v>122.686267</v>
      </c>
      <c r="Y207" s="27" t="n">
        <f aca="false">IFERROR(X207/W207*100,"N/A")</f>
        <v>0.0219977968852873</v>
      </c>
      <c r="Z207" s="68" t="str">
        <f aca="false">IF(AND(Q207&gt;0, R207=0), IF(IFERROR(ROUND(V207,8),0)=0, "Group 9: Only Passed | Without variation (no var CV = 0)", "Group 10: Only Passed | With variation (with var CV &gt; 0)"), IF(AND(Q207=0, R207&gt;0), IF(IFERROR(ROUND(Y207,8),0)=0, "Group 11: Only Failed | Without variation (no var CV = 0)", "Group 12: Only Failed | With variation (with var CV &gt; 0)"), IF(AND(Q207&gt;0, R207&gt;0), IF(ROUND(T207,5)&lt;&gt;ROUND(W207,5), IF(AND(IFERROR(ROUND(V207,8),0)=0, IFERROR(ROUND(Y207,8),0)=0), "Group 1: Flaky | Passed (no variation: CV = 0) AND Failed (no variation: CV = 0) | Different Means", IF(AND(IFERROR(ROUND(V207,8),0)&gt;0, IFERROR(ROUND(Y207,8),0)&gt;0), "Group 2: Flaky | Passed (with variation: CV &gt; 0) AND Failed (with variation: CV &gt; 0) | Different Means", IF(AND(IFERROR(ROUND(V207,8),0)=0, IFERROR(ROUND(Y207,8),0)&gt;0), "Group 3: Flaky | Passed (no variation: CV = 0) AND Failed (with variation: CV &gt; 0) | Different Means", "Group 4: Flaky | Passed (with variation: CV &gt; 0) AND Failed (no variation: CV = 0) | Different Means"))), IF(AND(IFERROR(ROUND(V207,8),0)=0, IFERROR(ROUND(Y207,8),0)=0), "Group 5: Flaky | Passed (no var CV = 0) AND Failed (no var CV = 0) | Equal Means", IF(AND(IFERROR(ROUND(V207,8),0)&gt;0, IFERROR(ROUND(Y207,8),0)&gt;0), "Group 6: Flaky | Passed (with var CV &gt; 0) AND Failed (with var CV &gt; 0) | Equal Means", IF(AND(IFERROR(ROUND(V207,8),0)=0, IFERROR(ROUND(Y207,8),0)&gt;0),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7" s="29" t="n">
        <v>8.369019</v>
      </c>
      <c r="AB207" s="29" t="n">
        <v>3.532574</v>
      </c>
      <c r="AC207" s="29" t="n">
        <f aca="false">IFERROR(AB207/AA207*100,"N/A")</f>
        <v>42.2101323942508</v>
      </c>
      <c r="AD207" s="29" t="n">
        <v>3.960882</v>
      </c>
      <c r="AE207" s="29" t="n">
        <v>0.281475</v>
      </c>
      <c r="AF207" s="29" t="n">
        <f aca="false">IFERROR(AE207/AD207*100,"N/A")</f>
        <v>7.10637176265286</v>
      </c>
      <c r="AG207" s="36" t="str">
        <f aca="false">IF(AND(Q207&gt;0, R207=0), IF(IFERROR(ROUND(AC207,8),0)=0, "Group 9: Only Passed | Without variation (no var CV = 0)", "Group 10: Only Passed | With variation (with var CV &gt; 0)"), IF(AND(Q207=0, R207&gt;0), IF(IFERROR(ROUND(AF207,8),0)=0, "Group 11: Only Failed | Without variation (no var CV = 0)", "Group 12: Only Failed | With variation (with var CV &gt; 0)"), IF(AND(Q207&gt;0, R207&gt;0), IF(ROUND(AA207,5)&lt;&gt;ROUND(AD207,5), IF(AND(IFERROR(ROUND(AC207,8),0)=0, IFERROR(ROUND(AF207,8),0)=0), "Group 1: Flaky | Passed (no variation: CV = 0) AND Failed (no variation: CV = 0) | Different Means", IF(AND(IFERROR(ROUND(AC207,8),0)&gt;0, IFERROR(ROUND(AF207,8),0)&gt;0), "Group 2: Flaky | Passed (with variation: CV &gt; 0) AND Failed (with variation: CV &gt; 0) | Different Means", IF(AND(IFERROR(ROUND(AC207,8),0)=0, IFERROR(ROUND(AF207,8),0)&gt;0), "Group 3: Flaky | Passed (no variation: CV = 0) AND Failed (with variation: CV &gt; 0) | Different Means", "Group 4: Flaky | Passed (with variation: CV &gt; 0) AND Failed (no variation: CV = 0) | Different Means"))), IF(AND(IFERROR(ROUND(AC207,8),0)=0, IFERROR(ROUND(AF207,8),0)=0), "Group 5: Flaky | Passed (no var CV = 0) AND Failed (no var CV = 0) | Equal Means", IF(AND(IFERROR(ROUND(AC207,8),0)&gt;0, IFERROR(ROUND(AF207,8),0)&gt;0), "Group 6: Flaky | Passed (with var CV &gt; 0) AND Failed (with var CV &gt; 0) | Equal Means", IF(AND(IFERROR(ROUND(AC207,8),0)=0, IFERROR(ROUND(AF207,8),0)&gt;0),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7" s="22" t="n">
        <v>3</v>
      </c>
      <c r="AI207" s="17" t="n">
        <v>97</v>
      </c>
      <c r="AJ207" s="39" t="str">
        <f aca="false">IF(AND(AH207&gt;0, AI207&gt;0), "Observed Flaky Test", "Non-observed Flaky Test")</f>
        <v>Observed Flaky Test</v>
      </c>
      <c r="AK207" s="90" t="n">
        <v>6579</v>
      </c>
      <c r="AL207" s="90" t="n">
        <v>0</v>
      </c>
      <c r="AM207" s="33" t="n">
        <f aca="false">IFERROR(AL207/AK207*100,"N/A")</f>
        <v>0</v>
      </c>
      <c r="AN207" s="94" t="n">
        <v>621.793814432989</v>
      </c>
      <c r="AO207" s="97" t="n">
        <v>11.8795501320633</v>
      </c>
      <c r="AP207" s="35" t="n">
        <f aca="false">IFERROR(AO207/AN207*100,"N/A")</f>
        <v>1.91052883710273</v>
      </c>
      <c r="AQ207" s="41" t="str">
        <f aca="false">IF(AND(AH207&gt;0, AI207&gt;0),
    IF(ROUND(N(AK207),5)&lt;&gt;ROUND(N(AN207),5),
        IF(AND(ROUND(N(AL207),8)=0, ROUND(N(AO207),8)=0), "Group 1: Flaky | Passed (no variation: SD = 0) AND Failed (no variation: SD = 0) | Different Means",
        IF(AND(ROUND(N(AL207),8)&gt;0, ROUND(N(AO207),8)&gt;0), "Group 2: Flaky | Passed (with variation: SD &gt; 0) AND Failed (with variation: SD &gt; 0) | Different Means",
        IF(AND(ROUND(N(AL207),8)=0, ROUND(N(AO207),8)&gt;0), "Group 3: Flaky | Passed (no variation: SD = 0) AND Failed (with variation: SD &gt; 0) | Different Means",
        "Group 4: Flaky | Passed (with variation: SD &gt; 0) AND Failed (no variation: SD = 0) | Different Means"))),
        IF(AND(ROUND(N(AL207),8)=0, ROUND(N(AO207),8)=0), "Group 5: Flaky | Passed (no var SD = 0) AND Failed (no var SD = 0) | Equal Means",
        IF(AND(ROUND(N(AL207),8)&gt;0, ROUND(N(AO207),8)&gt;0), "Group 6: Flaky | Passed (with var SD &gt; 0 ) AND Failed (with var SD &gt; 0) | Equal Means",
        IF(AND(ROUND(N(AL207),8)=0, ROUND(N(AO207),8)&gt;0), "Group 7: Flaky | Passed (no var SD = 0) AND Failed (with var SD &gt; 0) | Equal Means",
        "Group 8: Flaky | Passed (with var SD &gt; 0 ) AND Failed (no var SD = 0) | Equal Means")))
    ),
    IF(AH207&gt;0,
        IF(N(AL207)&gt;0, "Group 10: Only Passed | With variation (with var SD &gt; 0)", "Group 9: Only Passed | Without variation (no var SD = 0)"),
        IF(AI207&gt;0,
            IF(N(AO207)&gt;0,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07" s="42" t="str">
        <f aca="false">IF(OR(F207="Observed Flaky Test", I207="Observed Flaky Test", S207="Observed Flaky Test", AJ207="Observed Flaky Test"), "Observed Flaky Test", "Non-observed Flaky Test")</f>
        <v>Observed Flaky Test</v>
      </c>
    </row>
    <row r="208" customFormat="false" ht="15.75" hidden="false" customHeight="true" outlineLevel="0" collapsed="false">
      <c r="A208" s="81"/>
      <c r="B208" s="14" t="s">
        <v>486</v>
      </c>
      <c r="C208" s="14" t="s">
        <v>487</v>
      </c>
      <c r="D208" s="15" t="n">
        <v>4</v>
      </c>
      <c r="E208" s="15" t="n">
        <v>96</v>
      </c>
      <c r="F208" s="61" t="str">
        <f aca="false">IF(AND(D208&gt;0, E208&gt;0), "Observed Flaky Test", "Non-observed Flaky Test")</f>
        <v>Observed Flaky Test</v>
      </c>
      <c r="G208" s="22" t="n">
        <v>1</v>
      </c>
      <c r="H208" s="22" t="n">
        <v>99</v>
      </c>
      <c r="I208" s="61" t="str">
        <f aca="false">IF(AND(G208&gt;0, H208&gt;0), "Observed Flaky Test", "Non-observed Flaky Test")</f>
        <v>Observed Flaky Test</v>
      </c>
      <c r="J208" s="18" t="n">
        <v>57.14</v>
      </c>
      <c r="K208" s="18" t="n">
        <v>0</v>
      </c>
      <c r="L208" s="19" t="n">
        <f aca="false">IFERROR(K208/J208*100,"N/A")</f>
        <v>0</v>
      </c>
      <c r="M208" s="18" t="n">
        <v>37.14</v>
      </c>
      <c r="N208" s="18" t="n">
        <v>0</v>
      </c>
      <c r="O208" s="20" t="n">
        <f aca="false">IFERROR(N208/M208*100,"N/A")</f>
        <v>0</v>
      </c>
      <c r="P208" s="78" t="str">
        <f aca="false">IF(AND(G208&gt;0, H208=0), IF(ROUND(K208,8)=0, "Group 9: Only Passed | Without variation (SD Passed = 0)", "Group 10: Only Passed | With variation (SD Passed &gt; 0)"), IF(AND(G208=0, H208&gt;0), IF(ROUND(N208,8)=0, "Group 11: Only Failed | Without variation (SD Failed = 0)", "Group 12: Only Failed | With variation (SD Failed &gt; 0)"), IF(AND(G208&gt;0, H208&gt;0), IF(ROUND(J208,5)&lt;&gt;ROUND(M208,5), IF(AND(ROUND(K208,8)=0, ROUND(N208,8)=0), "Group 1: Flaky | Passed (no variation) AND Failed (no variation) | Different Means", IF(AND(ROUND(K208,8)&gt;0, ROUND(N208,8)&gt;0), "Group 2: Flaky | Passed (with variation) AND Failed (with variation) | Different Means", IF(AND(ROUND(K208,8)=0, ROUND(N208,8)&gt;0), "Group 3: Flaky | Passed (no variation) AND Failed (with variation) | Different Means", "Group 4: Flaky | Passed (with variation) AND Failed (no variation) | Different Means"))), IF(AND(ROUND(K208,8)=0, ROUND(N208,8)=0), "Group 5: Flaky | Passed (no variation) AND Failed (no variation) | Equal Means", IF(AND(ROUND(K208,8)&gt;0, ROUND(N208,8)&gt;0), "Group 6: Flaky | Passed (with variation) AND Failed (with variation) | Equal Means", IF(AND(ROUND(K208,8)=0, ROUND(N208,8)&gt;0),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08" s="17" t="n">
        <v>4</v>
      </c>
      <c r="R208" s="17" t="n">
        <v>96</v>
      </c>
      <c r="S208" s="43" t="str">
        <f aca="false">IF(AND(Q208&gt;0, R208&gt;0), "Observed Flaky Test", "Non-observed Flaky Test")</f>
        <v>Observed Flaky Test</v>
      </c>
      <c r="T208" s="55" t="n">
        <v>431290.5</v>
      </c>
      <c r="U208" s="24" t="n">
        <v>194.042092</v>
      </c>
      <c r="V208" s="25" t="n">
        <f aca="false">IFERROR(U208/T208*100,"N/A")</f>
        <v>0.0449910424644178</v>
      </c>
      <c r="W208" s="24" t="n">
        <v>557721.854167</v>
      </c>
      <c r="X208" s="24" t="n">
        <v>123.466081</v>
      </c>
      <c r="Y208" s="27" t="n">
        <f aca="false">IFERROR(X208/W208*100,"N/A")</f>
        <v>0.0221375727125497</v>
      </c>
      <c r="Z208" s="68" t="str">
        <f aca="false">IF(AND(Q208&gt;0, R208=0), IF(IFERROR(ROUND(V208,8),0)=0, "Group 9: Only Passed | Without variation (no var CV = 0)", "Group 10: Only Passed | With variation (with var CV &gt; 0)"), IF(AND(Q208=0, R208&gt;0), IF(IFERROR(ROUND(Y208,8),0)=0, "Group 11: Only Failed | Without variation (no var CV = 0)", "Group 12: Only Failed | With variation (with var CV &gt; 0)"), IF(AND(Q208&gt;0, R208&gt;0), IF(ROUND(T208,5)&lt;&gt;ROUND(W208,5), IF(AND(IFERROR(ROUND(V208,8),0)=0, IFERROR(ROUND(Y208,8),0)=0), "Group 1: Flaky | Passed (no variation: CV = 0) AND Failed (no variation: CV = 0) | Different Means", IF(AND(IFERROR(ROUND(V208,8),0)&gt;0, IFERROR(ROUND(Y208,8),0)&gt;0), "Group 2: Flaky | Passed (with variation: CV &gt; 0) AND Failed (with variation: CV &gt; 0) | Different Means", IF(AND(IFERROR(ROUND(V208,8),0)=0, IFERROR(ROUND(Y208,8),0)&gt;0), "Group 3: Flaky | Passed (no variation: CV = 0) AND Failed (with variation: CV &gt; 0) | Different Means", "Group 4: Flaky | Passed (with variation: CV &gt; 0) AND Failed (no variation: CV = 0) | Different Means"))), IF(AND(IFERROR(ROUND(V208,8),0)=0, IFERROR(ROUND(Y208,8),0)=0), "Group 5: Flaky | Passed (no var CV = 0) AND Failed (no var CV = 0) | Equal Means", IF(AND(IFERROR(ROUND(V208,8),0)&gt;0, IFERROR(ROUND(Y208,8),0)&gt;0), "Group 6: Flaky | Passed (with var CV &gt; 0) AND Failed (with var CV &gt; 0) | Equal Means", IF(AND(IFERROR(ROUND(V208,8),0)=0, IFERROR(ROUND(Y208,8),0)&gt;0),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8" s="29" t="n">
        <v>5.145935</v>
      </c>
      <c r="AB208" s="29" t="n">
        <v>0.235406</v>
      </c>
      <c r="AC208" s="29" t="n">
        <f aca="false">IFERROR(AB208/AA208*100,"N/A")</f>
        <v>4.5746011171925</v>
      </c>
      <c r="AD208" s="29" t="n">
        <v>3.926696</v>
      </c>
      <c r="AE208" s="29" t="n">
        <v>0.317287</v>
      </c>
      <c r="AF208" s="29" t="n">
        <f aca="false">IFERROR(AE208/AD208*100,"N/A")</f>
        <v>8.08025372985329</v>
      </c>
      <c r="AG208" s="36" t="str">
        <f aca="false">IF(AND(Q208&gt;0, R208=0), IF(IFERROR(ROUND(AC208,8),0)=0, "Group 9: Only Passed | Without variation (no var CV = 0)", "Group 10: Only Passed | With variation (with var CV &gt; 0)"), IF(AND(Q208=0, R208&gt;0), IF(IFERROR(ROUND(AF208,8),0)=0, "Group 11: Only Failed | Without variation (no var CV = 0)", "Group 12: Only Failed | With variation (with var CV &gt; 0)"), IF(AND(Q208&gt;0, R208&gt;0), IF(ROUND(AA208,5)&lt;&gt;ROUND(AD208,5), IF(AND(IFERROR(ROUND(AC208,8),0)=0, IFERROR(ROUND(AF208,8),0)=0), "Group 1: Flaky | Passed (no variation: CV = 0) AND Failed (no variation: CV = 0) | Different Means", IF(AND(IFERROR(ROUND(AC208,8),0)&gt;0, IFERROR(ROUND(AF208,8),0)&gt;0), "Group 2: Flaky | Passed (with variation: CV &gt; 0) AND Failed (with variation: CV &gt; 0) | Different Means", IF(AND(IFERROR(ROUND(AC208,8),0)=0, IFERROR(ROUND(AF208,8),0)&gt;0), "Group 3: Flaky | Passed (no variation: CV = 0) AND Failed (with variation: CV &gt; 0) | Different Means", "Group 4: Flaky | Passed (with variation: CV &gt; 0) AND Failed (no variation: CV = 0) | Different Means"))), IF(AND(IFERROR(ROUND(AC208,8),0)=0, IFERROR(ROUND(AF208,8),0)=0), "Group 5: Flaky | Passed (no var CV = 0) AND Failed (no var CV = 0) | Equal Means", IF(AND(IFERROR(ROUND(AC208,8),0)&gt;0, IFERROR(ROUND(AF208,8),0)&gt;0), "Group 6: Flaky | Passed (with var CV &gt; 0) AND Failed (with var CV &gt; 0) | Equal Means", IF(AND(IFERROR(ROUND(AC208,8),0)=0, IFERROR(ROUND(AF208,8),0)&gt;0),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8" s="22" t="n">
        <v>0</v>
      </c>
      <c r="AI208" s="17" t="n">
        <v>100</v>
      </c>
      <c r="AJ208" s="31" t="str">
        <f aca="false">IF(AND(AH208&gt;0, AI208&gt;0), "Observed Flaky Test", "Non-observed Flaky Test")</f>
        <v>Non-observed Flaky Test</v>
      </c>
      <c r="AK208" s="90" t="n">
        <v>0</v>
      </c>
      <c r="AL208" s="90" t="n">
        <v>0</v>
      </c>
      <c r="AM208" s="33" t="str">
        <f aca="false">IFERROR(AL208/AK208*100,"N/A")</f>
        <v>N/A</v>
      </c>
      <c r="AN208" s="90" t="n">
        <v>617.15</v>
      </c>
      <c r="AO208" s="97" t="n">
        <v>25.6280208862381</v>
      </c>
      <c r="AP208" s="35" t="n">
        <f aca="false">IFERROR(AO208/AN208*100,"N/A")</f>
        <v>4.1526405065605</v>
      </c>
      <c r="AQ208" s="36" t="str">
        <f aca="false">IF(AND(AH208&gt;0, AI208&gt;0),
    IF(ROUND(N(AK208),5)&lt;&gt;ROUND(N(AN208),5),
        IF(AND(ROUND(N(AL208),8)=0, ROUND(N(AO208),8)=0), "Group 1: Flaky | Passed (no variation: SD = 0) AND Failed (no variation: SD = 0) | Different Means",
        IF(AND(ROUND(N(AL208),8)&gt;0, ROUND(N(AO208),8)&gt;0), "Group 2: Flaky | Passed (with variation: SD &gt; 0) AND Failed (with variation: SD &gt; 0) | Different Means",
        IF(AND(ROUND(N(AL208),8)=0, ROUND(N(AO208),8)&gt;0), "Group 3: Flaky | Passed (no variation: SD = 0) AND Failed (with variation: SD &gt; 0) | Different Means",
        "Group 4: Flaky | Passed (with variation: SD &gt; 0) AND Failed (no variation: SD = 0) | Different Means"))),
        IF(AND(ROUND(N(AL208),8)=0, ROUND(N(AO208),8)=0), "Group 5: Flaky | Passed (no var SD = 0) AND Failed (no var SD = 0) | Equal Means",
        IF(AND(ROUND(N(AL208),8)&gt;0, ROUND(N(AO208),8)&gt;0), "Group 6: Flaky | Passed (with var SD &gt; 0 ) AND Failed (with var SD &gt; 0) | Equal Means",
        IF(AND(ROUND(N(AL208),8)=0, ROUND(N(AO208),8)&gt;0), "Group 7: Flaky | Passed (no var SD = 0) AND Failed (with var SD &gt; 0) | Equal Means",
        "Group 8: Flaky | Passed (with var SD &gt; 0 ) AND Failed (no var SD = 0) | Equal Means")))
    ),
    IF(AH208&gt;0,
        IF(N(AL208)&gt;0, "Group 10: Only Passed | With variation (with var SD &gt; 0)", "Group 9: Only Passed | Without variation (no var SD = 0)"),
        IF(AI208&gt;0,
            IF(N(AO208)&gt;0,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08" s="42" t="str">
        <f aca="false">IF(OR(F208="Observed Flaky Test", I208="Observed Flaky Test", S208="Observed Flaky Test", AJ208="Observed Flaky Test"), "Observed Flaky Test", "Non-observed Flaky Test")</f>
        <v>Observed Flaky Test</v>
      </c>
    </row>
    <row r="209" customFormat="false" ht="15.75" hidden="false" customHeight="true" outlineLevel="0" collapsed="false">
      <c r="A209" s="81"/>
      <c r="B209" s="14" t="s">
        <v>488</v>
      </c>
      <c r="C209" s="14" t="s">
        <v>489</v>
      </c>
      <c r="D209" s="15" t="n">
        <v>3</v>
      </c>
      <c r="E209" s="15" t="n">
        <v>97</v>
      </c>
      <c r="F209" s="61" t="str">
        <f aca="false">IF(AND(D209&gt;0, E209&gt;0), "Observed Flaky Test", "Non-observed Flaky Test")</f>
        <v>Observed Flaky Test</v>
      </c>
      <c r="G209" s="22" t="n">
        <v>0</v>
      </c>
      <c r="H209" s="22" t="n">
        <v>100</v>
      </c>
      <c r="I209" s="16" t="str">
        <f aca="false">IF(AND(G209&gt;0, H209&gt;0), "Observed Flaky Test", "Non-observed Flaky Test")</f>
        <v>Non-observed Flaky Test</v>
      </c>
      <c r="J209" s="18" t="n">
        <v>0</v>
      </c>
      <c r="K209" s="18" t="n">
        <v>0</v>
      </c>
      <c r="L209" s="19" t="str">
        <f aca="false">IFERROR(K209/J209*100,"N/A")</f>
        <v>N/A</v>
      </c>
      <c r="M209" s="18" t="n">
        <v>37.14</v>
      </c>
      <c r="N209" s="18" t="n">
        <v>0</v>
      </c>
      <c r="O209" s="20" t="n">
        <f aca="false">IFERROR(N209/M209*100,"N/A")</f>
        <v>0</v>
      </c>
      <c r="P209" s="21" t="str">
        <f aca="false">IF(AND(G209&gt;0, H209=0), IF(ROUND(K209,8)=0, "Group 9: Only Passed | Without variation (SD Passed = 0)", "Group 10: Only Passed | With variation (SD Passed &gt; 0)"), IF(AND(G209=0, H209&gt;0), IF(ROUND(N209,8)=0, "Group 11: Only Failed | Without variation (SD Failed = 0)", "Group 12: Only Failed | With variation (SD Failed &gt; 0)"), IF(AND(G209&gt;0, H209&gt;0), IF(ROUND(J209,5)&lt;&gt;ROUND(M209,5), IF(AND(ROUND(K209,8)=0, ROUND(N209,8)=0), "Group 1: Flaky | Passed (no variation) AND Failed (no variation) | Different Means", IF(AND(ROUND(K209,8)&gt;0, ROUND(N209,8)&gt;0), "Group 2: Flaky | Passed (with variation) AND Failed (with variation) | Different Means", IF(AND(ROUND(K209,8)=0, ROUND(N209,8)&gt;0), "Group 3: Flaky | Passed (no variation) AND Failed (with variation) | Different Means", "Group 4: Flaky | Passed (with variation) AND Failed (no variation) | Different Means"))), IF(AND(ROUND(K209,8)=0, ROUND(N209,8)=0), "Group 5: Flaky | Passed (no variation) AND Failed (no variation) | Equal Means", IF(AND(ROUND(K209,8)&gt;0, ROUND(N209,8)&gt;0), "Group 6: Flaky | Passed (with variation) AND Failed (with variation) | Equal Means", IF(AND(ROUND(K209,8)=0, ROUND(N209,8)&gt;0),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09" s="17" t="n">
        <v>3</v>
      </c>
      <c r="R209" s="17" t="n">
        <v>97</v>
      </c>
      <c r="S209" s="43" t="str">
        <f aca="false">IF(AND(Q209&gt;0, R209&gt;0), "Observed Flaky Test", "Non-observed Flaky Test")</f>
        <v>Observed Flaky Test</v>
      </c>
      <c r="T209" s="24" t="n">
        <v>431243.666667</v>
      </c>
      <c r="U209" s="24" t="n">
        <v>203.013136</v>
      </c>
      <c r="V209" s="25" t="n">
        <f aca="false">IFERROR(U209/T209*100,"N/A")</f>
        <v>0.0470762011577004</v>
      </c>
      <c r="W209" s="24" t="n">
        <v>557723.938144</v>
      </c>
      <c r="X209" s="26" t="n">
        <v>123.936376</v>
      </c>
      <c r="Y209" s="27" t="n">
        <f aca="false">IFERROR(X209/W209*100,"N/A")</f>
        <v>0.0222218139699072</v>
      </c>
      <c r="Z209" s="68" t="str">
        <f aca="false">IF(AND(Q209&gt;0, R209=0), IF(IFERROR(ROUND(V209,8),0)=0, "Group 9: Only Passed | Without variation (no var CV = 0)", "Group 10: Only Passed | With variation (with var CV &gt; 0)"), IF(AND(Q209=0, R209&gt;0), IF(IFERROR(ROUND(Y209,8),0)=0, "Group 11: Only Failed | Without variation (no var CV = 0)", "Group 12: Only Failed | With variation (with var CV &gt; 0)"), IF(AND(Q209&gt;0, R209&gt;0), IF(ROUND(T209,5)&lt;&gt;ROUND(W209,5), IF(AND(IFERROR(ROUND(V209,8),0)=0, IFERROR(ROUND(Y209,8),0)=0), "Group 1: Flaky | Passed (no variation: CV = 0) AND Failed (no variation: CV = 0) | Different Means", IF(AND(IFERROR(ROUND(V209,8),0)&gt;0, IFERROR(ROUND(Y209,8),0)&gt;0), "Group 2: Flaky | Passed (with variation: CV &gt; 0) AND Failed (with variation: CV &gt; 0) | Different Means", IF(AND(IFERROR(ROUND(V209,8),0)=0, IFERROR(ROUND(Y209,8),0)&gt;0), "Group 3: Flaky | Passed (no variation: CV = 0) AND Failed (with variation: CV &gt; 0) | Different Means", "Group 4: Flaky | Passed (with variation: CV &gt; 0) AND Failed (no variation: CV = 0) | Different Means"))), IF(AND(IFERROR(ROUND(V209,8),0)=0, IFERROR(ROUND(Y209,8),0)=0), "Group 5: Flaky | Passed (no var CV = 0) AND Failed (no var CV = 0) | Equal Means", IF(AND(IFERROR(ROUND(V209,8),0)&gt;0, IFERROR(ROUND(Y209,8),0)&gt;0), "Group 6: Flaky | Passed (with var CV &gt; 0) AND Failed (with var CV &gt; 0) | Equal Means", IF(AND(IFERROR(ROUND(V209,8),0)=0, IFERROR(ROUND(Y209,8),0)&gt;0),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09" s="29" t="n">
        <v>5.524116</v>
      </c>
      <c r="AB209" s="29" t="n">
        <v>0.128314</v>
      </c>
      <c r="AC209" s="29" t="n">
        <f aca="false">IFERROR(AB209/AA209*100,"N/A")</f>
        <v>2.32279698688442</v>
      </c>
      <c r="AD209" s="29" t="n">
        <v>3.911638</v>
      </c>
      <c r="AE209" s="29" t="n">
        <v>0.314666</v>
      </c>
      <c r="AF209" s="29" t="n">
        <f aca="false">IFERROR(AE209/AD209*100,"N/A")</f>
        <v>8.04435379756511</v>
      </c>
      <c r="AG209" s="36" t="str">
        <f aca="false">IF(AND(Q209&gt;0, R209=0), IF(IFERROR(ROUND(AC209,8),0)=0, "Group 9: Only Passed | Without variation (no var CV = 0)", "Group 10: Only Passed | With variation (with var CV &gt; 0)"), IF(AND(Q209=0, R209&gt;0), IF(IFERROR(ROUND(AF209,8),0)=0, "Group 11: Only Failed | Without variation (no var CV = 0)", "Group 12: Only Failed | With variation (with var CV &gt; 0)"), IF(AND(Q209&gt;0, R209&gt;0), IF(ROUND(AA209,5)&lt;&gt;ROUND(AD209,5), IF(AND(IFERROR(ROUND(AC209,8),0)=0, IFERROR(ROUND(AF209,8),0)=0), "Group 1: Flaky | Passed (no variation: CV = 0) AND Failed (no variation: CV = 0) | Different Means", IF(AND(IFERROR(ROUND(AC209,8),0)&gt;0, IFERROR(ROUND(AF209,8),0)&gt;0), "Group 2: Flaky | Passed (with variation: CV &gt; 0) AND Failed (with variation: CV &gt; 0) | Different Means", IF(AND(IFERROR(ROUND(AC209,8),0)=0, IFERROR(ROUND(AF209,8),0)&gt;0), "Group 3: Flaky | Passed (no variation: CV = 0) AND Failed (with variation: CV &gt; 0) | Different Means", "Group 4: Flaky | Passed (with variation: CV &gt; 0) AND Failed (no variation: CV = 0) | Different Means"))), IF(AND(IFERROR(ROUND(AC209,8),0)=0, IFERROR(ROUND(AF209,8),0)=0), "Group 5: Flaky | Passed (no var CV = 0) AND Failed (no var CV = 0) | Equal Means", IF(AND(IFERROR(ROUND(AC209,8),0)&gt;0, IFERROR(ROUND(AF209,8),0)&gt;0), "Group 6: Flaky | Passed (with var CV &gt; 0) AND Failed (with var CV &gt; 0) | Equal Means", IF(AND(IFERROR(ROUND(AC209,8),0)=0, IFERROR(ROUND(AF209,8),0)&gt;0),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09" s="22" t="n">
        <v>0</v>
      </c>
      <c r="AI209" s="17" t="n">
        <v>100</v>
      </c>
      <c r="AJ209" s="31" t="str">
        <f aca="false">IF(AND(AH209&gt;0, AI209&gt;0), "Observed Flaky Test", "Non-observed Flaky Test")</f>
        <v>Non-observed Flaky Test</v>
      </c>
      <c r="AK209" s="90" t="n">
        <v>0</v>
      </c>
      <c r="AL209" s="90" t="n">
        <v>0</v>
      </c>
      <c r="AM209" s="33" t="str">
        <f aca="false">IFERROR(AL209/AK209*100,"N/A")</f>
        <v>N/A</v>
      </c>
      <c r="AN209" s="90" t="n">
        <v>621.83</v>
      </c>
      <c r="AO209" s="90" t="n">
        <v>11.6999999999999</v>
      </c>
      <c r="AP209" s="35" t="n">
        <f aca="false">IFERROR(AO209/AN209*100,"N/A")</f>
        <v>1.88154318704467</v>
      </c>
      <c r="AQ209" s="36" t="str">
        <f aca="false">IF(AND(AH209&gt;0, AI209&gt;0),
    IF(ROUND(N(AK209),5)&lt;&gt;ROUND(N(AN209),5),
        IF(AND(ROUND(N(AL209),8)=0, ROUND(N(AO209),8)=0), "Group 1: Flaky | Passed (no variation: SD = 0) AND Failed (no variation: SD = 0) | Different Means",
        IF(AND(ROUND(N(AL209),8)&gt;0, ROUND(N(AO209),8)&gt;0), "Group 2: Flaky | Passed (with variation: SD &gt; 0) AND Failed (with variation: SD &gt; 0) | Different Means",
        IF(AND(ROUND(N(AL209),8)=0, ROUND(N(AO209),8)&gt;0), "Group 3: Flaky | Passed (no variation: SD = 0) AND Failed (with variation: SD &gt; 0) | Different Means",
        "Group 4: Flaky | Passed (with variation: SD &gt; 0) AND Failed (no variation: SD = 0) | Different Means"))),
        IF(AND(ROUND(N(AL209),8)=0, ROUND(N(AO209),8)=0), "Group 5: Flaky | Passed (no var SD = 0) AND Failed (no var SD = 0) | Equal Means",
        IF(AND(ROUND(N(AL209),8)&gt;0, ROUND(N(AO209),8)&gt;0), "Group 6: Flaky | Passed (with var SD &gt; 0 ) AND Failed (with var SD &gt; 0) | Equal Means",
        IF(AND(ROUND(N(AL209),8)=0, ROUND(N(AO209),8)&gt;0), "Group 7: Flaky | Passed (no var SD = 0) AND Failed (with var SD &gt; 0) | Equal Means",
        "Group 8: Flaky | Passed (with var SD &gt; 0 ) AND Failed (no var SD = 0) | Equal Means")))
    ),
    IF(AH209&gt;0,
        IF(N(AL209)&gt;0, "Group 10: Only Passed | With variation (with var SD &gt; 0)", "Group 9: Only Passed | Without variation (no var SD = 0)"),
        IF(AI209&gt;0,
            IF(N(AO209)&gt;0,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09" s="42" t="str">
        <f aca="false">IF(OR(F209="Observed Flaky Test", I209="Observed Flaky Test", S209="Observed Flaky Test", AJ209="Observed Flaky Test"), "Observed Flaky Test", "Non-observed Flaky Test")</f>
        <v>Observed Flaky Test</v>
      </c>
    </row>
    <row r="210" customFormat="false" ht="15.75" hidden="false" customHeight="true" outlineLevel="0" collapsed="false">
      <c r="A210" s="81"/>
      <c r="B210" s="14" t="s">
        <v>490</v>
      </c>
      <c r="C210" s="14" t="s">
        <v>491</v>
      </c>
      <c r="D210" s="15" t="n">
        <v>4</v>
      </c>
      <c r="E210" s="15" t="n">
        <v>96</v>
      </c>
      <c r="F210" s="61" t="str">
        <f aca="false">IF(AND(D210&gt;0, E210&gt;0), "Observed Flaky Test", "Non-observed Flaky Test")</f>
        <v>Observed Flaky Test</v>
      </c>
      <c r="G210" s="22" t="n">
        <v>1</v>
      </c>
      <c r="H210" s="22" t="n">
        <v>99</v>
      </c>
      <c r="I210" s="61" t="str">
        <f aca="false">IF(AND(G210&gt;0, H210&gt;0), "Observed Flaky Test", "Non-observed Flaky Test")</f>
        <v>Observed Flaky Test</v>
      </c>
      <c r="J210" s="18" t="n">
        <v>58.93</v>
      </c>
      <c r="K210" s="18" t="n">
        <v>0</v>
      </c>
      <c r="L210" s="19" t="n">
        <f aca="false">IFERROR(K210/J210*100,"N/A")</f>
        <v>0</v>
      </c>
      <c r="M210" s="18" t="n">
        <v>37.14</v>
      </c>
      <c r="N210" s="18" t="n">
        <v>0</v>
      </c>
      <c r="O210" s="20" t="n">
        <f aca="false">IFERROR(N210/M210*100,"N/A")</f>
        <v>0</v>
      </c>
      <c r="P210" s="78" t="str">
        <f aca="false">IF(AND(G210&gt;0, H210=0), IF(ROUND(K210,8)=0, "Group 9: Only Passed | Without variation (SD Passed = 0)", "Group 10: Only Passed | With variation (SD Passed &gt; 0)"), IF(AND(G210=0, H210&gt;0), IF(ROUND(N210,8)=0, "Group 11: Only Failed | Without variation (SD Failed = 0)", "Group 12: Only Failed | With variation (SD Failed &gt; 0)"), IF(AND(G210&gt;0, H210&gt;0), IF(ROUND(J210,5)&lt;&gt;ROUND(M210,5), IF(AND(ROUND(K210,8)=0, ROUND(N210,8)=0), "Group 1: Flaky | Passed (no variation) AND Failed (no variation) | Different Means", IF(AND(ROUND(K210,8)&gt;0, ROUND(N210,8)&gt;0), "Group 2: Flaky | Passed (with variation) AND Failed (with variation) | Different Means", IF(AND(ROUND(K210,8)=0, ROUND(N210,8)&gt;0), "Group 3: Flaky | Passed (no variation) AND Failed (with variation) | Different Means", "Group 4: Flaky | Passed (with variation) AND Failed (no variation) | Different Means"))), IF(AND(ROUND(K210,8)=0, ROUND(N210,8)=0), "Group 5: Flaky | Passed (no variation) AND Failed (no variation) | Equal Means", IF(AND(ROUND(K210,8)&gt;0, ROUND(N210,8)&gt;0), "Group 6: Flaky | Passed (with variation) AND Failed (with variation) | Equal Means", IF(AND(ROUND(K210,8)=0, ROUND(N210,8)&gt;0),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10" s="17" t="n">
        <v>4</v>
      </c>
      <c r="R210" s="17" t="n">
        <v>96</v>
      </c>
      <c r="S210" s="43" t="str">
        <f aca="false">IF(AND(Q210&gt;0, R210&gt;0), "Observed Flaky Test", "Non-observed Flaky Test")</f>
        <v>Observed Flaky Test</v>
      </c>
      <c r="T210" s="55" t="n">
        <v>431154.5</v>
      </c>
      <c r="U210" s="26" t="n">
        <v>261.02171</v>
      </c>
      <c r="V210" s="25" t="n">
        <f aca="false">IFERROR(U210/T210*100,"N/A")</f>
        <v>0.0605401799123052</v>
      </c>
      <c r="W210" s="75" t="n">
        <v>557711.5625</v>
      </c>
      <c r="X210" s="24" t="n">
        <v>122.036303</v>
      </c>
      <c r="Y210" s="27" t="n">
        <f aca="false">IFERROR(X210/W210*100,"N/A")</f>
        <v>0.0218816160907548</v>
      </c>
      <c r="Z210" s="68" t="str">
        <f aca="false">IF(AND(Q210&gt;0, R210=0), IF(IFERROR(ROUND(V210,8),0)=0, "Group 9: Only Passed | Without variation (no var CV = 0)", "Group 10: Only Passed | With variation (with var CV &gt; 0)"), IF(AND(Q210=0, R210&gt;0), IF(IFERROR(ROUND(Y210,8),0)=0, "Group 11: Only Failed | Without variation (no var CV = 0)", "Group 12: Only Failed | With variation (with var CV &gt; 0)"), IF(AND(Q210&gt;0, R210&gt;0), IF(ROUND(T210,5)&lt;&gt;ROUND(W210,5), IF(AND(IFERROR(ROUND(V210,8),0)=0, IFERROR(ROUND(Y210,8),0)=0), "Group 1: Flaky | Passed (no variation: CV = 0) AND Failed (no variation: CV = 0) | Different Means", IF(AND(IFERROR(ROUND(V210,8),0)&gt;0, IFERROR(ROUND(Y210,8),0)&gt;0), "Group 2: Flaky | Passed (with variation: CV &gt; 0) AND Failed (with variation: CV &gt; 0) | Different Means", IF(AND(IFERROR(ROUND(V210,8),0)=0, IFERROR(ROUND(Y210,8),0)&gt;0), "Group 3: Flaky | Passed (no variation: CV = 0) AND Failed (with variation: CV &gt; 0) | Different Means", "Group 4: Flaky | Passed (with variation: CV &gt; 0) AND Failed (no variation: CV = 0) | Different Means"))), IF(AND(IFERROR(ROUND(V210,8),0)=0, IFERROR(ROUND(Y210,8),0)=0), "Group 5: Flaky | Passed (no var CV = 0) AND Failed (no var CV = 0) | Equal Means", IF(AND(IFERROR(ROUND(V210,8),0)&gt;0, IFERROR(ROUND(Y210,8),0)&gt;0), "Group 6: Flaky | Passed (with var CV &gt; 0) AND Failed (with var CV &gt; 0) | Equal Means", IF(AND(IFERROR(ROUND(V210,8),0)=0, IFERROR(ROUND(Y210,8),0)&gt;0),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0" s="29" t="n">
        <v>5.427489</v>
      </c>
      <c r="AB210" s="29" t="n">
        <v>0.362366</v>
      </c>
      <c r="AC210" s="29" t="n">
        <f aca="false">IFERROR(AB210/AA210*100,"N/A")</f>
        <v>6.67649441574179</v>
      </c>
      <c r="AD210" s="29" t="n">
        <v>3.918032</v>
      </c>
      <c r="AE210" s="29" t="n">
        <v>0.31506</v>
      </c>
      <c r="AF210" s="29" t="n">
        <f aca="false">IFERROR(AE210/AD210*100,"N/A")</f>
        <v>8.04128194971353</v>
      </c>
      <c r="AG210" s="36" t="str">
        <f aca="false">IF(AND(Q210&gt;0, R210=0), IF(IFERROR(ROUND(AC210,8),0)=0, "Group 9: Only Passed | Without variation (no var CV = 0)", "Group 10: Only Passed | With variation (with var CV &gt; 0)"), IF(AND(Q210=0, R210&gt;0), IF(IFERROR(ROUND(AF210,8),0)=0, "Group 11: Only Failed | Without variation (no var CV = 0)", "Group 12: Only Failed | With variation (with var CV &gt; 0)"), IF(AND(Q210&gt;0, R210&gt;0), IF(ROUND(AA210,5)&lt;&gt;ROUND(AD210,5), IF(AND(IFERROR(ROUND(AC210,8),0)=0, IFERROR(ROUND(AF210,8),0)=0), "Group 1: Flaky | Passed (no variation: CV = 0) AND Failed (no variation: CV = 0) | Different Means", IF(AND(IFERROR(ROUND(AC210,8),0)&gt;0, IFERROR(ROUND(AF210,8),0)&gt;0), "Group 2: Flaky | Passed (with variation: CV &gt; 0) AND Failed (with variation: CV &gt; 0) | Different Means", IF(AND(IFERROR(ROUND(AC210,8),0)=0, IFERROR(ROUND(AF210,8),0)&gt;0), "Group 3: Flaky | Passed (no variation: CV = 0) AND Failed (with variation: CV &gt; 0) | Different Means", "Group 4: Flaky | Passed (with variation: CV &gt; 0) AND Failed (no variation: CV = 0) | Different Means"))), IF(AND(IFERROR(ROUND(AC210,8),0)=0, IFERROR(ROUND(AF210,8),0)=0), "Group 5: Flaky | Passed (no var CV = 0) AND Failed (no var CV = 0) | Equal Means", IF(AND(IFERROR(ROUND(AC210,8),0)&gt;0, IFERROR(ROUND(AF210,8),0)&gt;0), "Group 6: Flaky | Passed (with var CV &gt; 0) AND Failed (with var CV &gt; 0) | Equal Means", IF(AND(IFERROR(ROUND(AC210,8),0)=0, IFERROR(ROUND(AF210,8),0)&gt;0),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0" s="22" t="n">
        <v>0</v>
      </c>
      <c r="AI210" s="17" t="n">
        <v>100</v>
      </c>
      <c r="AJ210" s="31" t="str">
        <f aca="false">IF(AND(AH210&gt;0, AI210&gt;0), "Observed Flaky Test", "Non-observed Flaky Test")</f>
        <v>Non-observed Flaky Test</v>
      </c>
      <c r="AK210" s="90" t="n">
        <v>0</v>
      </c>
      <c r="AL210" s="90" t="n">
        <v>0</v>
      </c>
      <c r="AM210" s="33" t="str">
        <f aca="false">IFERROR(AL210/AK210*100,"N/A")</f>
        <v>N/A</v>
      </c>
      <c r="AN210" s="90" t="n">
        <v>621.83</v>
      </c>
      <c r="AO210" s="90" t="n">
        <v>11.6999999999999</v>
      </c>
      <c r="AP210" s="35" t="n">
        <f aca="false">IFERROR(AO210/AN210*100,"N/A")</f>
        <v>1.88154318704467</v>
      </c>
      <c r="AQ210" s="36" t="str">
        <f aca="false">IF(AND(AH210&gt;0, AI210&gt;0),
    IF(ROUND(N(AK210),5)&lt;&gt;ROUND(N(AN210),5),
        IF(AND(ROUND(N(AL210),8)=0, ROUND(N(AO210),8)=0), "Group 1: Flaky | Passed (no variation: SD = 0) AND Failed (no variation: SD = 0) | Different Means",
        IF(AND(ROUND(N(AL210),8)&gt;0, ROUND(N(AO210),8)&gt;0), "Group 2: Flaky | Passed (with variation: SD &gt; 0) AND Failed (with variation: SD &gt; 0) | Different Means",
        IF(AND(ROUND(N(AL210),8)=0, ROUND(N(AO210),8)&gt;0), "Group 3: Flaky | Passed (no variation: SD = 0) AND Failed (with variation: SD &gt; 0) | Different Means",
        "Group 4: Flaky | Passed (with variation: SD &gt; 0) AND Failed (no variation: SD = 0) | Different Means"))),
        IF(AND(ROUND(N(AL210),8)=0, ROUND(N(AO210),8)=0), "Group 5: Flaky | Passed (no var SD = 0) AND Failed (no var SD = 0) | Equal Means",
        IF(AND(ROUND(N(AL210),8)&gt;0, ROUND(N(AO210),8)&gt;0), "Group 6: Flaky | Passed (with var SD &gt; 0 ) AND Failed (with var SD &gt; 0) | Equal Means",
        IF(AND(ROUND(N(AL210),8)=0, ROUND(N(AO210),8)&gt;0), "Group 7: Flaky | Passed (no var SD = 0) AND Failed (with var SD &gt; 0) | Equal Means",
        "Group 8: Flaky | Passed (with var SD &gt; 0 ) AND Failed (no var SD = 0) | Equal Means")))
    ),
    IF(AH210&gt;0,
        IF(N(AL210)&gt;0, "Group 10: Only Passed | With variation (with var SD &gt; 0)", "Group 9: Only Passed | Without variation (no var SD = 0)"),
        IF(AI210&gt;0,
            IF(N(AO210)&gt;0,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10" s="42" t="str">
        <f aca="false">IF(OR(F210="Observed Flaky Test", I210="Observed Flaky Test", S210="Observed Flaky Test", AJ210="Observed Flaky Test"), "Observed Flaky Test", "Non-observed Flaky Test")</f>
        <v>Observed Flaky Test</v>
      </c>
    </row>
    <row r="211" customFormat="false" ht="15.75" hidden="false" customHeight="true" outlineLevel="0" collapsed="false">
      <c r="A211" s="81"/>
      <c r="B211" s="14" t="s">
        <v>492</v>
      </c>
      <c r="C211" s="14" t="s">
        <v>493</v>
      </c>
      <c r="D211" s="15" t="n">
        <v>3</v>
      </c>
      <c r="E211" s="15" t="n">
        <v>97</v>
      </c>
      <c r="F211" s="61" t="str">
        <f aca="false">IF(AND(D211&gt;0, E211&gt;0), "Observed Flaky Test", "Non-observed Flaky Test")</f>
        <v>Observed Flaky Test</v>
      </c>
      <c r="G211" s="22" t="n">
        <v>1</v>
      </c>
      <c r="H211" s="22" t="n">
        <v>99</v>
      </c>
      <c r="I211" s="61" t="str">
        <f aca="false">IF(AND(G211&gt;0, H211&gt;0), "Observed Flaky Test", "Non-observed Flaky Test")</f>
        <v>Observed Flaky Test</v>
      </c>
      <c r="J211" s="18" t="n">
        <v>58.93</v>
      </c>
      <c r="K211" s="18" t="n">
        <v>0</v>
      </c>
      <c r="L211" s="19" t="n">
        <f aca="false">IFERROR(K211/J211*100,"N/A")</f>
        <v>0</v>
      </c>
      <c r="M211" s="18" t="n">
        <v>37.14</v>
      </c>
      <c r="N211" s="18" t="n">
        <v>0</v>
      </c>
      <c r="O211" s="20" t="n">
        <f aca="false">IFERROR(N211/M211*100,"N/A")</f>
        <v>0</v>
      </c>
      <c r="P211" s="78" t="str">
        <f aca="false">IF(AND(G211&gt;0, H211=0), IF(ROUND(K211,8)=0, "Group 9: Only Passed | Without variation (SD Passed = 0)", "Group 10: Only Passed | With variation (SD Passed &gt; 0)"), IF(AND(G211=0, H211&gt;0), IF(ROUND(N211,8)=0, "Group 11: Only Failed | Without variation (SD Failed = 0)", "Group 12: Only Failed | With variation (SD Failed &gt; 0)"), IF(AND(G211&gt;0, H211&gt;0), IF(ROUND(J211,5)&lt;&gt;ROUND(M211,5), IF(AND(ROUND(K211,8)=0, ROUND(N211,8)=0), "Group 1: Flaky | Passed (no variation) AND Failed (no variation) | Different Means", IF(AND(ROUND(K211,8)&gt;0, ROUND(N211,8)&gt;0), "Group 2: Flaky | Passed (with variation) AND Failed (with variation) | Different Means", IF(AND(ROUND(K211,8)=0, ROUND(N211,8)&gt;0), "Group 3: Flaky | Passed (no variation) AND Failed (with variation) | Different Means", "Group 4: Flaky | Passed (with variation) AND Failed (no variation) | Different Means"))), IF(AND(ROUND(K211,8)=0, ROUND(N211,8)=0), "Group 5: Flaky | Passed (no variation) AND Failed (no variation) | Equal Means", IF(AND(ROUND(K211,8)&gt;0, ROUND(N211,8)&gt;0), "Group 6: Flaky | Passed (with variation) AND Failed (with variation) | Equal Means", IF(AND(ROUND(K211,8)=0, ROUND(N211,8)&gt;0),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11" s="17" t="n">
        <v>4</v>
      </c>
      <c r="R211" s="17" t="n">
        <v>96</v>
      </c>
      <c r="S211" s="43" t="str">
        <f aca="false">IF(AND(Q211&gt;0, R211&gt;0), "Observed Flaky Test", "Non-observed Flaky Test")</f>
        <v>Observed Flaky Test</v>
      </c>
      <c r="T211" s="55" t="n">
        <v>431151.5</v>
      </c>
      <c r="U211" s="24" t="n">
        <v>8.185353</v>
      </c>
      <c r="V211" s="25" t="n">
        <f aca="false">IFERROR(U211/T211*100,"N/A")</f>
        <v>0.00189848649488637</v>
      </c>
      <c r="W211" s="24" t="n">
        <v>557668.020833</v>
      </c>
      <c r="X211" s="26" t="n">
        <v>106.26917</v>
      </c>
      <c r="Y211" s="27" t="n">
        <f aca="false">IFERROR(X211/W211*100,"N/A")</f>
        <v>0.0190559913837741</v>
      </c>
      <c r="Z211" s="68" t="str">
        <f aca="false">IF(AND(Q211&gt;0, R211=0), IF(IFERROR(ROUND(V211,8),0)=0, "Group 9: Only Passed | Without variation (no var CV = 0)", "Group 10: Only Passed | With variation (with var CV &gt; 0)"), IF(AND(Q211=0, R211&gt;0), IF(IFERROR(ROUND(Y211,8),0)=0, "Group 11: Only Failed | Without variation (no var CV = 0)", "Group 12: Only Failed | With variation (with var CV &gt; 0)"), IF(AND(Q211&gt;0, R211&gt;0), IF(ROUND(T211,5)&lt;&gt;ROUND(W211,5), IF(AND(IFERROR(ROUND(V211,8),0)=0, IFERROR(ROUND(Y211,8),0)=0), "Group 1: Flaky | Passed (no variation: CV = 0) AND Failed (no variation: CV = 0) | Different Means", IF(AND(IFERROR(ROUND(V211,8),0)&gt;0, IFERROR(ROUND(Y211,8),0)&gt;0), "Group 2: Flaky | Passed (with variation: CV &gt; 0) AND Failed (with variation: CV &gt; 0) | Different Means", IF(AND(IFERROR(ROUND(V211,8),0)=0, IFERROR(ROUND(Y211,8),0)&gt;0), "Group 3: Flaky | Passed (no variation: CV = 0) AND Failed (with variation: CV &gt; 0) | Different Means", "Group 4: Flaky | Passed (with variation: CV &gt; 0) AND Failed (no variation: CV = 0) | Different Means"))), IF(AND(IFERROR(ROUND(V211,8),0)=0, IFERROR(ROUND(Y211,8),0)=0), "Group 5: Flaky | Passed (no var CV = 0) AND Failed (no var CV = 0) | Equal Means", IF(AND(IFERROR(ROUND(V211,8),0)&gt;0, IFERROR(ROUND(Y211,8),0)&gt;0), "Group 6: Flaky | Passed (with var CV &gt; 0) AND Failed (with var CV &gt; 0) | Equal Means", IF(AND(IFERROR(ROUND(V211,8),0)=0, IFERROR(ROUND(Y211,8),0)&gt;0),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1" s="29" t="n">
        <v>5.783965</v>
      </c>
      <c r="AB211" s="29" t="n">
        <v>1.602223</v>
      </c>
      <c r="AC211" s="29" t="n">
        <f aca="false">IFERROR(AB211/AA211*100,"N/A")</f>
        <v>27.7011185233659</v>
      </c>
      <c r="AD211" s="29" t="n">
        <v>3.929647</v>
      </c>
      <c r="AE211" s="29" t="n">
        <v>0.329434</v>
      </c>
      <c r="AF211" s="29" t="n">
        <f aca="false">IFERROR(AE211/AD211*100,"N/A")</f>
        <v>8.38329753283183</v>
      </c>
      <c r="AG211" s="36" t="str">
        <f aca="false">IF(AND(Q211&gt;0, R211=0), IF(IFERROR(ROUND(AC211,8),0)=0, "Group 9: Only Passed | Without variation (no var CV = 0)", "Group 10: Only Passed | With variation (with var CV &gt; 0)"), IF(AND(Q211=0, R211&gt;0), IF(IFERROR(ROUND(AF211,8),0)=0, "Group 11: Only Failed | Without variation (no var CV = 0)", "Group 12: Only Failed | With variation (with var CV &gt; 0)"), IF(AND(Q211&gt;0, R211&gt;0), IF(ROUND(AA211,5)&lt;&gt;ROUND(AD211,5), IF(AND(IFERROR(ROUND(AC211,8),0)=0, IFERROR(ROUND(AF211,8),0)=0), "Group 1: Flaky | Passed (no variation: CV = 0) AND Failed (no variation: CV = 0) | Different Means", IF(AND(IFERROR(ROUND(AC211,8),0)&gt;0, IFERROR(ROUND(AF211,8),0)&gt;0), "Group 2: Flaky | Passed (with variation: CV &gt; 0) AND Failed (with variation: CV &gt; 0) | Different Means", IF(AND(IFERROR(ROUND(AC211,8),0)=0, IFERROR(ROUND(AF211,8),0)&gt;0), "Group 3: Flaky | Passed (no variation: CV = 0) AND Failed (with variation: CV &gt; 0) | Different Means", "Group 4: Flaky | Passed (with variation: CV &gt; 0) AND Failed (no variation: CV = 0) | Different Means"))), IF(AND(IFERROR(ROUND(AC211,8),0)=0, IFERROR(ROUND(AF211,8),0)=0), "Group 5: Flaky | Passed (no var CV = 0) AND Failed (no var CV = 0) | Equal Means", IF(AND(IFERROR(ROUND(AC211,8),0)&gt;0, IFERROR(ROUND(AF211,8),0)&gt;0), "Group 6: Flaky | Passed (with var CV &gt; 0) AND Failed (with var CV &gt; 0) | Equal Means", IF(AND(IFERROR(ROUND(AC211,8),0)=0, IFERROR(ROUND(AF211,8),0)&gt;0),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1" s="22" t="n">
        <v>0</v>
      </c>
      <c r="AI211" s="17" t="n">
        <v>100</v>
      </c>
      <c r="AJ211" s="31" t="str">
        <f aca="false">IF(AND(AH211&gt;0, AI211&gt;0), "Observed Flaky Test", "Non-observed Flaky Test")</f>
        <v>Non-observed Flaky Test</v>
      </c>
      <c r="AK211" s="90" t="n">
        <v>0</v>
      </c>
      <c r="AL211" s="90" t="n">
        <v>0</v>
      </c>
      <c r="AM211" s="33" t="str">
        <f aca="false">IFERROR(AL211/AK211*100,"N/A")</f>
        <v>N/A</v>
      </c>
      <c r="AN211" s="102" t="n">
        <v>618.32</v>
      </c>
      <c r="AO211" s="94" t="n">
        <v>23.042727111331</v>
      </c>
      <c r="AP211" s="35" t="n">
        <f aca="false">IFERROR(AO211/AN211*100,"N/A")</f>
        <v>3.72666695421966</v>
      </c>
      <c r="AQ211" s="36" t="str">
        <f aca="false">IF(AND(AH211&gt;0, AI211&gt;0),
    IF(ROUND(N(AK211),5)&lt;&gt;ROUND(N(AN211),5),
        IF(AND(ROUND(N(AL211),8)=0, ROUND(N(AO211),8)=0), "Group 1: Flaky | Passed (no variation: SD = 0) AND Failed (no variation: SD = 0) | Different Means",
        IF(AND(ROUND(N(AL211),8)&gt;0, ROUND(N(AO211),8)&gt;0), "Group 2: Flaky | Passed (with variation: SD &gt; 0) AND Failed (with variation: SD &gt; 0) | Different Means",
        IF(AND(ROUND(N(AL211),8)=0, ROUND(N(AO211),8)&gt;0), "Group 3: Flaky | Passed (no variation: SD = 0) AND Failed (with variation: SD &gt; 0) | Different Means",
        "Group 4: Flaky | Passed (with variation: SD &gt; 0) AND Failed (no variation: SD = 0) | Different Means"))),
        IF(AND(ROUND(N(AL211),8)=0, ROUND(N(AO211),8)=0), "Group 5: Flaky | Passed (no var SD = 0) AND Failed (no var SD = 0) | Equal Means",
        IF(AND(ROUND(N(AL211),8)&gt;0, ROUND(N(AO211),8)&gt;0), "Group 6: Flaky | Passed (with var SD &gt; 0 ) AND Failed (with var SD &gt; 0) | Equal Means",
        IF(AND(ROUND(N(AL211),8)=0, ROUND(N(AO211),8)&gt;0), "Group 7: Flaky | Passed (no var SD = 0) AND Failed (with var SD &gt; 0) | Equal Means",
        "Group 8: Flaky | Passed (with var SD &gt; 0 ) AND Failed (no var SD = 0) | Equal Means")))
    ),
    IF(AH211&gt;0,
        IF(N(AL211)&gt;0, "Group 10: Only Passed | With variation (with var SD &gt; 0)", "Group 9: Only Passed | Without variation (no var SD = 0)"),
        IF(AI211&gt;0,
            IF(N(AO211)&gt;0,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11" s="42" t="str">
        <f aca="false">IF(OR(F211="Observed Flaky Test", I211="Observed Flaky Test", S211="Observed Flaky Test", AJ211="Observed Flaky Test"), "Observed Flaky Test", "Non-observed Flaky Test")</f>
        <v>Observed Flaky Test</v>
      </c>
    </row>
    <row r="212" customFormat="false" ht="15.75" hidden="false" customHeight="true" outlineLevel="0" collapsed="false">
      <c r="A212" s="81"/>
      <c r="B212" s="14" t="s">
        <v>494</v>
      </c>
      <c r="C212" s="14" t="s">
        <v>495</v>
      </c>
      <c r="D212" s="15" t="n">
        <v>3</v>
      </c>
      <c r="E212" s="15" t="n">
        <v>97</v>
      </c>
      <c r="F212" s="61" t="str">
        <f aca="false">IF(AND(D212&gt;0, E212&gt;0), "Observed Flaky Test", "Non-observed Flaky Test")</f>
        <v>Observed Flaky Test</v>
      </c>
      <c r="G212" s="22" t="n">
        <v>0</v>
      </c>
      <c r="H212" s="22" t="n">
        <v>100</v>
      </c>
      <c r="I212" s="16" t="str">
        <f aca="false">IF(AND(G212&gt;0, H212&gt;0), "Observed Flaky Test", "Non-observed Flaky Test")</f>
        <v>Non-observed Flaky Test</v>
      </c>
      <c r="J212" s="18" t="n">
        <v>0</v>
      </c>
      <c r="K212" s="18" t="n">
        <v>0</v>
      </c>
      <c r="L212" s="19" t="str">
        <f aca="false">IFERROR(K212/J212*100,"N/A")</f>
        <v>N/A</v>
      </c>
      <c r="M212" s="18" t="n">
        <v>37.14</v>
      </c>
      <c r="N212" s="18" t="n">
        <v>0</v>
      </c>
      <c r="O212" s="20" t="n">
        <f aca="false">IFERROR(N212/M212*100,"N/A")</f>
        <v>0</v>
      </c>
      <c r="P212" s="21" t="str">
        <f aca="false">IF(AND(G212&gt;0, H212=0), IF(ROUND(K212,8)=0, "Group 9: Only Passed | Without variation (SD Passed = 0)", "Group 10: Only Passed | With variation (SD Passed &gt; 0)"), IF(AND(G212=0, H212&gt;0), IF(ROUND(N212,8)=0, "Group 11: Only Failed | Without variation (SD Failed = 0)", "Group 12: Only Failed | With variation (SD Failed &gt; 0)"), IF(AND(G212&gt;0, H212&gt;0), IF(ROUND(J212,5)&lt;&gt;ROUND(M212,5), IF(AND(ROUND(K212,8)=0, ROUND(N212,8)=0), "Group 1: Flaky | Passed (no variation) AND Failed (no variation) | Different Means", IF(AND(ROUND(K212,8)&gt;0, ROUND(N212,8)&gt;0), "Group 2: Flaky | Passed (with variation) AND Failed (with variation) | Different Means", IF(AND(ROUND(K212,8)=0, ROUND(N212,8)&gt;0), "Group 3: Flaky | Passed (no variation) AND Failed (with variation) | Different Means", "Group 4: Flaky | Passed (with variation) AND Failed (no variation) | Different Means"))), IF(AND(ROUND(K212,8)=0, ROUND(N212,8)=0), "Group 5: Flaky | Passed (no variation) AND Failed (no variation) | Equal Means", IF(AND(ROUND(K212,8)&gt;0, ROUND(N212,8)&gt;0), "Group 6: Flaky | Passed (with variation) AND Failed (with variation) | Equal Means", IF(AND(ROUND(K212,8)=0, ROUND(N212,8)&gt;0),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2" s="17" t="n">
        <v>3</v>
      </c>
      <c r="R212" s="17" t="n">
        <v>97</v>
      </c>
      <c r="S212" s="43" t="str">
        <f aca="false">IF(AND(Q212&gt;0, R212&gt;0), "Observed Flaky Test", "Non-observed Flaky Test")</f>
        <v>Observed Flaky Test</v>
      </c>
      <c r="T212" s="24" t="n">
        <v>431287.333333</v>
      </c>
      <c r="U212" s="24" t="n">
        <v>204.998374</v>
      </c>
      <c r="V212" s="25" t="n">
        <f aca="false">IFERROR(U212/T212*100,"N/A")</f>
        <v>0.0475317400155871</v>
      </c>
      <c r="W212" s="24" t="n">
        <v>557710.391753</v>
      </c>
      <c r="X212" s="24" t="n">
        <v>131.190904</v>
      </c>
      <c r="Y212" s="27" t="n">
        <f aca="false">IFERROR(X212/W212*100,"N/A")</f>
        <v>0.0235231234597655</v>
      </c>
      <c r="Z212" s="68" t="str">
        <f aca="false">IF(AND(Q212&gt;0, R212=0), IF(IFERROR(ROUND(V212,8),0)=0, "Group 9: Only Passed | Without variation (no var CV = 0)", "Group 10: Only Passed | With variation (with var CV &gt; 0)"), IF(AND(Q212=0, R212&gt;0), IF(IFERROR(ROUND(Y212,8),0)=0, "Group 11: Only Failed | Without variation (no var CV = 0)", "Group 12: Only Failed | With variation (with var CV &gt; 0)"), IF(AND(Q212&gt;0, R212&gt;0), IF(ROUND(T212,5)&lt;&gt;ROUND(W212,5), IF(AND(IFERROR(ROUND(V212,8),0)=0, IFERROR(ROUND(Y212,8),0)=0), "Group 1: Flaky | Passed (no variation: CV = 0) AND Failed (no variation: CV = 0) | Different Means", IF(AND(IFERROR(ROUND(V212,8),0)&gt;0, IFERROR(ROUND(Y212,8),0)&gt;0), "Group 2: Flaky | Passed (with variation: CV &gt; 0) AND Failed (with variation: CV &gt; 0) | Different Means", IF(AND(IFERROR(ROUND(V212,8),0)=0, IFERROR(ROUND(Y212,8),0)&gt;0), "Group 3: Flaky | Passed (no variation: CV = 0) AND Failed (with variation: CV &gt; 0) | Different Means", "Group 4: Flaky | Passed (with variation: CV &gt; 0) AND Failed (no variation: CV = 0) | Different Means"))), IF(AND(IFERROR(ROUND(V212,8),0)=0, IFERROR(ROUND(Y212,8),0)=0), "Group 5: Flaky | Passed (no var CV = 0) AND Failed (no var CV = 0) | Equal Means", IF(AND(IFERROR(ROUND(V212,8),0)&gt;0, IFERROR(ROUND(Y212,8),0)&gt;0), "Group 6: Flaky | Passed (with var CV &gt; 0) AND Failed (with var CV &gt; 0) | Equal Means", IF(AND(IFERROR(ROUND(V212,8),0)=0, IFERROR(ROUND(Y212,8),0)&gt;0),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2" s="29" t="n">
        <v>5.101798</v>
      </c>
      <c r="AB212" s="29" t="n">
        <v>0.142729</v>
      </c>
      <c r="AC212" s="29" t="n">
        <f aca="false">IFERROR(AB212/AA212*100,"N/A")</f>
        <v>2.79762154440454</v>
      </c>
      <c r="AD212" s="29" t="n">
        <v>3.907473</v>
      </c>
      <c r="AE212" s="29" t="n">
        <v>0.360837</v>
      </c>
      <c r="AF212" s="29" t="n">
        <f aca="false">IFERROR(AE212/AD212*100,"N/A")</f>
        <v>9.23453597759985</v>
      </c>
      <c r="AG212" s="36" t="str">
        <f aca="false">IF(AND(Q212&gt;0, R212=0), IF(IFERROR(ROUND(AC212,8),0)=0, "Group 9: Only Passed | Without variation (no var CV = 0)", "Group 10: Only Passed | With variation (with var CV &gt; 0)"), IF(AND(Q212=0, R212&gt;0), IF(IFERROR(ROUND(AF212,8),0)=0, "Group 11: Only Failed | Without variation (no var CV = 0)", "Group 12: Only Failed | With variation (with var CV &gt; 0)"), IF(AND(Q212&gt;0, R212&gt;0), IF(ROUND(AA212,5)&lt;&gt;ROUND(AD212,5), IF(AND(IFERROR(ROUND(AC212,8),0)=0, IFERROR(ROUND(AF212,8),0)=0), "Group 1: Flaky | Passed (no variation: CV = 0) AND Failed (no variation: CV = 0) | Different Means", IF(AND(IFERROR(ROUND(AC212,8),0)&gt;0, IFERROR(ROUND(AF212,8),0)&gt;0), "Group 2: Flaky | Passed (with variation: CV &gt; 0) AND Failed (with variation: CV &gt; 0) | Different Means", IF(AND(IFERROR(ROUND(AC212,8),0)=0, IFERROR(ROUND(AF212,8),0)&gt;0), "Group 3: Flaky | Passed (no variation: CV = 0) AND Failed (with variation: CV &gt; 0) | Different Means", "Group 4: Flaky | Passed (with variation: CV &gt; 0) AND Failed (no variation: CV = 0) | Different Means"))), IF(AND(IFERROR(ROUND(AC212,8),0)=0, IFERROR(ROUND(AF212,8),0)=0), "Group 5: Flaky | Passed (no var CV = 0) AND Failed (no var CV = 0) | Equal Means", IF(AND(IFERROR(ROUND(AC212,8),0)&gt;0, IFERROR(ROUND(AF212,8),0)&gt;0), "Group 6: Flaky | Passed (with var CV &gt; 0) AND Failed (with var CV &gt; 0) | Equal Means", IF(AND(IFERROR(ROUND(AC212,8),0)=0, IFERROR(ROUND(AF212,8),0)&gt;0),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2" s="22" t="n">
        <v>1</v>
      </c>
      <c r="AI212" s="17" t="n">
        <v>99</v>
      </c>
      <c r="AJ212" s="39" t="str">
        <f aca="false">IF(AND(AH212&gt;0, AI212&gt;0), "Observed Flaky Test", "Non-observed Flaky Test")</f>
        <v>Observed Flaky Test</v>
      </c>
      <c r="AK212" s="90" t="n">
        <v>6579</v>
      </c>
      <c r="AL212" s="90" t="n">
        <v>0</v>
      </c>
      <c r="AM212" s="33" t="n">
        <f aca="false">IFERROR(AL212/AK212*100,"N/A")</f>
        <v>0</v>
      </c>
      <c r="AN212" s="90" t="n">
        <v>623</v>
      </c>
      <c r="AO212" s="90" t="n">
        <v>0</v>
      </c>
      <c r="AP212" s="35" t="n">
        <f aca="false">IFERROR(AO212/AN212*100,"N/A")</f>
        <v>0</v>
      </c>
      <c r="AQ212" s="85" t="str">
        <f aca="false">IF(AND(AH212&gt;0, AI212&gt;0),
    IF(ROUND(N(AK212),5)&lt;&gt;ROUND(N(AN212),5),
        IF(AND(ROUND(N(AL212),8)=0, ROUND(N(AO212),8)=0), "Group 1: Flaky | Passed (no variation: SD = 0) AND Failed (no variation: SD = 0) | Different Means",
        IF(AND(ROUND(N(AL212),8)&gt;0, ROUND(N(AO212),8)&gt;0), "Group 2: Flaky | Passed (with variation: SD &gt; 0) AND Failed (with variation: SD &gt; 0) | Different Means",
        IF(AND(ROUND(N(AL212),8)=0, ROUND(N(AO212),8)&gt;0), "Group 3: Flaky | Passed (no variation: SD = 0) AND Failed (with variation: SD &gt; 0) | Different Means",
        "Group 4: Flaky | Passed (with variation: SD &gt; 0) AND Failed (no variation: SD = 0) | Different Means"))),
        IF(AND(ROUND(N(AL212),8)=0, ROUND(N(AO212),8)=0), "Group 5: Flaky | Passed (no var SD = 0) AND Failed (no var SD = 0) | Equal Means",
        IF(AND(ROUND(N(AL212),8)&gt;0, ROUND(N(AO212),8)&gt;0), "Group 6: Flaky | Passed (with var SD &gt; 0 ) AND Failed (with var SD &gt; 0) | Equal Means",
        IF(AND(ROUND(N(AL212),8)=0, ROUND(N(AO212),8)&gt;0), "Group 7: Flaky | Passed (no var SD = 0) AND Failed (with var SD &gt; 0) | Equal Means",
        "Group 8: Flaky | Passed (with var SD &gt; 0 ) AND Failed (no var SD = 0) | Equal Means")))
    ),
    IF(AH212&gt;0,
        IF(N(AL212)&gt;0, "Group 10: Only Passed | With variation (with var SD &gt; 0)", "Group 9: Only Passed | Without variation (no var SD = 0)"),
        IF(AI212&gt;0,
            IF(N(AO212)&gt;0,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12" s="42" t="str">
        <f aca="false">IF(OR(F212="Observed Flaky Test", I212="Observed Flaky Test", S212="Observed Flaky Test", AJ212="Observed Flaky Test"), "Observed Flaky Test", "Non-observed Flaky Test")</f>
        <v>Observed Flaky Test</v>
      </c>
    </row>
    <row r="213" customFormat="false" ht="15.75" hidden="false" customHeight="true" outlineLevel="0" collapsed="false">
      <c r="A213" s="81"/>
      <c r="B213" s="14" t="s">
        <v>496</v>
      </c>
      <c r="C213" s="14" t="s">
        <v>497</v>
      </c>
      <c r="D213" s="15" t="n">
        <v>4</v>
      </c>
      <c r="E213" s="15" t="n">
        <v>96</v>
      </c>
      <c r="F213" s="61" t="str">
        <f aca="false">IF(AND(D213&gt;0, E213&gt;0), "Observed Flaky Test", "Non-observed Flaky Test")</f>
        <v>Observed Flaky Test</v>
      </c>
      <c r="G213" s="22" t="n">
        <v>0</v>
      </c>
      <c r="H213" s="22" t="n">
        <v>100</v>
      </c>
      <c r="I213" s="16" t="str">
        <f aca="false">IF(AND(G213&gt;0, H213&gt;0), "Observed Flaky Test", "Non-observed Flaky Test")</f>
        <v>Non-observed Flaky Test</v>
      </c>
      <c r="J213" s="18" t="n">
        <v>0</v>
      </c>
      <c r="K213" s="18" t="n">
        <v>0</v>
      </c>
      <c r="L213" s="19" t="str">
        <f aca="false">IFERROR(K213/J213*100,"N/A")</f>
        <v>N/A</v>
      </c>
      <c r="M213" s="18" t="n">
        <v>37.14</v>
      </c>
      <c r="N213" s="18" t="n">
        <v>0</v>
      </c>
      <c r="O213" s="20" t="n">
        <f aca="false">IFERROR(N213/M213*100,"N/A")</f>
        <v>0</v>
      </c>
      <c r="P213" s="21" t="str">
        <f aca="false">IF(AND(G213&gt;0, H213=0), IF(ROUND(K213,8)=0, "Group 9: Only Passed | Without variation (SD Passed = 0)", "Group 10: Only Passed | With variation (SD Passed &gt; 0)"), IF(AND(G213=0, H213&gt;0), IF(ROUND(N213,8)=0, "Group 11: Only Failed | Without variation (SD Failed = 0)", "Group 12: Only Failed | With variation (SD Failed &gt; 0)"), IF(AND(G213&gt;0, H213&gt;0), IF(ROUND(J213,5)&lt;&gt;ROUND(M213,5), IF(AND(ROUND(K213,8)=0, ROUND(N213,8)=0), "Group 1: Flaky | Passed (no variation) AND Failed (no variation) | Different Means", IF(AND(ROUND(K213,8)&gt;0, ROUND(N213,8)&gt;0), "Group 2: Flaky | Passed (with variation) AND Failed (with variation) | Different Means", IF(AND(ROUND(K213,8)=0, ROUND(N213,8)&gt;0), "Group 3: Flaky | Passed (no variation) AND Failed (with variation) | Different Means", "Group 4: Flaky | Passed (with variation) AND Failed (no variation) | Different Means"))), IF(AND(ROUND(K213,8)=0, ROUND(N213,8)=0), "Group 5: Flaky | Passed (no variation) AND Failed (no variation) | Equal Means", IF(AND(ROUND(K213,8)&gt;0, ROUND(N213,8)&gt;0), "Group 6: Flaky | Passed (with variation) AND Failed (with variation) | Equal Means", IF(AND(ROUND(K213,8)=0, ROUND(N213,8)&gt;0),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3" s="17" t="n">
        <v>4</v>
      </c>
      <c r="R213" s="17" t="n">
        <v>96</v>
      </c>
      <c r="S213" s="43" t="str">
        <f aca="false">IF(AND(Q213&gt;0, R213&gt;0), "Observed Flaky Test", "Non-observed Flaky Test")</f>
        <v>Observed Flaky Test</v>
      </c>
      <c r="T213" s="24" t="n">
        <v>431269</v>
      </c>
      <c r="U213" s="24" t="n">
        <v>171.374833</v>
      </c>
      <c r="V213" s="25" t="n">
        <f aca="false">IFERROR(U213/T213*100,"N/A")</f>
        <v>0.0397373409635286</v>
      </c>
      <c r="W213" s="24" t="n">
        <v>557728.520833</v>
      </c>
      <c r="X213" s="24" t="n">
        <v>131.020447</v>
      </c>
      <c r="Y213" s="27" t="n">
        <f aca="false">IFERROR(X213/W213*100,"N/A")</f>
        <v>0.0234917961169196</v>
      </c>
      <c r="Z213" s="68" t="str">
        <f aca="false">IF(AND(Q213&gt;0, R213=0), IF(IFERROR(ROUND(V213,8),0)=0, "Group 9: Only Passed | Without variation (no var CV = 0)", "Group 10: Only Passed | With variation (with var CV &gt; 0)"), IF(AND(Q213=0, R213&gt;0), IF(IFERROR(ROUND(Y213,8),0)=0, "Group 11: Only Failed | Without variation (no var CV = 0)", "Group 12: Only Failed | With variation (with var CV &gt; 0)"), IF(AND(Q213&gt;0, R213&gt;0), IF(ROUND(T213,5)&lt;&gt;ROUND(W213,5), IF(AND(IFERROR(ROUND(V213,8),0)=0, IFERROR(ROUND(Y213,8),0)=0), "Group 1: Flaky | Passed (no variation: CV = 0) AND Failed (no variation: CV = 0) | Different Means", IF(AND(IFERROR(ROUND(V213,8),0)&gt;0, IFERROR(ROUND(Y213,8),0)&gt;0), "Group 2: Flaky | Passed (with variation: CV &gt; 0) AND Failed (with variation: CV &gt; 0) | Different Means", IF(AND(IFERROR(ROUND(V213,8),0)=0, IFERROR(ROUND(Y213,8),0)&gt;0), "Group 3: Flaky | Passed (no variation: CV = 0) AND Failed (with variation: CV &gt; 0) | Different Means", "Group 4: Flaky | Passed (with variation: CV &gt; 0) AND Failed (no variation: CV = 0) | Different Means"))), IF(AND(IFERROR(ROUND(V213,8),0)=0, IFERROR(ROUND(Y213,8),0)=0), "Group 5: Flaky | Passed (no var CV = 0) AND Failed (no var CV = 0) | Equal Means", IF(AND(IFERROR(ROUND(V213,8),0)&gt;0, IFERROR(ROUND(Y213,8),0)&gt;0), "Group 6: Flaky | Passed (with var CV &gt; 0) AND Failed (with var CV &gt; 0) | Equal Means", IF(AND(IFERROR(ROUND(V213,8),0)=0, IFERROR(ROUND(Y213,8),0)&gt;0),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3" s="29" t="n">
        <v>5.235311</v>
      </c>
      <c r="AB213" s="29" t="n">
        <v>0.383297</v>
      </c>
      <c r="AC213" s="29" t="n">
        <f aca="false">IFERROR(AB213/AA213*100,"N/A")</f>
        <v>7.32137976139335</v>
      </c>
      <c r="AD213" s="29" t="n">
        <v>3.885497</v>
      </c>
      <c r="AE213" s="29" t="n">
        <v>0.333911</v>
      </c>
      <c r="AF213" s="29" t="n">
        <f aca="false">IFERROR(AE213/AD213*100,"N/A")</f>
        <v>8.59377835062027</v>
      </c>
      <c r="AG213" s="36" t="str">
        <f aca="false">IF(AND(Q213&gt;0, R213=0), IF(IFERROR(ROUND(AC213,8),0)=0, "Group 9: Only Passed | Without variation (no var CV = 0)", "Group 10: Only Passed | With variation (with var CV &gt; 0)"), IF(AND(Q213=0, R213&gt;0), IF(IFERROR(ROUND(AF213,8),0)=0, "Group 11: Only Failed | Without variation (no var CV = 0)", "Group 12: Only Failed | With variation (with var CV &gt; 0)"), IF(AND(Q213&gt;0, R213&gt;0), IF(ROUND(AA213,5)&lt;&gt;ROUND(AD213,5), IF(AND(IFERROR(ROUND(AC213,8),0)=0, IFERROR(ROUND(AF213,8),0)=0), "Group 1: Flaky | Passed (no variation: CV = 0) AND Failed (no variation: CV = 0) | Different Means", IF(AND(IFERROR(ROUND(AC213,8),0)&gt;0, IFERROR(ROUND(AF213,8),0)&gt;0), "Group 2: Flaky | Passed (with variation: CV &gt; 0) AND Failed (with variation: CV &gt; 0) | Different Means", IF(AND(IFERROR(ROUND(AC213,8),0)=0, IFERROR(ROUND(AF213,8),0)&gt;0), "Group 3: Flaky | Passed (no variation: CV = 0) AND Failed (with variation: CV &gt; 0) | Different Means", "Group 4: Flaky | Passed (with variation: CV &gt; 0) AND Failed (no variation: CV = 0) | Different Means"))), IF(AND(IFERROR(ROUND(AC213,8),0)=0, IFERROR(ROUND(AF213,8),0)=0), "Group 5: Flaky | Passed (no var CV = 0) AND Failed (no var CV = 0) | Equal Means", IF(AND(IFERROR(ROUND(AC213,8),0)&gt;0, IFERROR(ROUND(AF213,8),0)&gt;0), "Group 6: Flaky | Passed (with var CV &gt; 0) AND Failed (with var CV &gt; 0) | Equal Means", IF(AND(IFERROR(ROUND(AC213,8),0)=0, IFERROR(ROUND(AF213,8),0)&gt;0),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3" s="22" t="n">
        <v>0</v>
      </c>
      <c r="AI213" s="17" t="n">
        <v>100</v>
      </c>
      <c r="AJ213" s="31" t="str">
        <f aca="false">IF(AND(AH213&gt;0, AI213&gt;0), "Observed Flaky Test", "Non-observed Flaky Test")</f>
        <v>Non-observed Flaky Test</v>
      </c>
      <c r="AK213" s="90" t="n">
        <v>0</v>
      </c>
      <c r="AL213" s="90" t="n">
        <v>0</v>
      </c>
      <c r="AM213" s="33" t="str">
        <f aca="false">IFERROR(AL213/AK213*100,"N/A")</f>
        <v>N/A</v>
      </c>
      <c r="AN213" s="90" t="n">
        <v>623</v>
      </c>
      <c r="AO213" s="90" t="n">
        <v>0</v>
      </c>
      <c r="AP213" s="35" t="n">
        <f aca="false">IFERROR(AO213/AN213*100,"N/A")</f>
        <v>0</v>
      </c>
      <c r="AQ213" s="73" t="str">
        <f aca="false">IF(AND(AH213&gt;0, AI213&gt;0),
    IF(ROUND(N(AK213),5)&lt;&gt;ROUND(N(AN213),5),
        IF(AND(ROUND(N(AL213),8)=0, ROUND(N(AO213),8)=0), "Group 1: Flaky | Passed (no variation: SD = 0) AND Failed (no variation: SD = 0) | Different Means",
        IF(AND(ROUND(N(AL213),8)&gt;0, ROUND(N(AO213),8)&gt;0), "Group 2: Flaky | Passed (with variation: SD &gt; 0) AND Failed (with variation: SD &gt; 0) | Different Means",
        IF(AND(ROUND(N(AL213),8)=0, ROUND(N(AO213),8)&gt;0), "Group 3: Flaky | Passed (no variation: SD = 0) AND Failed (with variation: SD &gt; 0) | Different Means",
        "Group 4: Flaky | Passed (with variation: SD &gt; 0) AND Failed (no variation: SD = 0) | Different Means"))),
        IF(AND(ROUND(N(AL213),8)=0, ROUND(N(AO213),8)=0), "Group 5: Flaky | Passed (no var SD = 0) AND Failed (no var SD = 0) | Equal Means",
        IF(AND(ROUND(N(AL213),8)&gt;0, ROUND(N(AO213),8)&gt;0), "Group 6: Flaky | Passed (with var SD &gt; 0 ) AND Failed (with var SD &gt; 0) | Equal Means",
        IF(AND(ROUND(N(AL213),8)=0, ROUND(N(AO213),8)&gt;0), "Group 7: Flaky | Passed (no var SD = 0) AND Failed (with var SD &gt; 0) | Equal Means",
        "Group 8: Flaky | Passed (with var SD &gt; 0 ) AND Failed (no var SD = 0) | Equal Means")))
    ),
    IF(AH213&gt;0,
        IF(N(AL213)&gt;0, "Group 10: Only Passed | With variation (with var SD &gt; 0)", "Group 9: Only Passed | Without variation (no var SD = 0)"),
        IF(AI213&gt;0,
            IF(N(AO213)&gt;0,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13" s="42" t="str">
        <f aca="false">IF(OR(F213="Observed Flaky Test", I213="Observed Flaky Test", S213="Observed Flaky Test", AJ213="Observed Flaky Test"), "Observed Flaky Test", "Non-observed Flaky Test")</f>
        <v>Observed Flaky Test</v>
      </c>
    </row>
    <row r="214" customFormat="false" ht="15.75" hidden="false" customHeight="true" outlineLevel="0" collapsed="false">
      <c r="A214" s="81"/>
      <c r="B214" s="14" t="s">
        <v>498</v>
      </c>
      <c r="C214" s="14" t="s">
        <v>499</v>
      </c>
      <c r="D214" s="15" t="n">
        <v>3</v>
      </c>
      <c r="E214" s="15" t="n">
        <v>97</v>
      </c>
      <c r="F214" s="61" t="str">
        <f aca="false">IF(AND(D214&gt;0, E214&gt;0), "Observed Flaky Test", "Non-observed Flaky Test")</f>
        <v>Observed Flaky Test</v>
      </c>
      <c r="G214" s="22" t="n">
        <v>0</v>
      </c>
      <c r="H214" s="22" t="n">
        <v>100</v>
      </c>
      <c r="I214" s="16" t="str">
        <f aca="false">IF(AND(G214&gt;0, H214&gt;0), "Observed Flaky Test", "Non-observed Flaky Test")</f>
        <v>Non-observed Flaky Test</v>
      </c>
      <c r="J214" s="18" t="n">
        <v>0</v>
      </c>
      <c r="K214" s="18" t="n">
        <v>0</v>
      </c>
      <c r="L214" s="19" t="str">
        <f aca="false">IFERROR(K214/J214*100,"N/A")</f>
        <v>N/A</v>
      </c>
      <c r="M214" s="18" t="n">
        <v>37.14</v>
      </c>
      <c r="N214" s="18" t="n">
        <v>0</v>
      </c>
      <c r="O214" s="20" t="n">
        <f aca="false">IFERROR(N214/M214*100,"N/A")</f>
        <v>0</v>
      </c>
      <c r="P214" s="21" t="str">
        <f aca="false">IF(AND(G214&gt;0, H214=0), IF(ROUND(K214,8)=0, "Group 9: Only Passed | Without variation (SD Passed = 0)", "Group 10: Only Passed | With variation (SD Passed &gt; 0)"), IF(AND(G214=0, H214&gt;0), IF(ROUND(N214,8)=0, "Group 11: Only Failed | Without variation (SD Failed = 0)", "Group 12: Only Failed | With variation (SD Failed &gt; 0)"), IF(AND(G214&gt;0, H214&gt;0), IF(ROUND(J214,5)&lt;&gt;ROUND(M214,5), IF(AND(ROUND(K214,8)=0, ROUND(N214,8)=0), "Group 1: Flaky | Passed (no variation) AND Failed (no variation) | Different Means", IF(AND(ROUND(K214,8)&gt;0, ROUND(N214,8)&gt;0), "Group 2: Flaky | Passed (with variation) AND Failed (with variation) | Different Means", IF(AND(ROUND(K214,8)=0, ROUND(N214,8)&gt;0), "Group 3: Flaky | Passed (no variation) AND Failed (with variation) | Different Means", "Group 4: Flaky | Passed (with variation) AND Failed (no variation) | Different Means"))), IF(AND(ROUND(K214,8)=0, ROUND(N214,8)=0), "Group 5: Flaky | Passed (no variation) AND Failed (no variation) | Equal Means", IF(AND(ROUND(K214,8)&gt;0, ROUND(N214,8)&gt;0), "Group 6: Flaky | Passed (with variation) AND Failed (with variation) | Equal Means", IF(AND(ROUND(K214,8)=0, ROUND(N214,8)&gt;0),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4" s="17" t="n">
        <v>3</v>
      </c>
      <c r="R214" s="17" t="n">
        <v>97</v>
      </c>
      <c r="S214" s="43" t="str">
        <f aca="false">IF(AND(Q214&gt;0, R214&gt;0), "Observed Flaky Test", "Non-observed Flaky Test")</f>
        <v>Observed Flaky Test</v>
      </c>
      <c r="T214" s="24" t="n">
        <v>431298.333333</v>
      </c>
      <c r="U214" s="24" t="n">
        <v>204.142924</v>
      </c>
      <c r="V214" s="25" t="n">
        <f aca="false">IFERROR(U214/T214*100,"N/A")</f>
        <v>0.0473321847600055</v>
      </c>
      <c r="W214" s="24" t="n">
        <v>557723.319588</v>
      </c>
      <c r="X214" s="24" t="n">
        <v>127.150546</v>
      </c>
      <c r="Y214" s="27" t="n">
        <f aca="false">IFERROR(X214/W214*100,"N/A")</f>
        <v>0.0227981404998321</v>
      </c>
      <c r="Z214" s="68" t="str">
        <f aca="false">IF(AND(Q214&gt;0, R214=0), IF(IFERROR(ROUND(V214,8),0)=0, "Group 9: Only Passed | Without variation (no var CV = 0)", "Group 10: Only Passed | With variation (with var CV &gt; 0)"), IF(AND(Q214=0, R214&gt;0), IF(IFERROR(ROUND(Y214,8),0)=0, "Group 11: Only Failed | Without variation (no var CV = 0)", "Group 12: Only Failed | With variation (with var CV &gt; 0)"), IF(AND(Q214&gt;0, R214&gt;0), IF(ROUND(T214,5)&lt;&gt;ROUND(W214,5), IF(AND(IFERROR(ROUND(V214,8),0)=0, IFERROR(ROUND(Y214,8),0)=0), "Group 1: Flaky | Passed (no variation: CV = 0) AND Failed (no variation: CV = 0) | Different Means", IF(AND(IFERROR(ROUND(V214,8),0)&gt;0, IFERROR(ROUND(Y214,8),0)&gt;0), "Group 2: Flaky | Passed (with variation: CV &gt; 0) AND Failed (with variation: CV &gt; 0) | Different Means", IF(AND(IFERROR(ROUND(V214,8),0)=0, IFERROR(ROUND(Y214,8),0)&gt;0), "Group 3: Flaky | Passed (no variation: CV = 0) AND Failed (with variation: CV &gt; 0) | Different Means", "Group 4: Flaky | Passed (with variation: CV &gt; 0) AND Failed (no variation: CV = 0) | Different Means"))), IF(AND(IFERROR(ROUND(V214,8),0)=0, IFERROR(ROUND(Y214,8),0)=0), "Group 5: Flaky | Passed (no var CV = 0) AND Failed (no var CV = 0) | Equal Means", IF(AND(IFERROR(ROUND(V214,8),0)&gt;0, IFERROR(ROUND(Y214,8),0)&gt;0), "Group 6: Flaky | Passed (with var CV &gt; 0) AND Failed (with var CV &gt; 0) | Equal Means", IF(AND(IFERROR(ROUND(V214,8),0)=0, IFERROR(ROUND(Y214,8),0)&gt;0),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4" s="29" t="n">
        <v>5.026815</v>
      </c>
      <c r="AB214" s="29" t="n">
        <v>0.750283</v>
      </c>
      <c r="AC214" s="29" t="n">
        <f aca="false">IFERROR(AB214/AA214*100,"N/A")</f>
        <v>14.9256139324801</v>
      </c>
      <c r="AD214" s="29" t="n">
        <v>3.9078</v>
      </c>
      <c r="AE214" s="29" t="n">
        <v>0.342762</v>
      </c>
      <c r="AF214" s="29" t="n">
        <f aca="false">IFERROR(AE214/AD214*100,"N/A")</f>
        <v>8.7712267772148</v>
      </c>
      <c r="AG214" s="36" t="str">
        <f aca="false">IF(AND(Q214&gt;0, R214=0), IF(IFERROR(ROUND(AC214,8),0)=0, "Group 9: Only Passed | Without variation (no var CV = 0)", "Group 10: Only Passed | With variation (with var CV &gt; 0)"), IF(AND(Q214=0, R214&gt;0), IF(IFERROR(ROUND(AF214,8),0)=0, "Group 11: Only Failed | Without variation (no var CV = 0)", "Group 12: Only Failed | With variation (with var CV &gt; 0)"), IF(AND(Q214&gt;0, R214&gt;0), IF(ROUND(AA214,5)&lt;&gt;ROUND(AD214,5), IF(AND(IFERROR(ROUND(AC214,8),0)=0, IFERROR(ROUND(AF214,8),0)=0), "Group 1: Flaky | Passed (no variation: CV = 0) AND Failed (no variation: CV = 0) | Different Means", IF(AND(IFERROR(ROUND(AC214,8),0)&gt;0, IFERROR(ROUND(AF214,8),0)&gt;0), "Group 2: Flaky | Passed (with variation: CV &gt; 0) AND Failed (with variation: CV &gt; 0) | Different Means", IF(AND(IFERROR(ROUND(AC214,8),0)=0, IFERROR(ROUND(AF214,8),0)&gt;0), "Group 3: Flaky | Passed (no variation: CV = 0) AND Failed (with variation: CV &gt; 0) | Different Means", "Group 4: Flaky | Passed (with variation: CV &gt; 0) AND Failed (no variation: CV = 0) | Different Means"))), IF(AND(IFERROR(ROUND(AC214,8),0)=0, IFERROR(ROUND(AF214,8),0)=0), "Group 5: Flaky | Passed (no var CV = 0) AND Failed (no var CV = 0) | Equal Means", IF(AND(IFERROR(ROUND(AC214,8),0)&gt;0, IFERROR(ROUND(AF214,8),0)&gt;0), "Group 6: Flaky | Passed (with var CV &gt; 0) AND Failed (with var CV &gt; 0) | Equal Means", IF(AND(IFERROR(ROUND(AC214,8),0)=0, IFERROR(ROUND(AF214,8),0)&gt;0),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4" s="22" t="n">
        <v>1</v>
      </c>
      <c r="AI214" s="17" t="n">
        <v>99</v>
      </c>
      <c r="AJ214" s="39" t="str">
        <f aca="false">IF(AND(AH214&gt;0, AI214&gt;0), "Observed Flaky Test", "Non-observed Flaky Test")</f>
        <v>Observed Flaky Test</v>
      </c>
      <c r="AK214" s="90" t="n">
        <v>6579</v>
      </c>
      <c r="AL214" s="90" t="n">
        <v>0</v>
      </c>
      <c r="AM214" s="33" t="n">
        <f aca="false">IFERROR(AL214/AK214*100,"N/A")</f>
        <v>0</v>
      </c>
      <c r="AN214" s="90" t="n">
        <v>623</v>
      </c>
      <c r="AO214" s="90" t="n">
        <v>0</v>
      </c>
      <c r="AP214" s="35" t="n">
        <f aca="false">IFERROR(AO214/AN214*100,"N/A")</f>
        <v>0</v>
      </c>
      <c r="AQ214" s="85" t="str">
        <f aca="false">IF(AND(AH214&gt;0, AI214&gt;0),
    IF(ROUND(N(AK214),5)&lt;&gt;ROUND(N(AN214),5),
        IF(AND(ROUND(N(AL214),8)=0, ROUND(N(AO214),8)=0), "Group 1: Flaky | Passed (no variation: SD = 0) AND Failed (no variation: SD = 0) | Different Means",
        IF(AND(ROUND(N(AL214),8)&gt;0, ROUND(N(AO214),8)&gt;0), "Group 2: Flaky | Passed (with variation: SD &gt; 0) AND Failed (with variation: SD &gt; 0) | Different Means",
        IF(AND(ROUND(N(AL214),8)=0, ROUND(N(AO214),8)&gt;0), "Group 3: Flaky | Passed (no variation: SD = 0) AND Failed (with variation: SD &gt; 0) | Different Means",
        "Group 4: Flaky | Passed (with variation: SD &gt; 0) AND Failed (no variation: SD = 0) | Different Means"))),
        IF(AND(ROUND(N(AL214),8)=0, ROUND(N(AO214),8)=0), "Group 5: Flaky | Passed (no var SD = 0) AND Failed (no var SD = 0) | Equal Means",
        IF(AND(ROUND(N(AL214),8)&gt;0, ROUND(N(AO214),8)&gt;0), "Group 6: Flaky | Passed (with var SD &gt; 0 ) AND Failed (with var SD &gt; 0) | Equal Means",
        IF(AND(ROUND(N(AL214),8)=0, ROUND(N(AO214),8)&gt;0), "Group 7: Flaky | Passed (no var SD = 0) AND Failed (with var SD &gt; 0) | Equal Means",
        "Group 8: Flaky | Passed (with var SD &gt; 0 ) AND Failed (no var SD = 0) | Equal Means")))
    ),
    IF(AH214&gt;0,
        IF(N(AL214)&gt;0, "Group 10: Only Passed | With variation (with var SD &gt; 0)", "Group 9: Only Passed | Without variation (no var SD = 0)"),
        IF(AI214&gt;0,
            IF(N(AO214)&gt;0,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14" s="42" t="str">
        <f aca="false">IF(OR(F214="Observed Flaky Test", I214="Observed Flaky Test", S214="Observed Flaky Test", AJ214="Observed Flaky Test"), "Observed Flaky Test", "Non-observed Flaky Test")</f>
        <v>Observed Flaky Test</v>
      </c>
    </row>
    <row r="215" customFormat="false" ht="15.75" hidden="false" customHeight="true" outlineLevel="0" collapsed="false">
      <c r="A215" s="81"/>
      <c r="B215" s="14" t="s">
        <v>500</v>
      </c>
      <c r="C215" s="14" t="s">
        <v>501</v>
      </c>
      <c r="D215" s="15" t="n">
        <v>4</v>
      </c>
      <c r="E215" s="15" t="n">
        <v>96</v>
      </c>
      <c r="F215" s="61" t="str">
        <f aca="false">IF(AND(D215&gt;0, E215&gt;0), "Observed Flaky Test", "Non-observed Flaky Test")</f>
        <v>Observed Flaky Test</v>
      </c>
      <c r="G215" s="22" t="n">
        <v>0</v>
      </c>
      <c r="H215" s="22" t="n">
        <v>100</v>
      </c>
      <c r="I215" s="16" t="str">
        <f aca="false">IF(AND(G215&gt;0, H215&gt;0), "Observed Flaky Test", "Non-observed Flaky Test")</f>
        <v>Non-observed Flaky Test</v>
      </c>
      <c r="J215" s="18" t="n">
        <v>0</v>
      </c>
      <c r="K215" s="18" t="n">
        <v>0</v>
      </c>
      <c r="L215" s="19" t="str">
        <f aca="false">IFERROR(K215/J215*100,"N/A")</f>
        <v>N/A</v>
      </c>
      <c r="M215" s="18" t="n">
        <v>37.14</v>
      </c>
      <c r="N215" s="18" t="n">
        <v>0</v>
      </c>
      <c r="O215" s="20" t="n">
        <f aca="false">IFERROR(N215/M215*100,"N/A")</f>
        <v>0</v>
      </c>
      <c r="P215" s="21" t="str">
        <f aca="false">IF(AND(G215&gt;0, H215=0), IF(ROUND(K215,8)=0, "Group 9: Only Passed | Without variation (SD Passed = 0)", "Group 10: Only Passed | With variation (SD Passed &gt; 0)"), IF(AND(G215=0, H215&gt;0), IF(ROUND(N215,8)=0, "Group 11: Only Failed | Without variation (SD Failed = 0)", "Group 12: Only Failed | With variation (SD Failed &gt; 0)"), IF(AND(G215&gt;0, H215&gt;0), IF(ROUND(J215,5)&lt;&gt;ROUND(M215,5), IF(AND(ROUND(K215,8)=0, ROUND(N215,8)=0), "Group 1: Flaky | Passed (no variation) AND Failed (no variation) | Different Means", IF(AND(ROUND(K215,8)&gt;0, ROUND(N215,8)&gt;0), "Group 2: Flaky | Passed (with variation) AND Failed (with variation) | Different Means", IF(AND(ROUND(K215,8)=0, ROUND(N215,8)&gt;0), "Group 3: Flaky | Passed (no variation) AND Failed (with variation) | Different Means", "Group 4: Flaky | Passed (with variation) AND Failed (no variation) | Different Means"))), IF(AND(ROUND(K215,8)=0, ROUND(N215,8)=0), "Group 5: Flaky | Passed (no variation) AND Failed (no variation) | Equal Means", IF(AND(ROUND(K215,8)&gt;0, ROUND(N215,8)&gt;0), "Group 6: Flaky | Passed (with variation) AND Failed (with variation) | Equal Means", IF(AND(ROUND(K215,8)=0, ROUND(N215,8)&gt;0),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5" s="17" t="n">
        <v>2</v>
      </c>
      <c r="R215" s="17" t="n">
        <v>98</v>
      </c>
      <c r="S215" s="43" t="str">
        <f aca="false">IF(AND(Q215&gt;0, R215&gt;0), "Observed Flaky Test", "Non-observed Flaky Test")</f>
        <v>Observed Flaky Test</v>
      </c>
      <c r="T215" s="55" t="n">
        <v>431170.5</v>
      </c>
      <c r="U215" s="26" t="n">
        <v>7.778175</v>
      </c>
      <c r="V215" s="25" t="n">
        <f aca="false">IFERROR(U215/T215*100,"N/A")</f>
        <v>0.00180396734006617</v>
      </c>
      <c r="W215" s="24" t="n">
        <v>557728.061224</v>
      </c>
      <c r="X215" s="24" t="n">
        <v>135.443511</v>
      </c>
      <c r="Y215" s="27" t="n">
        <f aca="false">IFERROR(X215/W215*100,"N/A")</f>
        <v>0.024284865764644</v>
      </c>
      <c r="Z215" s="68" t="str">
        <f aca="false">IF(AND(Q215&gt;0, R215=0), IF(IFERROR(ROUND(V215,8),0)=0, "Group 9: Only Passed | Without variation (no var CV = 0)", "Group 10: Only Passed | With variation (with var CV &gt; 0)"), IF(AND(Q215=0, R215&gt;0), IF(IFERROR(ROUND(Y215,8),0)=0, "Group 11: Only Failed | Without variation (no var CV = 0)", "Group 12: Only Failed | With variation (with var CV &gt; 0)"), IF(AND(Q215&gt;0, R215&gt;0), IF(ROUND(T215,5)&lt;&gt;ROUND(W215,5), IF(AND(IFERROR(ROUND(V215,8),0)=0, IFERROR(ROUND(Y215,8),0)=0), "Group 1: Flaky | Passed (no variation: CV = 0) AND Failed (no variation: CV = 0) | Different Means", IF(AND(IFERROR(ROUND(V215,8),0)&gt;0, IFERROR(ROUND(Y215,8),0)&gt;0), "Group 2: Flaky | Passed (with variation: CV &gt; 0) AND Failed (with variation: CV &gt; 0) | Different Means", IF(AND(IFERROR(ROUND(V215,8),0)=0, IFERROR(ROUND(Y215,8),0)&gt;0), "Group 3: Flaky | Passed (no variation: CV = 0) AND Failed (with variation: CV &gt; 0) | Different Means", "Group 4: Flaky | Passed (with variation: CV &gt; 0) AND Failed (no variation: CV = 0) | Different Means"))), IF(AND(IFERROR(ROUND(V215,8),0)=0, IFERROR(ROUND(Y215,8),0)=0), "Group 5: Flaky | Passed (no var CV = 0) AND Failed (no var CV = 0) | Equal Means", IF(AND(IFERROR(ROUND(V215,8),0)&gt;0, IFERROR(ROUND(Y215,8),0)&gt;0), "Group 6: Flaky | Passed (with var CV &gt; 0) AND Failed (with var CV &gt; 0) | Equal Means", IF(AND(IFERROR(ROUND(V215,8),0)=0, IFERROR(ROUND(Y215,8),0)&gt;0),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5" s="29" t="n">
        <v>5.268881</v>
      </c>
      <c r="AB215" s="29" t="n">
        <v>0.182537</v>
      </c>
      <c r="AC215" s="29" t="n">
        <f aca="false">IFERROR(AB215/AA215*100,"N/A")</f>
        <v>3.46443580714767</v>
      </c>
      <c r="AD215" s="29" t="n">
        <v>3.868836</v>
      </c>
      <c r="AE215" s="29" t="n">
        <v>0.366374</v>
      </c>
      <c r="AF215" s="29" t="n">
        <f aca="false">IFERROR(AE215/AD215*100,"N/A")</f>
        <v>9.46987672778066</v>
      </c>
      <c r="AG215" s="36" t="str">
        <f aca="false">IF(AND(Q215&gt;0, R215=0), IF(IFERROR(ROUND(AC215,8),0)=0, "Group 9: Only Passed | Without variation (no var CV = 0)", "Group 10: Only Passed | With variation (with var CV &gt; 0)"), IF(AND(Q215=0, R215&gt;0), IF(IFERROR(ROUND(AF215,8),0)=0, "Group 11: Only Failed | Without variation (no var CV = 0)", "Group 12: Only Failed | With variation (with var CV &gt; 0)"), IF(AND(Q215&gt;0, R215&gt;0), IF(ROUND(AA215,5)&lt;&gt;ROUND(AD215,5), IF(AND(IFERROR(ROUND(AC215,8),0)=0, IFERROR(ROUND(AF215,8),0)=0), "Group 1: Flaky | Passed (no variation: CV = 0) AND Failed (no variation: CV = 0) | Different Means", IF(AND(IFERROR(ROUND(AC215,8),0)&gt;0, IFERROR(ROUND(AF215,8),0)&gt;0), "Group 2: Flaky | Passed (with variation: CV &gt; 0) AND Failed (with variation: CV &gt; 0) | Different Means", IF(AND(IFERROR(ROUND(AC215,8),0)=0, IFERROR(ROUND(AF215,8),0)&gt;0), "Group 3: Flaky | Passed (no variation: CV = 0) AND Failed (with variation: CV &gt; 0) | Different Means", "Group 4: Flaky | Passed (with variation: CV &gt; 0) AND Failed (no variation: CV = 0) | Different Means"))), IF(AND(IFERROR(ROUND(AC215,8),0)=0, IFERROR(ROUND(AF215,8),0)=0), "Group 5: Flaky | Passed (no var CV = 0) AND Failed (no var CV = 0) | Equal Means", IF(AND(IFERROR(ROUND(AC215,8),0)&gt;0, IFERROR(ROUND(AF215,8),0)&gt;0), "Group 6: Flaky | Passed (with var CV &gt; 0) AND Failed (with var CV &gt; 0) | Equal Means", IF(AND(IFERROR(ROUND(AC215,8),0)=0, IFERROR(ROUND(AF215,8),0)&gt;0),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5" s="22" t="n">
        <v>0</v>
      </c>
      <c r="AI215" s="17" t="n">
        <v>100</v>
      </c>
      <c r="AJ215" s="31" t="str">
        <f aca="false">IF(AND(AH215&gt;0, AI215&gt;0), "Observed Flaky Test", "Non-observed Flaky Test")</f>
        <v>Non-observed Flaky Test</v>
      </c>
      <c r="AK215" s="90" t="n">
        <v>0</v>
      </c>
      <c r="AL215" s="90" t="n">
        <v>0</v>
      </c>
      <c r="AM215" s="33" t="str">
        <f aca="false">IFERROR(AL215/AK215*100,"N/A")</f>
        <v>N/A</v>
      </c>
      <c r="AN215" s="90" t="n">
        <v>623</v>
      </c>
      <c r="AO215" s="90" t="n">
        <v>0</v>
      </c>
      <c r="AP215" s="35" t="n">
        <f aca="false">IFERROR(AO215/AN215*100,"N/A")</f>
        <v>0</v>
      </c>
      <c r="AQ215" s="73" t="str">
        <f aca="false">IF(AND(AH215&gt;0, AI215&gt;0),
    IF(ROUND(N(AK215),5)&lt;&gt;ROUND(N(AN215),5),
        IF(AND(ROUND(N(AL215),8)=0, ROUND(N(AO215),8)=0), "Group 1: Flaky | Passed (no variation: SD = 0) AND Failed (no variation: SD = 0) | Different Means",
        IF(AND(ROUND(N(AL215),8)&gt;0, ROUND(N(AO215),8)&gt;0), "Group 2: Flaky | Passed (with variation: SD &gt; 0) AND Failed (with variation: SD &gt; 0) | Different Means",
        IF(AND(ROUND(N(AL215),8)=0, ROUND(N(AO215),8)&gt;0), "Group 3: Flaky | Passed (no variation: SD = 0) AND Failed (with variation: SD &gt; 0) | Different Means",
        "Group 4: Flaky | Passed (with variation: SD &gt; 0) AND Failed (no variation: SD = 0) | Different Means"))),
        IF(AND(ROUND(N(AL215),8)=0, ROUND(N(AO215),8)=0), "Group 5: Flaky | Passed (no var SD = 0) AND Failed (no var SD = 0) | Equal Means",
        IF(AND(ROUND(N(AL215),8)&gt;0, ROUND(N(AO215),8)&gt;0), "Group 6: Flaky | Passed (with var SD &gt; 0 ) AND Failed (with var SD &gt; 0) | Equal Means",
        IF(AND(ROUND(N(AL215),8)=0, ROUND(N(AO215),8)&gt;0), "Group 7: Flaky | Passed (no var SD = 0) AND Failed (with var SD &gt; 0) | Equal Means",
        "Group 8: Flaky | Passed (with var SD &gt; 0 ) AND Failed (no var SD = 0) | Equal Means")))
    ),
    IF(AH215&gt;0,
        IF(N(AL215)&gt;0, "Group 10: Only Passed | With variation (with var SD &gt; 0)", "Group 9: Only Passed | Without variation (no var SD = 0)"),
        IF(AI215&gt;0,
            IF(N(AO215)&gt;0,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15" s="42" t="str">
        <f aca="false">IF(OR(F215="Observed Flaky Test", I215="Observed Flaky Test", S215="Observed Flaky Test", AJ215="Observed Flaky Test"), "Observed Flaky Test", "Non-observed Flaky Test")</f>
        <v>Observed Flaky Test</v>
      </c>
    </row>
    <row r="216" customFormat="false" ht="15.75" hidden="false" customHeight="true" outlineLevel="0" collapsed="false">
      <c r="A216" s="81"/>
      <c r="B216" s="14" t="s">
        <v>502</v>
      </c>
      <c r="C216" s="14" t="s">
        <v>503</v>
      </c>
      <c r="D216" s="15" t="n">
        <v>3</v>
      </c>
      <c r="E216" s="15" t="n">
        <v>97</v>
      </c>
      <c r="F216" s="61" t="str">
        <f aca="false">IF(AND(D216&gt;0, E216&gt;0), "Observed Flaky Test", "Non-observed Flaky Test")</f>
        <v>Observed Flaky Test</v>
      </c>
      <c r="G216" s="22" t="n">
        <v>1</v>
      </c>
      <c r="H216" s="22" t="n">
        <v>99</v>
      </c>
      <c r="I216" s="61" t="str">
        <f aca="false">IF(AND(G216&gt;0, H216&gt;0), "Observed Flaky Test", "Non-observed Flaky Test")</f>
        <v>Observed Flaky Test</v>
      </c>
      <c r="J216" s="18" t="n">
        <v>57.14</v>
      </c>
      <c r="K216" s="18" t="n">
        <v>0</v>
      </c>
      <c r="L216" s="19" t="n">
        <f aca="false">IFERROR(K216/J216*100,"N/A")</f>
        <v>0</v>
      </c>
      <c r="M216" s="18" t="n">
        <v>37.14</v>
      </c>
      <c r="N216" s="18" t="n">
        <v>0</v>
      </c>
      <c r="O216" s="20" t="n">
        <f aca="false">IFERROR(N216/M216*100,"N/A")</f>
        <v>0</v>
      </c>
      <c r="P216" s="78" t="str">
        <f aca="false">IF(AND(G216&gt;0, H216=0), IF(ROUND(K216,8)=0, "Group 9: Only Passed | Without variation (SD Passed = 0)", "Group 10: Only Passed | With variation (SD Passed &gt; 0)"), IF(AND(G216=0, H216&gt;0), IF(ROUND(N216,8)=0, "Group 11: Only Failed | Without variation (SD Failed = 0)", "Group 12: Only Failed | With variation (SD Failed &gt; 0)"), IF(AND(G216&gt;0, H216&gt;0), IF(ROUND(J216,5)&lt;&gt;ROUND(M216,5), IF(AND(ROUND(K216,8)=0, ROUND(N216,8)=0), "Group 1: Flaky | Passed (no variation) AND Failed (no variation) | Different Means", IF(AND(ROUND(K216,8)&gt;0, ROUND(N216,8)&gt;0), "Group 2: Flaky | Passed (with variation) AND Failed (with variation) | Different Means", IF(AND(ROUND(K216,8)=0, ROUND(N216,8)&gt;0), "Group 3: Flaky | Passed (no variation) AND Failed (with variation) | Different Means", "Group 4: Flaky | Passed (with variation) AND Failed (no variation) | Different Means"))), IF(AND(ROUND(K216,8)=0, ROUND(N216,8)=0), "Group 5: Flaky | Passed (no variation) AND Failed (no variation) | Equal Means", IF(AND(ROUND(K216,8)&gt;0, ROUND(N216,8)&gt;0), "Group 6: Flaky | Passed (with variation) AND Failed (with variation) | Equal Means", IF(AND(ROUND(K216,8)=0, ROUND(N216,8)&gt;0),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16" s="17" t="n">
        <v>3</v>
      </c>
      <c r="R216" s="17" t="n">
        <v>97</v>
      </c>
      <c r="S216" s="43" t="str">
        <f aca="false">IF(AND(Q216&gt;0, R216&gt;0), "Observed Flaky Test", "Non-observed Flaky Test")</f>
        <v>Observed Flaky Test</v>
      </c>
      <c r="T216" s="55" t="n">
        <v>431409</v>
      </c>
      <c r="U216" s="24" t="n">
        <v>195.138412</v>
      </c>
      <c r="V216" s="25" t="n">
        <f aca="false">IFERROR(U216/T216*100,"N/A")</f>
        <v>0.0452328097003076</v>
      </c>
      <c r="W216" s="24" t="n">
        <v>557708.814433</v>
      </c>
      <c r="X216" s="24" t="n">
        <v>109.545779</v>
      </c>
      <c r="Y216" s="27" t="n">
        <f aca="false">IFERROR(X216/W216*100,"N/A")</f>
        <v>0.0196421100339558</v>
      </c>
      <c r="Z216" s="68" t="str">
        <f aca="false">IF(AND(Q216&gt;0, R216=0), IF(IFERROR(ROUND(V216,8),0)=0, "Group 9: Only Passed | Without variation (no var CV = 0)", "Group 10: Only Passed | With variation (with var CV &gt; 0)"), IF(AND(Q216=0, R216&gt;0), IF(IFERROR(ROUND(Y216,8),0)=0, "Group 11: Only Failed | Without variation (no var CV = 0)", "Group 12: Only Failed | With variation (with var CV &gt; 0)"), IF(AND(Q216&gt;0, R216&gt;0), IF(ROUND(T216,5)&lt;&gt;ROUND(W216,5), IF(AND(IFERROR(ROUND(V216,8),0)=0, IFERROR(ROUND(Y216,8),0)=0), "Group 1: Flaky | Passed (no variation: CV = 0) AND Failed (no variation: CV = 0) | Different Means", IF(AND(IFERROR(ROUND(V216,8),0)&gt;0, IFERROR(ROUND(Y216,8),0)&gt;0), "Group 2: Flaky | Passed (with variation: CV &gt; 0) AND Failed (with variation: CV &gt; 0) | Different Means", IF(AND(IFERROR(ROUND(V216,8),0)=0, IFERROR(ROUND(Y216,8),0)&gt;0), "Group 3: Flaky | Passed (no variation: CV = 0) AND Failed (with variation: CV &gt; 0) | Different Means", "Group 4: Flaky | Passed (with variation: CV &gt; 0) AND Failed (no variation: CV = 0) | Different Means"))), IF(AND(IFERROR(ROUND(V216,8),0)=0, IFERROR(ROUND(Y216,8),0)=0), "Group 5: Flaky | Passed (no var CV = 0) AND Failed (no var CV = 0) | Equal Means", IF(AND(IFERROR(ROUND(V216,8),0)&gt;0, IFERROR(ROUND(Y216,8),0)&gt;0), "Group 6: Flaky | Passed (with var CV &gt; 0) AND Failed (with var CV &gt; 0) | Equal Means", IF(AND(IFERROR(ROUND(V216,8),0)=0, IFERROR(ROUND(Y216,8),0)&gt;0),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6" s="29" t="n">
        <v>5.04723</v>
      </c>
      <c r="AB216" s="29" t="n">
        <v>0.112322</v>
      </c>
      <c r="AC216" s="29" t="n">
        <f aca="false">IFERROR(AB216/AA216*100,"N/A")</f>
        <v>2.22541869500696</v>
      </c>
      <c r="AD216" s="29" t="n">
        <v>3.770347</v>
      </c>
      <c r="AE216" s="29" t="n">
        <v>0.378084</v>
      </c>
      <c r="AF216" s="29" t="n">
        <f aca="false">IFERROR(AE216/AD216*100,"N/A")</f>
        <v>10.0278303296752</v>
      </c>
      <c r="AG216" s="36" t="str">
        <f aca="false">IF(AND(Q216&gt;0, R216=0), IF(IFERROR(ROUND(AC216,8),0)=0, "Group 9: Only Passed | Without variation (no var CV = 0)", "Group 10: Only Passed | With variation (with var CV &gt; 0)"), IF(AND(Q216=0, R216&gt;0), IF(IFERROR(ROUND(AF216,8),0)=0, "Group 11: Only Failed | Without variation (no var CV = 0)", "Group 12: Only Failed | With variation (with var CV &gt; 0)"), IF(AND(Q216&gt;0, R216&gt;0), IF(ROUND(AA216,5)&lt;&gt;ROUND(AD216,5), IF(AND(IFERROR(ROUND(AC216,8),0)=0, IFERROR(ROUND(AF216,8),0)=0), "Group 1: Flaky | Passed (no variation: CV = 0) AND Failed (no variation: CV = 0) | Different Means", IF(AND(IFERROR(ROUND(AC216,8),0)&gt;0, IFERROR(ROUND(AF216,8),0)&gt;0), "Group 2: Flaky | Passed (with variation: CV &gt; 0) AND Failed (with variation: CV &gt; 0) | Different Means", IF(AND(IFERROR(ROUND(AC216,8),0)=0, IFERROR(ROUND(AF216,8),0)&gt;0), "Group 3: Flaky | Passed (no variation: CV = 0) AND Failed (with variation: CV &gt; 0) | Different Means", "Group 4: Flaky | Passed (with variation: CV &gt; 0) AND Failed (no variation: CV = 0) | Different Means"))), IF(AND(IFERROR(ROUND(AC216,8),0)=0, IFERROR(ROUND(AF216,8),0)=0), "Group 5: Flaky | Passed (no var CV = 0) AND Failed (no var CV = 0) | Equal Means", IF(AND(IFERROR(ROUND(AC216,8),0)&gt;0, IFERROR(ROUND(AF216,8),0)&gt;0), "Group 6: Flaky | Passed (with var CV &gt; 0) AND Failed (with var CV &gt; 0) | Equal Means", IF(AND(IFERROR(ROUND(AC216,8),0)=0, IFERROR(ROUND(AF216,8),0)&gt;0),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6" s="22" t="n">
        <v>2</v>
      </c>
      <c r="AI216" s="17" t="n">
        <v>98</v>
      </c>
      <c r="AJ216" s="39" t="str">
        <f aca="false">IF(AND(AH216&gt;0, AI216&gt;0), "Observed Flaky Test", "Non-observed Flaky Test")</f>
        <v>Observed Flaky Test</v>
      </c>
      <c r="AK216" s="90" t="n">
        <v>6583</v>
      </c>
      <c r="AL216" s="90" t="n">
        <v>0</v>
      </c>
      <c r="AM216" s="33" t="n">
        <f aca="false">IFERROR(AL216/AK216*100,"N/A")</f>
        <v>0</v>
      </c>
      <c r="AN216" s="90" t="n">
        <v>623</v>
      </c>
      <c r="AO216" s="90" t="n">
        <v>0</v>
      </c>
      <c r="AP216" s="35" t="n">
        <f aca="false">IFERROR(AO216/AN216*100,"N/A")</f>
        <v>0</v>
      </c>
      <c r="AQ216" s="85" t="str">
        <f aca="false">IF(AND(AH216&gt;0, AI216&gt;0),
    IF(ROUND(N(AK216),5)&lt;&gt;ROUND(N(AN216),5),
        IF(AND(ROUND(N(AL216),8)=0, ROUND(N(AO216),8)=0), "Group 1: Flaky | Passed (no variation: SD = 0) AND Failed (no variation: SD = 0) | Different Means",
        IF(AND(ROUND(N(AL216),8)&gt;0, ROUND(N(AO216),8)&gt;0), "Group 2: Flaky | Passed (with variation: SD &gt; 0) AND Failed (with variation: SD &gt; 0) | Different Means",
        IF(AND(ROUND(N(AL216),8)=0, ROUND(N(AO216),8)&gt;0), "Group 3: Flaky | Passed (no variation: SD = 0) AND Failed (with variation: SD &gt; 0) | Different Means",
        "Group 4: Flaky | Passed (with variation: SD &gt; 0) AND Failed (no variation: SD = 0) | Different Means"))),
        IF(AND(ROUND(N(AL216),8)=0, ROUND(N(AO216),8)=0), "Group 5: Flaky | Passed (no var SD = 0) AND Failed (no var SD = 0) | Equal Means",
        IF(AND(ROUND(N(AL216),8)&gt;0, ROUND(N(AO216),8)&gt;0), "Group 6: Flaky | Passed (with var SD &gt; 0 ) AND Failed (with var SD &gt; 0) | Equal Means",
        IF(AND(ROUND(N(AL216),8)=0, ROUND(N(AO216),8)&gt;0), "Group 7: Flaky | Passed (no var SD = 0) AND Failed (with var SD &gt; 0) | Equal Means",
        "Group 8: Flaky | Passed (with var SD &gt; 0 ) AND Failed (no var SD = 0) | Equal Means")))
    ),
    IF(AH216&gt;0,
        IF(N(AL216)&gt;0, "Group 10: Only Passed | With variation (with var SD &gt; 0)", "Group 9: Only Passed | Without variation (no var SD = 0)"),
        IF(AI216&gt;0,
            IF(N(AO216)&gt;0,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16" s="42" t="str">
        <f aca="false">IF(OR(F216="Observed Flaky Test", I216="Observed Flaky Test", S216="Observed Flaky Test", AJ216="Observed Flaky Test"), "Observed Flaky Test", "Non-observed Flaky Test")</f>
        <v>Observed Flaky Test</v>
      </c>
    </row>
    <row r="217" customFormat="false" ht="15.75" hidden="false" customHeight="true" outlineLevel="0" collapsed="false">
      <c r="A217" s="81"/>
      <c r="B217" s="14" t="s">
        <v>504</v>
      </c>
      <c r="C217" s="14" t="s">
        <v>505</v>
      </c>
      <c r="D217" s="15" t="n">
        <v>4</v>
      </c>
      <c r="E217" s="15" t="n">
        <v>96</v>
      </c>
      <c r="F217" s="61" t="str">
        <f aca="false">IF(AND(D217&gt;0, E217&gt;0), "Observed Flaky Test", "Non-observed Flaky Test")</f>
        <v>Observed Flaky Test</v>
      </c>
      <c r="G217" s="22" t="n">
        <v>0</v>
      </c>
      <c r="H217" s="22" t="n">
        <v>100</v>
      </c>
      <c r="I217" s="16" t="str">
        <f aca="false">IF(AND(G217&gt;0, H217&gt;0), "Observed Flaky Test", "Non-observed Flaky Test")</f>
        <v>Non-observed Flaky Test</v>
      </c>
      <c r="J217" s="18" t="n">
        <v>0</v>
      </c>
      <c r="K217" s="18" t="n">
        <v>0</v>
      </c>
      <c r="L217" s="19" t="str">
        <f aca="false">IFERROR(K217/J217*100,"N/A")</f>
        <v>N/A</v>
      </c>
      <c r="M217" s="18" t="n">
        <v>37.14</v>
      </c>
      <c r="N217" s="18" t="n">
        <v>0</v>
      </c>
      <c r="O217" s="20" t="n">
        <f aca="false">IFERROR(N217/M217*100,"N/A")</f>
        <v>0</v>
      </c>
      <c r="P217" s="21" t="str">
        <f aca="false">IF(AND(G217&gt;0, H217=0), IF(ROUND(K217,8)=0, "Group 9: Only Passed | Without variation (SD Passed = 0)", "Group 10: Only Passed | With variation (SD Passed &gt; 0)"), IF(AND(G217=0, H217&gt;0), IF(ROUND(N217,8)=0, "Group 11: Only Failed | Without variation (SD Failed = 0)", "Group 12: Only Failed | With variation (SD Failed &gt; 0)"), IF(AND(G217&gt;0, H217&gt;0), IF(ROUND(J217,5)&lt;&gt;ROUND(M217,5), IF(AND(ROUND(K217,8)=0, ROUND(N217,8)=0), "Group 1: Flaky | Passed (no variation) AND Failed (no variation) | Different Means", IF(AND(ROUND(K217,8)&gt;0, ROUND(N217,8)&gt;0), "Group 2: Flaky | Passed (with variation) AND Failed (with variation) | Different Means", IF(AND(ROUND(K217,8)=0, ROUND(N217,8)&gt;0), "Group 3: Flaky | Passed (no variation) AND Failed (with variation) | Different Means", "Group 4: Flaky | Passed (with variation) AND Failed (no variation) | Different Means"))), IF(AND(ROUND(K217,8)=0, ROUND(N217,8)=0), "Group 5: Flaky | Passed (no variation) AND Failed (no variation) | Equal Means", IF(AND(ROUND(K217,8)&gt;0, ROUND(N217,8)&gt;0), "Group 6: Flaky | Passed (with variation) AND Failed (with variation) | Equal Means", IF(AND(ROUND(K217,8)=0, ROUND(N217,8)&gt;0),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7" s="17" t="n">
        <v>1</v>
      </c>
      <c r="R217" s="17" t="n">
        <v>99</v>
      </c>
      <c r="S217" s="43" t="str">
        <f aca="false">IF(AND(Q217&gt;0, R217&gt;0), "Observed Flaky Test", "Non-observed Flaky Test")</f>
        <v>Observed Flaky Test</v>
      </c>
      <c r="T217" s="55" t="n">
        <v>431166</v>
      </c>
      <c r="U217" s="22" t="n">
        <v>0</v>
      </c>
      <c r="V217" s="25" t="n">
        <f aca="false">IFERROR(U217/T217*100,"N/A")</f>
        <v>0</v>
      </c>
      <c r="W217" s="26" t="n">
        <v>557777.929293</v>
      </c>
      <c r="X217" s="24" t="n">
        <v>161.010093</v>
      </c>
      <c r="Y217" s="27" t="n">
        <f aca="false">IFERROR(X217/W217*100,"N/A")</f>
        <v>0.0288663434933837</v>
      </c>
      <c r="Z217" s="44" t="str">
        <f aca="false">IF(AND(Q217&gt;0, R217=0), IF(IFERROR(ROUND(V217,8),0)=0, "Group 9: Only Passed | Without variation (no var CV = 0)", "Group 10: Only Passed | With variation (with var CV &gt; 0)"), IF(AND(Q217=0, R217&gt;0), IF(IFERROR(ROUND(Y217,8),0)=0, "Group 11: Only Failed | Without variation (no var CV = 0)", "Group 12: Only Failed | With variation (with var CV &gt; 0)"), IF(AND(Q217&gt;0, R217&gt;0), IF(ROUND(T217,5)&lt;&gt;ROUND(W217,5), IF(AND(IFERROR(ROUND(V217,8),0)=0, IFERROR(ROUND(Y217,8),0)=0), "Group 1: Flaky | Passed (no variation: CV = 0) AND Failed (no variation: CV = 0) | Different Means", IF(AND(IFERROR(ROUND(V217,8),0)&gt;0, IFERROR(ROUND(Y217,8),0)&gt;0), "Group 2: Flaky | Passed (with variation: CV &gt; 0) AND Failed (with variation: CV &gt; 0) | Different Means", IF(AND(IFERROR(ROUND(V217,8),0)=0, IFERROR(ROUND(Y217,8),0)&gt;0), "Group 3: Flaky | Passed (no variation: CV = 0) AND Failed (with variation: CV &gt; 0) | Different Means", "Group 4: Flaky | Passed (with variation: CV &gt; 0) AND Failed (no variation: CV = 0) | Different Means"))), IF(AND(IFERROR(ROUND(V217,8),0)=0, IFERROR(ROUND(Y217,8),0)=0), "Group 5: Flaky | Passed (no var CV = 0) AND Failed (no var CV = 0) | Equal Means", IF(AND(IFERROR(ROUND(V217,8),0)&gt;0, IFERROR(ROUND(Y217,8),0)&gt;0), "Group 6: Flaky | Passed (with var CV &gt; 0) AND Failed (with var CV &gt; 0) | Equal Means", IF(AND(IFERROR(ROUND(V217,8),0)=0, IFERROR(ROUND(Y217,8),0)&gt;0),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A217" s="29" t="n">
        <v>7.609825</v>
      </c>
      <c r="AB217" s="29" t="n">
        <v>0</v>
      </c>
      <c r="AC217" s="29" t="n">
        <f aca="false">IFERROR(AB217/AA217*100,"N/A")</f>
        <v>0</v>
      </c>
      <c r="AD217" s="29" t="n">
        <v>3.791009</v>
      </c>
      <c r="AE217" s="29" t="n">
        <v>0.347484</v>
      </c>
      <c r="AF217" s="29" t="n">
        <f aca="false">IFERROR(AE217/AD217*100,"N/A")</f>
        <v>9.16600303507589</v>
      </c>
      <c r="AG217" s="45" t="str">
        <f aca="false">IF(AND(Q217&gt;0, R217=0), IF(IFERROR(ROUND(AC217,8),0)=0, "Group 9: Only Passed | Without variation (no var CV = 0)", "Group 10: Only Passed | With variation (with var CV &gt; 0)"), IF(AND(Q217=0, R217&gt;0), IF(IFERROR(ROUND(AF217,8),0)=0, "Group 11: Only Failed | Without variation (no var CV = 0)", "Group 12: Only Failed | With variation (with var CV &gt; 0)"), IF(AND(Q217&gt;0, R217&gt;0), IF(ROUND(AA217,5)&lt;&gt;ROUND(AD217,5), IF(AND(IFERROR(ROUND(AC217,8),0)=0, IFERROR(ROUND(AF217,8),0)=0), "Group 1: Flaky | Passed (no variation: CV = 0) AND Failed (no variation: CV = 0) | Different Means", IF(AND(IFERROR(ROUND(AC217,8),0)&gt;0, IFERROR(ROUND(AF217,8),0)&gt;0), "Group 2: Flaky | Passed (with variation: CV &gt; 0) AND Failed (with variation: CV &gt; 0) | Different Means", IF(AND(IFERROR(ROUND(AC217,8),0)=0, IFERROR(ROUND(AF217,8),0)&gt;0), "Group 3: Flaky | Passed (no variation: CV = 0) AND Failed (with variation: CV &gt; 0) | Different Means", "Group 4: Flaky | Passed (with variation: CV &gt; 0) AND Failed (no variation: CV = 0) | Different Means"))), IF(AND(IFERROR(ROUND(AC217,8),0)=0, IFERROR(ROUND(AF217,8),0)=0), "Group 5: Flaky | Passed (no var CV = 0) AND Failed (no var CV = 0) | Equal Means", IF(AND(IFERROR(ROUND(AC217,8),0)&gt;0, IFERROR(ROUND(AF217,8),0)&gt;0), "Group 6: Flaky | Passed (with var CV &gt; 0) AND Failed (with var CV &gt; 0) | Equal Means", IF(AND(IFERROR(ROUND(AC217,8),0)=0, IFERROR(ROUND(AF217,8),0)&gt;0),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H217" s="22" t="n">
        <v>1</v>
      </c>
      <c r="AI217" s="17" t="n">
        <v>99</v>
      </c>
      <c r="AJ217" s="39" t="str">
        <f aca="false">IF(AND(AH217&gt;0, AI217&gt;0), "Observed Flaky Test", "Non-observed Flaky Test")</f>
        <v>Observed Flaky Test</v>
      </c>
      <c r="AK217" s="90" t="n">
        <v>6583</v>
      </c>
      <c r="AL217" s="90" t="n">
        <v>0</v>
      </c>
      <c r="AM217" s="33" t="n">
        <f aca="false">IFERROR(AL217/AK217*100,"N/A")</f>
        <v>0</v>
      </c>
      <c r="AN217" s="90" t="n">
        <v>623</v>
      </c>
      <c r="AO217" s="90" t="n">
        <v>0</v>
      </c>
      <c r="AP217" s="35" t="n">
        <f aca="false">IFERROR(AO217/AN217*100,"N/A")</f>
        <v>0</v>
      </c>
      <c r="AQ217" s="85" t="str">
        <f aca="false">IF(AND(AH217&gt;0, AI217&gt;0),
    IF(ROUND(N(AK217),5)&lt;&gt;ROUND(N(AN217),5),
        IF(AND(ROUND(N(AL217),8)=0, ROUND(N(AO217),8)=0), "Group 1: Flaky | Passed (no variation: SD = 0) AND Failed (no variation: SD = 0) | Different Means",
        IF(AND(ROUND(N(AL217),8)&gt;0, ROUND(N(AO217),8)&gt;0), "Group 2: Flaky | Passed (with variation: SD &gt; 0) AND Failed (with variation: SD &gt; 0) | Different Means",
        IF(AND(ROUND(N(AL217),8)=0, ROUND(N(AO217),8)&gt;0), "Group 3: Flaky | Passed (no variation: SD = 0) AND Failed (with variation: SD &gt; 0) | Different Means",
        "Group 4: Flaky | Passed (with variation: SD &gt; 0) AND Failed (no variation: SD = 0) | Different Means"))),
        IF(AND(ROUND(N(AL217),8)=0, ROUND(N(AO217),8)=0), "Group 5: Flaky | Passed (no var SD = 0) AND Failed (no var SD = 0) | Equal Means",
        IF(AND(ROUND(N(AL217),8)&gt;0, ROUND(N(AO217),8)&gt;0), "Group 6: Flaky | Passed (with var SD &gt; 0 ) AND Failed (with var SD &gt; 0) | Equal Means",
        IF(AND(ROUND(N(AL217),8)=0, ROUND(N(AO217),8)&gt;0), "Group 7: Flaky | Passed (no var SD = 0) AND Failed (with var SD &gt; 0) | Equal Means",
        "Group 8: Flaky | Passed (with var SD &gt; 0 ) AND Failed (no var SD = 0) | Equal Means")))
    ),
    IF(AH217&gt;0,
        IF(N(AL217)&gt;0, "Group 10: Only Passed | With variation (with var SD &gt; 0)", "Group 9: Only Passed | Without variation (no var SD = 0)"),
        IF(AI217&gt;0,
            IF(N(AO217)&gt;0,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17" s="42" t="str">
        <f aca="false">IF(OR(F217="Observed Flaky Test", I217="Observed Flaky Test", S217="Observed Flaky Test", AJ217="Observed Flaky Test"), "Observed Flaky Test", "Non-observed Flaky Test")</f>
        <v>Observed Flaky Test</v>
      </c>
    </row>
    <row r="218" customFormat="false" ht="15.75" hidden="false" customHeight="true" outlineLevel="0" collapsed="false">
      <c r="A218" s="81"/>
      <c r="B218" s="14" t="s">
        <v>506</v>
      </c>
      <c r="C218" s="14" t="s">
        <v>507</v>
      </c>
      <c r="D218" s="15" t="n">
        <v>4</v>
      </c>
      <c r="E218" s="15" t="n">
        <v>96</v>
      </c>
      <c r="F218" s="61" t="str">
        <f aca="false">IF(AND(D218&gt;0, E218&gt;0), "Observed Flaky Test", "Non-observed Flaky Test")</f>
        <v>Observed Flaky Test</v>
      </c>
      <c r="G218" s="22" t="n">
        <v>0</v>
      </c>
      <c r="H218" s="22" t="n">
        <v>100</v>
      </c>
      <c r="I218" s="16" t="str">
        <f aca="false">IF(AND(G218&gt;0, H218&gt;0), "Observed Flaky Test", "Non-observed Flaky Test")</f>
        <v>Non-observed Flaky Test</v>
      </c>
      <c r="J218" s="18" t="n">
        <v>0</v>
      </c>
      <c r="K218" s="18" t="n">
        <v>0</v>
      </c>
      <c r="L218" s="19" t="str">
        <f aca="false">IFERROR(K218/J218*100,"N/A")</f>
        <v>N/A</v>
      </c>
      <c r="M218" s="18" t="n">
        <v>37.14</v>
      </c>
      <c r="N218" s="18" t="n">
        <v>0</v>
      </c>
      <c r="O218" s="20" t="n">
        <f aca="false">IFERROR(N218/M218*100,"N/A")</f>
        <v>0</v>
      </c>
      <c r="P218" s="21" t="str">
        <f aca="false">IF(AND(G218&gt;0, H218=0), IF(ROUND(K218,8)=0, "Group 9: Only Passed | Without variation (SD Passed = 0)", "Group 10: Only Passed | With variation (SD Passed &gt; 0)"), IF(AND(G218=0, H218&gt;0), IF(ROUND(N218,8)=0, "Group 11: Only Failed | Without variation (SD Failed = 0)", "Group 12: Only Failed | With variation (SD Failed &gt; 0)"), IF(AND(G218&gt;0, H218&gt;0), IF(ROUND(J218,5)&lt;&gt;ROUND(M218,5), IF(AND(ROUND(K218,8)=0, ROUND(N218,8)=0), "Group 1: Flaky | Passed (no variation) AND Failed (no variation) | Different Means", IF(AND(ROUND(K218,8)&gt;0, ROUND(N218,8)&gt;0), "Group 2: Flaky | Passed (with variation) AND Failed (with variation) | Different Means", IF(AND(ROUND(K218,8)=0, ROUND(N218,8)&gt;0), "Group 3: Flaky | Passed (no variation) AND Failed (with variation) | Different Means", "Group 4: Flaky | Passed (with variation) AND Failed (no variation) | Different Means"))), IF(AND(ROUND(K218,8)=0, ROUND(N218,8)=0), "Group 5: Flaky | Passed (no variation) AND Failed (no variation) | Equal Means", IF(AND(ROUND(K218,8)&gt;0, ROUND(N218,8)&gt;0), "Group 6: Flaky | Passed (with variation) AND Failed (with variation) | Equal Means", IF(AND(ROUND(K218,8)=0, ROUND(N218,8)&gt;0),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8" s="17" t="n">
        <v>2</v>
      </c>
      <c r="R218" s="17" t="n">
        <v>98</v>
      </c>
      <c r="S218" s="43" t="str">
        <f aca="false">IF(AND(Q218&gt;0, R218&gt;0), "Observed Flaky Test", "Non-observed Flaky Test")</f>
        <v>Observed Flaky Test</v>
      </c>
      <c r="T218" s="55" t="n">
        <v>431008.5</v>
      </c>
      <c r="U218" s="24" t="n">
        <v>263.750829</v>
      </c>
      <c r="V218" s="25" t="n">
        <f aca="false">IFERROR(U218/T218*100,"N/A")</f>
        <v>0.0611938810951524</v>
      </c>
      <c r="W218" s="24" t="n">
        <v>557831.387755</v>
      </c>
      <c r="X218" s="24" t="n">
        <v>154.434895</v>
      </c>
      <c r="Y218" s="27" t="n">
        <f aca="false">IFERROR(X218/W218*100,"N/A")</f>
        <v>0.0276848700861967</v>
      </c>
      <c r="Z218" s="68" t="str">
        <f aca="false">IF(AND(Q218&gt;0, R218=0), IF(IFERROR(ROUND(V218,8),0)=0, "Group 9: Only Passed | Without variation (no var CV = 0)", "Group 10: Only Passed | With variation (with var CV &gt; 0)"), IF(AND(Q218=0, R218&gt;0), IF(IFERROR(ROUND(Y218,8),0)=0, "Group 11: Only Failed | Without variation (no var CV = 0)", "Group 12: Only Failed | With variation (with var CV &gt; 0)"), IF(AND(Q218&gt;0, R218&gt;0), IF(ROUND(T218,5)&lt;&gt;ROUND(W218,5), IF(AND(IFERROR(ROUND(V218,8),0)=0, IFERROR(ROUND(Y218,8),0)=0), "Group 1: Flaky | Passed (no variation: CV = 0) AND Failed (no variation: CV = 0) | Different Means", IF(AND(IFERROR(ROUND(V218,8),0)&gt;0, IFERROR(ROUND(Y218,8),0)&gt;0), "Group 2: Flaky | Passed (with variation: CV &gt; 0) AND Failed (with variation: CV &gt; 0) | Different Means", IF(AND(IFERROR(ROUND(V218,8),0)=0, IFERROR(ROUND(Y218,8),0)&gt;0), "Group 3: Flaky | Passed (no variation: CV = 0) AND Failed (with variation: CV &gt; 0) | Different Means", "Group 4: Flaky | Passed (with variation: CV &gt; 0) AND Failed (no variation: CV = 0) | Different Means"))), IF(AND(IFERROR(ROUND(V218,8),0)=0, IFERROR(ROUND(Y218,8),0)=0), "Group 5: Flaky | Passed (no var CV = 0) AND Failed (no var CV = 0) | Equal Means", IF(AND(IFERROR(ROUND(V218,8),0)&gt;0, IFERROR(ROUND(Y218,8),0)&gt;0), "Group 6: Flaky | Passed (with var CV &gt; 0) AND Failed (with var CV &gt; 0) | Equal Means", IF(AND(IFERROR(ROUND(V218,8),0)=0, IFERROR(ROUND(Y218,8),0)&gt;0),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8" s="29" t="n">
        <v>6.727724</v>
      </c>
      <c r="AB218" s="29" t="n">
        <v>2.837873</v>
      </c>
      <c r="AC218" s="29" t="n">
        <f aca="false">IFERROR(AB218/AA218*100,"N/A")</f>
        <v>42.1817690499789</v>
      </c>
      <c r="AD218" s="29" t="n">
        <v>3.742094</v>
      </c>
      <c r="AE218" s="29" t="n">
        <v>0.313694</v>
      </c>
      <c r="AF218" s="29" t="n">
        <f aca="false">IFERROR(AE218/AD218*100,"N/A")</f>
        <v>8.38284660941174</v>
      </c>
      <c r="AG218" s="36" t="str">
        <f aca="false">IF(AND(Q218&gt;0, R218=0), IF(IFERROR(ROUND(AC218,8),0)=0, "Group 9: Only Passed | Without variation (no var CV = 0)", "Group 10: Only Passed | With variation (with var CV &gt; 0)"), IF(AND(Q218=0, R218&gt;0), IF(IFERROR(ROUND(AF218,8),0)=0, "Group 11: Only Failed | Without variation (no var CV = 0)", "Group 12: Only Failed | With variation (with var CV &gt; 0)"), IF(AND(Q218&gt;0, R218&gt;0), IF(ROUND(AA218,5)&lt;&gt;ROUND(AD218,5), IF(AND(IFERROR(ROUND(AC218,8),0)=0, IFERROR(ROUND(AF218,8),0)=0), "Group 1: Flaky | Passed (no variation: CV = 0) AND Failed (no variation: CV = 0) | Different Means", IF(AND(IFERROR(ROUND(AC218,8),0)&gt;0, IFERROR(ROUND(AF218,8),0)&gt;0), "Group 2: Flaky | Passed (with variation: CV &gt; 0) AND Failed (with variation: CV &gt; 0) | Different Means", IF(AND(IFERROR(ROUND(AC218,8),0)=0, IFERROR(ROUND(AF218,8),0)&gt;0), "Group 3: Flaky | Passed (no variation: CV = 0) AND Failed (with variation: CV &gt; 0) | Different Means", "Group 4: Flaky | Passed (with variation: CV &gt; 0) AND Failed (no variation: CV = 0) | Different Means"))), IF(AND(IFERROR(ROUND(AC218,8),0)=0, IFERROR(ROUND(AF218,8),0)=0), "Group 5: Flaky | Passed (no var CV = 0) AND Failed (no var CV = 0) | Equal Means", IF(AND(IFERROR(ROUND(AC218,8),0)&gt;0, IFERROR(ROUND(AF218,8),0)&gt;0), "Group 6: Flaky | Passed (with var CV &gt; 0) AND Failed (with var CV &gt; 0) | Equal Means", IF(AND(IFERROR(ROUND(AC218,8),0)=0, IFERROR(ROUND(AF218,8),0)&gt;0),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8" s="22" t="n">
        <v>0</v>
      </c>
      <c r="AI218" s="17" t="n">
        <v>100</v>
      </c>
      <c r="AJ218" s="31" t="str">
        <f aca="false">IF(AND(AH218&gt;0, AI218&gt;0), "Observed Flaky Test", "Non-observed Flaky Test")</f>
        <v>Non-observed Flaky Test</v>
      </c>
      <c r="AK218" s="90" t="n">
        <v>0</v>
      </c>
      <c r="AL218" s="90" t="n">
        <v>0</v>
      </c>
      <c r="AM218" s="33" t="str">
        <f aca="false">IFERROR(AL218/AK218*100,"N/A")</f>
        <v>N/A</v>
      </c>
      <c r="AN218" s="90" t="n">
        <v>623</v>
      </c>
      <c r="AO218" s="90" t="n">
        <v>0</v>
      </c>
      <c r="AP218" s="35" t="n">
        <f aca="false">IFERROR(AO218/AN218*100,"N/A")</f>
        <v>0</v>
      </c>
      <c r="AQ218" s="73" t="str">
        <f aca="false">IF(AND(AH218&gt;0, AI218&gt;0),
    IF(ROUND(N(AK218),5)&lt;&gt;ROUND(N(AN218),5),
        IF(AND(ROUND(N(AL218),8)=0, ROUND(N(AO218),8)=0), "Group 1: Flaky | Passed (no variation: SD = 0) AND Failed (no variation: SD = 0) | Different Means",
        IF(AND(ROUND(N(AL218),8)&gt;0, ROUND(N(AO218),8)&gt;0), "Group 2: Flaky | Passed (with variation: SD &gt; 0) AND Failed (with variation: SD &gt; 0) | Different Means",
        IF(AND(ROUND(N(AL218),8)=0, ROUND(N(AO218),8)&gt;0), "Group 3: Flaky | Passed (no variation: SD = 0) AND Failed (with variation: SD &gt; 0) | Different Means",
        "Group 4: Flaky | Passed (with variation: SD &gt; 0) AND Failed (no variation: SD = 0) | Different Means"))),
        IF(AND(ROUND(N(AL218),8)=0, ROUND(N(AO218),8)=0), "Group 5: Flaky | Passed (no var SD = 0) AND Failed (no var SD = 0) | Equal Means",
        IF(AND(ROUND(N(AL218),8)&gt;0, ROUND(N(AO218),8)&gt;0), "Group 6: Flaky | Passed (with var SD &gt; 0 ) AND Failed (with var SD &gt; 0) | Equal Means",
        IF(AND(ROUND(N(AL218),8)=0, ROUND(N(AO218),8)&gt;0), "Group 7: Flaky | Passed (no var SD = 0) AND Failed (with var SD &gt; 0) | Equal Means",
        "Group 8: Flaky | Passed (with var SD &gt; 0 ) AND Failed (no var SD = 0) | Equal Means")))
    ),
    IF(AH218&gt;0,
        IF(N(AL218)&gt;0, "Group 10: Only Passed | With variation (with var SD &gt; 0)", "Group 9: Only Passed | Without variation (no var SD = 0)"),
        IF(AI218&gt;0,
            IF(N(AO218)&gt;0,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18" s="42" t="str">
        <f aca="false">IF(OR(F218="Observed Flaky Test", I218="Observed Flaky Test", S218="Observed Flaky Test", AJ218="Observed Flaky Test"), "Observed Flaky Test", "Non-observed Flaky Test")</f>
        <v>Observed Flaky Test</v>
      </c>
    </row>
    <row r="219" customFormat="false" ht="15.75" hidden="false" customHeight="true" outlineLevel="0" collapsed="false">
      <c r="A219" s="81"/>
      <c r="B219" s="14" t="s">
        <v>508</v>
      </c>
      <c r="C219" s="14" t="s">
        <v>509</v>
      </c>
      <c r="D219" s="15" t="n">
        <v>3</v>
      </c>
      <c r="E219" s="15" t="n">
        <v>97</v>
      </c>
      <c r="F219" s="61" t="str">
        <f aca="false">IF(AND(D219&gt;0, E219&gt;0), "Observed Flaky Test", "Non-observed Flaky Test")</f>
        <v>Observed Flaky Test</v>
      </c>
      <c r="G219" s="22" t="n">
        <v>0</v>
      </c>
      <c r="H219" s="22" t="n">
        <v>100</v>
      </c>
      <c r="I219" s="16" t="str">
        <f aca="false">IF(AND(G219&gt;0, H219&gt;0), "Observed Flaky Test", "Non-observed Flaky Test")</f>
        <v>Non-observed Flaky Test</v>
      </c>
      <c r="J219" s="18" t="n">
        <v>0</v>
      </c>
      <c r="K219" s="18" t="n">
        <v>0</v>
      </c>
      <c r="L219" s="19" t="str">
        <f aca="false">IFERROR(K219/J219*100,"N/A")</f>
        <v>N/A</v>
      </c>
      <c r="M219" s="18" t="n">
        <v>37.14</v>
      </c>
      <c r="N219" s="18" t="n">
        <v>0</v>
      </c>
      <c r="O219" s="20" t="n">
        <f aca="false">IFERROR(N219/M219*100,"N/A")</f>
        <v>0</v>
      </c>
      <c r="P219" s="21" t="str">
        <f aca="false">IF(AND(G219&gt;0, H219=0), IF(ROUND(K219,8)=0, "Group 9: Only Passed | Without variation (SD Passed = 0)", "Group 10: Only Passed | With variation (SD Passed &gt; 0)"), IF(AND(G219=0, H219&gt;0), IF(ROUND(N219,8)=0, "Group 11: Only Failed | Without variation (SD Failed = 0)", "Group 12: Only Failed | With variation (SD Failed &gt; 0)"), IF(AND(G219&gt;0, H219&gt;0), IF(ROUND(J219,5)&lt;&gt;ROUND(M219,5), IF(AND(ROUND(K219,8)=0, ROUND(N219,8)=0), "Group 1: Flaky | Passed (no variation) AND Failed (no variation) | Different Means", IF(AND(ROUND(K219,8)&gt;0, ROUND(N219,8)&gt;0), "Group 2: Flaky | Passed (with variation) AND Failed (with variation) | Different Means", IF(AND(ROUND(K219,8)=0, ROUND(N219,8)&gt;0), "Group 3: Flaky | Passed (no variation) AND Failed (with variation) | Different Means", "Group 4: Flaky | Passed (with variation) AND Failed (no variation) | Different Means"))), IF(AND(ROUND(K219,8)=0, ROUND(N219,8)=0), "Group 5: Flaky | Passed (no variation) AND Failed (no variation) | Equal Means", IF(AND(ROUND(K219,8)&gt;0, ROUND(N219,8)&gt;0), "Group 6: Flaky | Passed (with variation) AND Failed (with variation) | Equal Means", IF(AND(ROUND(K219,8)=0, ROUND(N219,8)&gt;0),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19" s="17" t="n">
        <v>3</v>
      </c>
      <c r="R219" s="17" t="n">
        <v>97</v>
      </c>
      <c r="S219" s="43" t="str">
        <f aca="false">IF(AND(Q219&gt;0, R219&gt;0), "Observed Flaky Test", "Non-observed Flaky Test")</f>
        <v>Observed Flaky Test</v>
      </c>
      <c r="T219" s="58" t="n">
        <v>431314</v>
      </c>
      <c r="U219" s="24" t="n">
        <v>199.248588</v>
      </c>
      <c r="V219" s="25" t="n">
        <f aca="false">IFERROR(U219/T219*100,"N/A")</f>
        <v>0.0461957154184654</v>
      </c>
      <c r="W219" s="24" t="n">
        <v>557682.412371</v>
      </c>
      <c r="X219" s="24" t="n">
        <v>102.752813</v>
      </c>
      <c r="Y219" s="27" t="n">
        <f aca="false">IFERROR(X219/W219*100,"N/A")</f>
        <v>0.0184249692514318</v>
      </c>
      <c r="Z219" s="68" t="str">
        <f aca="false">IF(AND(Q219&gt;0, R219=0), IF(IFERROR(ROUND(V219,8),0)=0, "Group 9: Only Passed | Without variation (no var CV = 0)", "Group 10: Only Passed | With variation (with var CV &gt; 0)"), IF(AND(Q219=0, R219&gt;0), IF(IFERROR(ROUND(Y219,8),0)=0, "Group 11: Only Failed | Without variation (no var CV = 0)", "Group 12: Only Failed | With variation (with var CV &gt; 0)"), IF(AND(Q219&gt;0, R219&gt;0), IF(ROUND(T219,5)&lt;&gt;ROUND(W219,5), IF(AND(IFERROR(ROUND(V219,8),0)=0, IFERROR(ROUND(Y219,8),0)=0), "Group 1: Flaky | Passed (no variation: CV = 0) AND Failed (no variation: CV = 0) | Different Means", IF(AND(IFERROR(ROUND(V219,8),0)&gt;0, IFERROR(ROUND(Y219,8),0)&gt;0), "Group 2: Flaky | Passed (with variation: CV &gt; 0) AND Failed (with variation: CV &gt; 0) | Different Means", IF(AND(IFERROR(ROUND(V219,8),0)=0, IFERROR(ROUND(Y219,8),0)&gt;0), "Group 3: Flaky | Passed (no variation: CV = 0) AND Failed (with variation: CV &gt; 0) | Different Means", "Group 4: Flaky | Passed (with variation: CV &gt; 0) AND Failed (no variation: CV = 0) | Different Means"))), IF(AND(IFERROR(ROUND(V219,8),0)=0, IFERROR(ROUND(Y219,8),0)=0), "Group 5: Flaky | Passed (no var CV = 0) AND Failed (no var CV = 0) | Equal Means", IF(AND(IFERROR(ROUND(V219,8),0)&gt;0, IFERROR(ROUND(Y219,8),0)&gt;0), "Group 6: Flaky | Passed (with var CV &gt; 0) AND Failed (with var CV &gt; 0) | Equal Means", IF(AND(IFERROR(ROUND(V219,8),0)=0, IFERROR(ROUND(Y219,8),0)&gt;0),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19" s="29" t="n">
        <v>5.022509</v>
      </c>
      <c r="AB219" s="29" t="n">
        <v>0.320586</v>
      </c>
      <c r="AC219" s="29" t="n">
        <f aca="false">IFERROR(AB219/AA219*100,"N/A")</f>
        <v>6.38298507777686</v>
      </c>
      <c r="AD219" s="29" t="n">
        <v>3.788601</v>
      </c>
      <c r="AE219" s="29" t="n">
        <v>0.338043</v>
      </c>
      <c r="AF219" s="29" t="n">
        <f aca="false">IFERROR(AE219/AD219*100,"N/A")</f>
        <v>8.92263397491581</v>
      </c>
      <c r="AG219" s="36" t="str">
        <f aca="false">IF(AND(Q219&gt;0, R219=0), IF(IFERROR(ROUND(AC219,8),0)=0, "Group 9: Only Passed | Without variation (no var CV = 0)", "Group 10: Only Passed | With variation (with var CV &gt; 0)"), IF(AND(Q219=0, R219&gt;0), IF(IFERROR(ROUND(AF219,8),0)=0, "Group 11: Only Failed | Without variation (no var CV = 0)", "Group 12: Only Failed | With variation (with var CV &gt; 0)"), IF(AND(Q219&gt;0, R219&gt;0), IF(ROUND(AA219,5)&lt;&gt;ROUND(AD219,5), IF(AND(IFERROR(ROUND(AC219,8),0)=0, IFERROR(ROUND(AF219,8),0)=0), "Group 1: Flaky | Passed (no variation: CV = 0) AND Failed (no variation: CV = 0) | Different Means", IF(AND(IFERROR(ROUND(AC219,8),0)&gt;0, IFERROR(ROUND(AF219,8),0)&gt;0), "Group 2: Flaky | Passed (with variation: CV &gt; 0) AND Failed (with variation: CV &gt; 0) | Different Means", IF(AND(IFERROR(ROUND(AC219,8),0)=0, IFERROR(ROUND(AF219,8),0)&gt;0), "Group 3: Flaky | Passed (no variation: CV = 0) AND Failed (with variation: CV &gt; 0) | Different Means", "Group 4: Flaky | Passed (with variation: CV &gt; 0) AND Failed (no variation: CV = 0) | Different Means"))), IF(AND(IFERROR(ROUND(AC219,8),0)=0, IFERROR(ROUND(AF219,8),0)=0), "Group 5: Flaky | Passed (no var CV = 0) AND Failed (no var CV = 0) | Equal Means", IF(AND(IFERROR(ROUND(AC219,8),0)&gt;0, IFERROR(ROUND(AF219,8),0)&gt;0), "Group 6: Flaky | Passed (with var CV &gt; 0) AND Failed (with var CV &gt; 0) | Equal Means", IF(AND(IFERROR(ROUND(AC219,8),0)=0, IFERROR(ROUND(AF219,8),0)&gt;0),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19" s="22" t="n">
        <v>0</v>
      </c>
      <c r="AI219" s="17" t="n">
        <v>100</v>
      </c>
      <c r="AJ219" s="31" t="str">
        <f aca="false">IF(AND(AH219&gt;0, AI219&gt;0), "Observed Flaky Test", "Non-observed Flaky Test")</f>
        <v>Non-observed Flaky Test</v>
      </c>
      <c r="AK219" s="90" t="n">
        <v>0</v>
      </c>
      <c r="AL219" s="90" t="n">
        <v>0</v>
      </c>
      <c r="AM219" s="33" t="str">
        <f aca="false">IFERROR(AL219/AK219*100,"N/A")</f>
        <v>N/A</v>
      </c>
      <c r="AN219" s="90" t="n">
        <v>623</v>
      </c>
      <c r="AO219" s="90" t="n">
        <v>0</v>
      </c>
      <c r="AP219" s="35" t="n">
        <f aca="false">IFERROR(AO219/AN219*100,"N/A")</f>
        <v>0</v>
      </c>
      <c r="AQ219" s="73" t="str">
        <f aca="false">IF(AND(AH219&gt;0, AI219&gt;0),
    IF(ROUND(N(AK219),5)&lt;&gt;ROUND(N(AN219),5),
        IF(AND(ROUND(N(AL219),8)=0, ROUND(N(AO219),8)=0), "Group 1: Flaky | Passed (no variation: SD = 0) AND Failed (no variation: SD = 0) | Different Means",
        IF(AND(ROUND(N(AL219),8)&gt;0, ROUND(N(AO219),8)&gt;0), "Group 2: Flaky | Passed (with variation: SD &gt; 0) AND Failed (with variation: SD &gt; 0) | Different Means",
        IF(AND(ROUND(N(AL219),8)=0, ROUND(N(AO219),8)&gt;0), "Group 3: Flaky | Passed (no variation: SD = 0) AND Failed (with variation: SD &gt; 0) | Different Means",
        "Group 4: Flaky | Passed (with variation: SD &gt; 0) AND Failed (no variation: SD = 0) | Different Means"))),
        IF(AND(ROUND(N(AL219),8)=0, ROUND(N(AO219),8)=0), "Group 5: Flaky | Passed (no var SD = 0) AND Failed (no var SD = 0) | Equal Means",
        IF(AND(ROUND(N(AL219),8)&gt;0, ROUND(N(AO219),8)&gt;0), "Group 6: Flaky | Passed (with var SD &gt; 0 ) AND Failed (with var SD &gt; 0) | Equal Means",
        IF(AND(ROUND(N(AL219),8)=0, ROUND(N(AO219),8)&gt;0), "Group 7: Flaky | Passed (no var SD = 0) AND Failed (with var SD &gt; 0) | Equal Means",
        "Group 8: Flaky | Passed (with var SD &gt; 0 ) AND Failed (no var SD = 0) | Equal Means")))
    ),
    IF(AH219&gt;0,
        IF(N(AL219)&gt;0, "Group 10: Only Passed | With variation (with var SD &gt; 0)", "Group 9: Only Passed | Without variation (no var SD = 0)"),
        IF(AI219&gt;0,
            IF(N(AO219)&gt;0,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19" s="42" t="str">
        <f aca="false">IF(OR(F219="Observed Flaky Test", I219="Observed Flaky Test", S219="Observed Flaky Test", AJ219="Observed Flaky Test"), "Observed Flaky Test", "Non-observed Flaky Test")</f>
        <v>Observed Flaky Test</v>
      </c>
    </row>
    <row r="220" customFormat="false" ht="15.75" hidden="false" customHeight="true" outlineLevel="0" collapsed="false">
      <c r="A220" s="81"/>
      <c r="B220" s="14" t="s">
        <v>510</v>
      </c>
      <c r="C220" s="14" t="s">
        <v>511</v>
      </c>
      <c r="D220" s="15" t="n">
        <v>4</v>
      </c>
      <c r="E220" s="15" t="n">
        <v>96</v>
      </c>
      <c r="F220" s="61" t="str">
        <f aca="false">IF(AND(D220&gt;0, E220&gt;0), "Observed Flaky Test", "Non-observed Flaky Test")</f>
        <v>Observed Flaky Test</v>
      </c>
      <c r="G220" s="22" t="n">
        <v>0</v>
      </c>
      <c r="H220" s="22" t="n">
        <v>100</v>
      </c>
      <c r="I220" s="16" t="str">
        <f aca="false">IF(AND(G220&gt;0, H220&gt;0), "Observed Flaky Test", "Non-observed Flaky Test")</f>
        <v>Non-observed Flaky Test</v>
      </c>
      <c r="J220" s="18" t="n">
        <v>0</v>
      </c>
      <c r="K220" s="18" t="n">
        <v>0</v>
      </c>
      <c r="L220" s="19" t="str">
        <f aca="false">IFERROR(K220/J220*100,"N/A")</f>
        <v>N/A</v>
      </c>
      <c r="M220" s="18" t="n">
        <v>37.14</v>
      </c>
      <c r="N220" s="18" t="n">
        <v>0</v>
      </c>
      <c r="O220" s="20" t="n">
        <f aca="false">IFERROR(N220/M220*100,"N/A")</f>
        <v>0</v>
      </c>
      <c r="P220" s="21" t="str">
        <f aca="false">IF(AND(G220&gt;0, H220=0), IF(ROUND(K220,8)=0, "Group 9: Only Passed | Without variation (SD Passed = 0)", "Group 10: Only Passed | With variation (SD Passed &gt; 0)"), IF(AND(G220=0, H220&gt;0), IF(ROUND(N220,8)=0, "Group 11: Only Failed | Without variation (SD Failed = 0)", "Group 12: Only Failed | With variation (SD Failed &gt; 0)"), IF(AND(G220&gt;0, H220&gt;0), IF(ROUND(J220,5)&lt;&gt;ROUND(M220,5), IF(AND(ROUND(K220,8)=0, ROUND(N220,8)=0), "Group 1: Flaky | Passed (no variation) AND Failed (no variation) | Different Means", IF(AND(ROUND(K220,8)&gt;0, ROUND(N220,8)&gt;0), "Group 2: Flaky | Passed (with variation) AND Failed (with variation) | Different Means", IF(AND(ROUND(K220,8)=0, ROUND(N220,8)&gt;0), "Group 3: Flaky | Passed (no variation) AND Failed (with variation) | Different Means", "Group 4: Flaky | Passed (with variation) AND Failed (no variation) | Different Means"))), IF(AND(ROUND(K220,8)=0, ROUND(N220,8)=0), "Group 5: Flaky | Passed (no variation) AND Failed (no variation) | Equal Means", IF(AND(ROUND(K220,8)&gt;0, ROUND(N220,8)&gt;0), "Group 6: Flaky | Passed (with variation) AND Failed (with variation) | Equal Means", IF(AND(ROUND(K220,8)=0, ROUND(N220,8)&gt;0),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20" s="17" t="n">
        <v>0</v>
      </c>
      <c r="R220" s="17" t="n">
        <v>100</v>
      </c>
      <c r="S220" s="23" t="str">
        <f aca="false">IF(AND(Q220&gt;0, R220&gt;0), "Observed Flaky Test", "Non-observed Flaky Test")</f>
        <v>Non-observed Flaky Test</v>
      </c>
      <c r="T220" s="22" t="n">
        <v>0</v>
      </c>
      <c r="U220" s="22" t="n">
        <v>0</v>
      </c>
      <c r="V220" s="25" t="str">
        <f aca="false">IFERROR(U220/T220*100,"N/A")</f>
        <v>N/A</v>
      </c>
      <c r="W220" s="22" t="n">
        <v>557736.42</v>
      </c>
      <c r="X220" s="24" t="n">
        <v>135.252938</v>
      </c>
      <c r="Y220" s="27" t="n">
        <f aca="false">IFERROR(X220/W220*100,"N/A")</f>
        <v>0.0242503328005727</v>
      </c>
      <c r="Z220" s="28" t="str">
        <f aca="false">IF(AND(Q220&gt;0, R220=0), IF(IFERROR(ROUND(V220,8),0)=0, "Group 9: Only Passed | Without variation (no var CV = 0)", "Group 10: Only Passed | With variation (with var CV &gt; 0)"), IF(AND(Q220=0, R220&gt;0), IF(IFERROR(ROUND(Y220,8),0)=0, "Group 11: Only Failed | Without variation (no var CV = 0)", "Group 12: Only Failed | With variation (with var CV &gt; 0)"), IF(AND(Q220&gt;0, R220&gt;0), IF(ROUND(T220,5)&lt;&gt;ROUND(W220,5), IF(AND(IFERROR(ROUND(V220,8),0)=0, IFERROR(ROUND(Y220,8),0)=0), "Group 1: Flaky | Passed (no variation: CV = 0) AND Failed (no variation: CV = 0) | Different Means", IF(AND(IFERROR(ROUND(V220,8),0)&gt;0, IFERROR(ROUND(Y220,8),0)&gt;0), "Group 2: Flaky | Passed (with variation: CV &gt; 0) AND Failed (with variation: CV &gt; 0) | Different Means", IF(AND(IFERROR(ROUND(V220,8),0)=0, IFERROR(ROUND(Y220,8),0)&gt;0), "Group 3: Flaky | Passed (no variation: CV = 0) AND Failed (with variation: CV &gt; 0) | Different Means", "Group 4: Flaky | Passed (with variation: CV &gt; 0) AND Failed (no variation: CV = 0) | Different Means"))), IF(AND(IFERROR(ROUND(V220,8),0)=0, IFERROR(ROUND(Y220,8),0)=0), "Group 5: Flaky | Passed (no var CV = 0) AND Failed (no var CV = 0) | Equal Means", IF(AND(IFERROR(ROUND(V220,8),0)&gt;0, IFERROR(ROUND(Y220,8),0)&gt;0), "Group 6: Flaky | Passed (with var CV &gt; 0) AND Failed (with var CV &gt; 0) | Equal Means", IF(AND(IFERROR(ROUND(V220,8),0)=0, IFERROR(ROUND(Y220,8),0)&gt;0),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220" s="29" t="n">
        <v>0</v>
      </c>
      <c r="AB220" s="29" t="n">
        <v>0</v>
      </c>
      <c r="AC220" s="29" t="str">
        <f aca="false">IFERROR(AB220/AA220*100,"N/A")</f>
        <v>N/A</v>
      </c>
      <c r="AD220" s="29" t="n">
        <v>3.832416</v>
      </c>
      <c r="AE220" s="29" t="n">
        <v>0.324591</v>
      </c>
      <c r="AF220" s="29" t="n">
        <f aca="false">IFERROR(AE220/AD220*100,"N/A")</f>
        <v>8.46961812078856</v>
      </c>
      <c r="AG220" s="30" t="str">
        <f aca="false">IF(AND(Q220&gt;0, R220=0), IF(IFERROR(ROUND(AC220,8),0)=0, "Group 9: Only Passed | Without variation (no var CV = 0)", "Group 10: Only Passed | With variation (with var CV &gt; 0)"), IF(AND(Q220=0, R220&gt;0), IF(IFERROR(ROUND(AF220,8),0)=0, "Group 11: Only Failed | Without variation (no var CV = 0)", "Group 12: Only Failed | With variation (with var CV &gt; 0)"), IF(AND(Q220&gt;0, R220&gt;0), IF(ROUND(AA220,5)&lt;&gt;ROUND(AD220,5), IF(AND(IFERROR(ROUND(AC220,8),0)=0, IFERROR(ROUND(AF220,8),0)=0), "Group 1: Flaky | Passed (no variation: CV = 0) AND Failed (no variation: CV = 0) | Different Means", IF(AND(IFERROR(ROUND(AC220,8),0)&gt;0, IFERROR(ROUND(AF220,8),0)&gt;0), "Group 2: Flaky | Passed (with variation: CV &gt; 0) AND Failed (with variation: CV &gt; 0) | Different Means", IF(AND(IFERROR(ROUND(AC220,8),0)=0, IFERROR(ROUND(AF220,8),0)&gt;0), "Group 3: Flaky | Passed (no variation: CV = 0) AND Failed (with variation: CV &gt; 0) | Different Means", "Group 4: Flaky | Passed (with variation: CV &gt; 0) AND Failed (no variation: CV = 0) | Different Means"))), IF(AND(IFERROR(ROUND(AC220,8),0)=0, IFERROR(ROUND(AF220,8),0)=0), "Group 5: Flaky | Passed (no var CV = 0) AND Failed (no var CV = 0) | Equal Means", IF(AND(IFERROR(ROUND(AC220,8),0)&gt;0, IFERROR(ROUND(AF220,8),0)&gt;0), "Group 6: Flaky | Passed (with var CV &gt; 0) AND Failed (with var CV &gt; 0) | Equal Means", IF(AND(IFERROR(ROUND(AC220,8),0)=0, IFERROR(ROUND(AF220,8),0)&gt;0),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220" s="22" t="n">
        <v>2</v>
      </c>
      <c r="AI220" s="17" t="n">
        <v>98</v>
      </c>
      <c r="AJ220" s="39" t="str">
        <f aca="false">IF(AND(AH220&gt;0, AI220&gt;0), "Observed Flaky Test", "Non-observed Flaky Test")</f>
        <v>Observed Flaky Test</v>
      </c>
      <c r="AK220" s="90" t="n">
        <v>6583</v>
      </c>
      <c r="AL220" s="90" t="n">
        <v>0</v>
      </c>
      <c r="AM220" s="33" t="n">
        <f aca="false">IFERROR(AL220/AK220*100,"N/A")</f>
        <v>0</v>
      </c>
      <c r="AN220" s="90" t="n">
        <v>623</v>
      </c>
      <c r="AO220" s="90" t="n">
        <v>0</v>
      </c>
      <c r="AP220" s="35" t="n">
        <f aca="false">IFERROR(AO220/AN220*100,"N/A")</f>
        <v>0</v>
      </c>
      <c r="AQ220" s="85" t="str">
        <f aca="false">IF(AND(AH220&gt;0, AI220&gt;0),
    IF(ROUND(N(AK220),5)&lt;&gt;ROUND(N(AN220),5),
        IF(AND(ROUND(N(AL220),8)=0, ROUND(N(AO220),8)=0), "Group 1: Flaky | Passed (no variation: SD = 0) AND Failed (no variation: SD = 0) | Different Means",
        IF(AND(ROUND(N(AL220),8)&gt;0, ROUND(N(AO220),8)&gt;0), "Group 2: Flaky | Passed (with variation: SD &gt; 0) AND Failed (with variation: SD &gt; 0) | Different Means",
        IF(AND(ROUND(N(AL220),8)=0, ROUND(N(AO220),8)&gt;0), "Group 3: Flaky | Passed (no variation: SD = 0) AND Failed (with variation: SD &gt; 0) | Different Means",
        "Group 4: Flaky | Passed (with variation: SD &gt; 0) AND Failed (no variation: SD = 0) | Different Means"))),
        IF(AND(ROUND(N(AL220),8)=0, ROUND(N(AO220),8)=0), "Group 5: Flaky | Passed (no var SD = 0) AND Failed (no var SD = 0) | Equal Means",
        IF(AND(ROUND(N(AL220),8)&gt;0, ROUND(N(AO220),8)&gt;0), "Group 6: Flaky | Passed (with var SD &gt; 0 ) AND Failed (with var SD &gt; 0) | Equal Means",
        IF(AND(ROUND(N(AL220),8)=0, ROUND(N(AO220),8)&gt;0), "Group 7: Flaky | Passed (no var SD = 0) AND Failed (with var SD &gt; 0) | Equal Means",
        "Group 8: Flaky | Passed (with var SD &gt; 0 ) AND Failed (no var SD = 0) | Equal Means")))
    ),
    IF(AH220&gt;0,
        IF(N(AL220)&gt;0, "Group 10: Only Passed | With variation (with var SD &gt; 0)", "Group 9: Only Passed | Without variation (no var SD = 0)"),
        IF(AI220&gt;0,
            IF(N(AO220)&gt;0,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20" s="42" t="str">
        <f aca="false">IF(OR(F220="Observed Flaky Test", I220="Observed Flaky Test", S220="Observed Flaky Test", AJ220="Observed Flaky Test"), "Observed Flaky Test", "Non-observed Flaky Test")</f>
        <v>Observed Flaky Test</v>
      </c>
    </row>
    <row r="221" customFormat="false" ht="15.75" hidden="false" customHeight="true" outlineLevel="0" collapsed="false">
      <c r="A221" s="81"/>
      <c r="B221" s="14" t="s">
        <v>512</v>
      </c>
      <c r="C221" s="14" t="s">
        <v>513</v>
      </c>
      <c r="D221" s="15" t="n">
        <v>3</v>
      </c>
      <c r="E221" s="15" t="n">
        <v>97</v>
      </c>
      <c r="F221" s="61" t="str">
        <f aca="false">IF(AND(D221&gt;0, E221&gt;0), "Observed Flaky Test", "Non-observed Flaky Test")</f>
        <v>Observed Flaky Test</v>
      </c>
      <c r="G221" s="22" t="n">
        <v>1</v>
      </c>
      <c r="H221" s="22" t="n">
        <v>99</v>
      </c>
      <c r="I221" s="61" t="str">
        <f aca="false">IF(AND(G221&gt;0, H221&gt;0), "Observed Flaky Test", "Non-observed Flaky Test")</f>
        <v>Observed Flaky Test</v>
      </c>
      <c r="J221" s="18" t="n">
        <v>58.93</v>
      </c>
      <c r="K221" s="18" t="n">
        <v>0</v>
      </c>
      <c r="L221" s="19" t="n">
        <f aca="false">IFERROR(K221/J221*100,"N/A")</f>
        <v>0</v>
      </c>
      <c r="M221" s="18" t="n">
        <v>37.14</v>
      </c>
      <c r="N221" s="18" t="n">
        <v>0</v>
      </c>
      <c r="O221" s="20" t="n">
        <f aca="false">IFERROR(N221/M221*100,"N/A")</f>
        <v>0</v>
      </c>
      <c r="P221" s="78" t="str">
        <f aca="false">IF(AND(G221&gt;0, H221=0), IF(ROUND(K221,8)=0, "Group 9: Only Passed | Without variation (SD Passed = 0)", "Group 10: Only Passed | With variation (SD Passed &gt; 0)"), IF(AND(G221=0, H221&gt;0), IF(ROUND(N221,8)=0, "Group 11: Only Failed | Without variation (SD Failed = 0)", "Group 12: Only Failed | With variation (SD Failed &gt; 0)"), IF(AND(G221&gt;0, H221&gt;0), IF(ROUND(J221,5)&lt;&gt;ROUND(M221,5), IF(AND(ROUND(K221,8)=0, ROUND(N221,8)=0), "Group 1: Flaky | Passed (no variation) AND Failed (no variation) | Different Means", IF(AND(ROUND(K221,8)&gt;0, ROUND(N221,8)&gt;0), "Group 2: Flaky | Passed (with variation) AND Failed (with variation) | Different Means", IF(AND(ROUND(K221,8)=0, ROUND(N221,8)&gt;0), "Group 3: Flaky | Passed (no variation) AND Failed (with variation) | Different Means", "Group 4: Flaky | Passed (with variation) AND Failed (no variation) | Different Means"))), IF(AND(ROUND(K221,8)=0, ROUND(N221,8)=0), "Group 5: Flaky | Passed (no variation) AND Failed (no variation) | Equal Means", IF(AND(ROUND(K221,8)&gt;0, ROUND(N221,8)&gt;0), "Group 6: Flaky | Passed (with variation) AND Failed (with variation) | Equal Means", IF(AND(ROUND(K221,8)=0, ROUND(N221,8)&gt;0),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21" s="17" t="n">
        <v>2</v>
      </c>
      <c r="R221" s="17" t="n">
        <v>98</v>
      </c>
      <c r="S221" s="43" t="str">
        <f aca="false">IF(AND(Q221&gt;0, R221&gt;0), "Observed Flaky Test", "Non-observed Flaky Test")</f>
        <v>Observed Flaky Test</v>
      </c>
      <c r="T221" s="55" t="n">
        <v>862776</v>
      </c>
      <c r="U221" s="55" t="n">
        <v>431388</v>
      </c>
      <c r="V221" s="25" t="n">
        <f aca="false">IFERROR(U221/T221*100,"N/A")</f>
        <v>50</v>
      </c>
      <c r="W221" s="24" t="n">
        <v>557731.244898</v>
      </c>
      <c r="X221" s="24" t="n">
        <v>127.780503</v>
      </c>
      <c r="Y221" s="27" t="n">
        <f aca="false">IFERROR(X221/W221*100,"N/A")</f>
        <v>0.0229107664612494</v>
      </c>
      <c r="Z221" s="68" t="str">
        <f aca="false">IF(AND(Q221&gt;0, R221=0), IF(IFERROR(ROUND(V221,8),0)=0, "Group 9: Only Passed | Without variation (no var CV = 0)", "Group 10: Only Passed | With variation (with var CV &gt; 0)"), IF(AND(Q221=0, R221&gt;0), IF(IFERROR(ROUND(Y221,8),0)=0, "Group 11: Only Failed | Without variation (no var CV = 0)", "Group 12: Only Failed | With variation (with var CV &gt; 0)"), IF(AND(Q221&gt;0, R221&gt;0), IF(ROUND(T221,5)&lt;&gt;ROUND(W221,5), IF(AND(IFERROR(ROUND(V221,8),0)=0, IFERROR(ROUND(Y221,8),0)=0), "Group 1: Flaky | Passed (no variation: CV = 0) AND Failed (no variation: CV = 0) | Different Means", IF(AND(IFERROR(ROUND(V221,8),0)&gt;0, IFERROR(ROUND(Y221,8),0)&gt;0), "Group 2: Flaky | Passed (with variation: CV &gt; 0) AND Failed (with variation: CV &gt; 0) | Different Means", IF(AND(IFERROR(ROUND(V221,8),0)=0, IFERROR(ROUND(Y221,8),0)&gt;0), "Group 3: Flaky | Passed (no variation: CV = 0) AND Failed (with variation: CV &gt; 0) | Different Means", "Group 4: Flaky | Passed (with variation: CV &gt; 0) AND Failed (no variation: CV = 0) | Different Means"))), IF(AND(IFERROR(ROUND(V221,8),0)=0, IFERROR(ROUND(Y221,8),0)=0), "Group 5: Flaky | Passed (no var CV = 0) AND Failed (no var CV = 0) | Equal Means", IF(AND(IFERROR(ROUND(V221,8),0)&gt;0, IFERROR(ROUND(Y221,8),0)&gt;0), "Group 6: Flaky | Passed (with var CV &gt; 0) AND Failed (with var CV &gt; 0) | Equal Means", IF(AND(IFERROR(ROUND(V221,8),0)=0, IFERROR(ROUND(Y221,8),0)&gt;0),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21" s="29" t="n">
        <v>4.787578</v>
      </c>
      <c r="AB221" s="29" t="n">
        <v>0.279169</v>
      </c>
      <c r="AC221" s="29" t="n">
        <f aca="false">IFERROR(AB221/AA221*100,"N/A")</f>
        <v>5.83111126335696</v>
      </c>
      <c r="AD221" s="29" t="n">
        <v>3.768886</v>
      </c>
      <c r="AE221" s="29" t="n">
        <v>0.343324</v>
      </c>
      <c r="AF221" s="29" t="n">
        <f aca="false">IFERROR(AE221/AD221*100,"N/A")</f>
        <v>9.1094291522747</v>
      </c>
      <c r="AG221" s="36" t="str">
        <f aca="false">IF(AND(Q221&gt;0, R221=0), IF(IFERROR(ROUND(AC221,8),0)=0, "Group 9: Only Passed | Without variation (no var CV = 0)", "Group 10: Only Passed | With variation (with var CV &gt; 0)"), IF(AND(Q221=0, R221&gt;0), IF(IFERROR(ROUND(AF221,8),0)=0, "Group 11: Only Failed | Without variation (no var CV = 0)", "Group 12: Only Failed | With variation (with var CV &gt; 0)"), IF(AND(Q221&gt;0, R221&gt;0), IF(ROUND(AA221,5)&lt;&gt;ROUND(AD221,5), IF(AND(IFERROR(ROUND(AC221,8),0)=0, IFERROR(ROUND(AF221,8),0)=0), "Group 1: Flaky | Passed (no variation: CV = 0) AND Failed (no variation: CV = 0) | Different Means", IF(AND(IFERROR(ROUND(AC221,8),0)&gt;0, IFERROR(ROUND(AF221,8),0)&gt;0), "Group 2: Flaky | Passed (with variation: CV &gt; 0) AND Failed (with variation: CV &gt; 0) | Different Means", IF(AND(IFERROR(ROUND(AC221,8),0)=0, IFERROR(ROUND(AF221,8),0)&gt;0), "Group 3: Flaky | Passed (no variation: CV = 0) AND Failed (with variation: CV &gt; 0) | Different Means", "Group 4: Flaky | Passed (with variation: CV &gt; 0) AND Failed (no variation: CV = 0) | Different Means"))), IF(AND(IFERROR(ROUND(AC221,8),0)=0, IFERROR(ROUND(AF221,8),0)=0), "Group 5: Flaky | Passed (no var CV = 0) AND Failed (no var CV = 0) | Equal Means", IF(AND(IFERROR(ROUND(AC221,8),0)&gt;0, IFERROR(ROUND(AF221,8),0)&gt;0), "Group 6: Flaky | Passed (with var CV &gt; 0) AND Failed (with var CV &gt; 0) | Equal Means", IF(AND(IFERROR(ROUND(AC221,8),0)=0, IFERROR(ROUND(AF221,8),0)&gt;0),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21" s="22" t="n">
        <v>0</v>
      </c>
      <c r="AI221" s="17" t="n">
        <v>100</v>
      </c>
      <c r="AJ221" s="31" t="str">
        <f aca="false">IF(AND(AH221&gt;0, AI221&gt;0), "Observed Flaky Test", "Non-observed Flaky Test")</f>
        <v>Non-observed Flaky Test</v>
      </c>
      <c r="AK221" s="90" t="n">
        <v>0</v>
      </c>
      <c r="AL221" s="90" t="n">
        <v>0</v>
      </c>
      <c r="AM221" s="33" t="str">
        <f aca="false">IFERROR(AL221/AK221*100,"N/A")</f>
        <v>N/A</v>
      </c>
      <c r="AN221" s="90" t="n">
        <v>623</v>
      </c>
      <c r="AO221" s="90" t="n">
        <v>0</v>
      </c>
      <c r="AP221" s="35" t="n">
        <f aca="false">IFERROR(AO221/AN221*100,"N/A")</f>
        <v>0</v>
      </c>
      <c r="AQ221" s="73" t="str">
        <f aca="false">IF(AND(AH221&gt;0, AI221&gt;0),
    IF(ROUND(N(AK221),5)&lt;&gt;ROUND(N(AN221),5),
        IF(AND(ROUND(N(AL221),8)=0, ROUND(N(AO221),8)=0), "Group 1: Flaky | Passed (no variation: SD = 0) AND Failed (no variation: SD = 0) | Different Means",
        IF(AND(ROUND(N(AL221),8)&gt;0, ROUND(N(AO221),8)&gt;0), "Group 2: Flaky | Passed (with variation: SD &gt; 0) AND Failed (with variation: SD &gt; 0) | Different Means",
        IF(AND(ROUND(N(AL221),8)=0, ROUND(N(AO221),8)&gt;0), "Group 3: Flaky | Passed (no variation: SD = 0) AND Failed (with variation: SD &gt; 0) | Different Means",
        "Group 4: Flaky | Passed (with variation: SD &gt; 0) AND Failed (no variation: SD = 0) | Different Means"))),
        IF(AND(ROUND(N(AL221),8)=0, ROUND(N(AO221),8)=0), "Group 5: Flaky | Passed (no var SD = 0) AND Failed (no var SD = 0) | Equal Means",
        IF(AND(ROUND(N(AL221),8)&gt;0, ROUND(N(AO221),8)&gt;0), "Group 6: Flaky | Passed (with var SD &gt; 0 ) AND Failed (with var SD &gt; 0) | Equal Means",
        IF(AND(ROUND(N(AL221),8)=0, ROUND(N(AO221),8)&gt;0), "Group 7: Flaky | Passed (no var SD = 0) AND Failed (with var SD &gt; 0) | Equal Means",
        "Group 8: Flaky | Passed (with var SD &gt; 0 ) AND Failed (no var SD = 0) | Equal Means")))
    ),
    IF(AH221&gt;0,
        IF(N(AL221)&gt;0, "Group 10: Only Passed | With variation (with var SD &gt; 0)", "Group 9: Only Passed | Without variation (no var SD = 0)"),
        IF(AI221&gt;0,
            IF(N(AO221)&gt;0,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21" s="42" t="str">
        <f aca="false">IF(OR(F221="Observed Flaky Test", I221="Observed Flaky Test", S221="Observed Flaky Test", AJ221="Observed Flaky Test"), "Observed Flaky Test", "Non-observed Flaky Test")</f>
        <v>Observed Flaky Test</v>
      </c>
    </row>
    <row r="222" customFormat="false" ht="15.75" hidden="false" customHeight="true" outlineLevel="0" collapsed="false">
      <c r="A222" s="81"/>
      <c r="B222" s="14" t="s">
        <v>514</v>
      </c>
      <c r="C222" s="14" t="s">
        <v>515</v>
      </c>
      <c r="D222" s="15" t="n">
        <v>4</v>
      </c>
      <c r="E222" s="15" t="n">
        <v>96</v>
      </c>
      <c r="F222" s="61" t="str">
        <f aca="false">IF(AND(D222&gt;0, E222&gt;0), "Observed Flaky Test", "Non-observed Flaky Test")</f>
        <v>Observed Flaky Test</v>
      </c>
      <c r="G222" s="22" t="n">
        <v>1</v>
      </c>
      <c r="H222" s="22" t="n">
        <v>99</v>
      </c>
      <c r="I222" s="61" t="str">
        <f aca="false">IF(AND(G222&gt;0, H222&gt;0), "Observed Flaky Test", "Non-observed Flaky Test")</f>
        <v>Observed Flaky Test</v>
      </c>
      <c r="J222" s="18" t="n">
        <v>58.93</v>
      </c>
      <c r="K222" s="18" t="n">
        <v>0</v>
      </c>
      <c r="L222" s="19" t="n">
        <f aca="false">IFERROR(K222/J222*100,"N/A")</f>
        <v>0</v>
      </c>
      <c r="M222" s="18" t="n">
        <v>37.14</v>
      </c>
      <c r="N222" s="18" t="n">
        <v>0</v>
      </c>
      <c r="O222" s="20" t="n">
        <f aca="false">IFERROR(N222/M222*100,"N/A")</f>
        <v>0</v>
      </c>
      <c r="P222" s="78" t="str">
        <f aca="false">IF(AND(G222&gt;0, H222=0), IF(ROUND(K222,8)=0, "Group 9: Only Passed | Without variation (SD Passed = 0)", "Group 10: Only Passed | With variation (SD Passed &gt; 0)"), IF(AND(G222=0, H222&gt;0), IF(ROUND(N222,8)=0, "Group 11: Only Failed | Without variation (SD Failed = 0)", "Group 12: Only Failed | With variation (SD Failed &gt; 0)"), IF(AND(G222&gt;0, H222&gt;0), IF(ROUND(J222,5)&lt;&gt;ROUND(M222,5), IF(AND(ROUND(K222,8)=0, ROUND(N222,8)=0), "Group 1: Flaky | Passed (no variation) AND Failed (no variation) | Different Means", IF(AND(ROUND(K222,8)&gt;0, ROUND(N222,8)&gt;0), "Group 2: Flaky | Passed (with variation) AND Failed (with variation) | Different Means", IF(AND(ROUND(K222,8)=0, ROUND(N222,8)&gt;0), "Group 3: Flaky | Passed (no variation) AND Failed (with variation) | Different Means", "Group 4: Flaky | Passed (with variation) AND Failed (no variation) | Different Means"))), IF(AND(ROUND(K222,8)=0, ROUND(N222,8)=0), "Group 5: Flaky | Passed (no variation) AND Failed (no variation) | Equal Means", IF(AND(ROUND(K222,8)&gt;0, ROUND(N222,8)&gt;0), "Group 6: Flaky | Passed (with variation) AND Failed (with variation) | Equal Means", IF(AND(ROUND(K222,8)=0, ROUND(N222,8)&gt;0),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22" s="17" t="n">
        <v>2</v>
      </c>
      <c r="R222" s="17" t="n">
        <v>98</v>
      </c>
      <c r="S222" s="43" t="str">
        <f aca="false">IF(AND(Q222&gt;0, R222&gt;0), "Observed Flaky Test", "Non-observed Flaky Test")</f>
        <v>Observed Flaky Test</v>
      </c>
      <c r="T222" s="55" t="n">
        <v>431389</v>
      </c>
      <c r="U222" s="24" t="n">
        <v>267.286363</v>
      </c>
      <c r="V222" s="25" t="n">
        <f aca="false">IFERROR(U222/T222*100,"N/A")</f>
        <v>0.0619594757863552</v>
      </c>
      <c r="W222" s="24" t="n">
        <v>557681.979592</v>
      </c>
      <c r="X222" s="24" t="n">
        <v>113.766534</v>
      </c>
      <c r="Y222" s="27" t="n">
        <f aca="false">IFERROR(X222/W222*100,"N/A")</f>
        <v>0.020399894234207</v>
      </c>
      <c r="Z222" s="68" t="str">
        <f aca="false">IF(AND(Q222&gt;0, R222=0), IF(IFERROR(ROUND(V222,8),0)=0, "Group 9: Only Passed | Without variation (no var CV = 0)", "Group 10: Only Passed | With variation (with var CV &gt; 0)"), IF(AND(Q222=0, R222&gt;0), IF(IFERROR(ROUND(Y222,8),0)=0, "Group 11: Only Failed | Without variation (no var CV = 0)", "Group 12: Only Failed | With variation (with var CV &gt; 0)"), IF(AND(Q222&gt;0, R222&gt;0), IF(ROUND(T222,5)&lt;&gt;ROUND(W222,5), IF(AND(IFERROR(ROUND(V222,8),0)=0, IFERROR(ROUND(Y222,8),0)=0), "Group 1: Flaky | Passed (no variation: CV = 0) AND Failed (no variation: CV = 0) | Different Means", IF(AND(IFERROR(ROUND(V222,8),0)&gt;0, IFERROR(ROUND(Y222,8),0)&gt;0), "Group 2: Flaky | Passed (with variation: CV &gt; 0) AND Failed (with variation: CV &gt; 0) | Different Means", IF(AND(IFERROR(ROUND(V222,8),0)=0, IFERROR(ROUND(Y222,8),0)&gt;0), "Group 3: Flaky | Passed (no variation: CV = 0) AND Failed (with variation: CV &gt; 0) | Different Means", "Group 4: Flaky | Passed (with variation: CV &gt; 0) AND Failed (no variation: CV = 0) | Different Means"))), IF(AND(IFERROR(ROUND(V222,8),0)=0, IFERROR(ROUND(Y222,8),0)=0), "Group 5: Flaky | Passed (no var CV = 0) AND Failed (no var CV = 0) | Equal Means", IF(AND(IFERROR(ROUND(V222,8),0)&gt;0, IFERROR(ROUND(Y222,8),0)&gt;0), "Group 6: Flaky | Passed (with var CV &gt; 0) AND Failed (with var CV &gt; 0) | Equal Means", IF(AND(IFERROR(ROUND(V222,8),0)=0, IFERROR(ROUND(Y222,8),0)&gt;0),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22" s="29" t="n">
        <v>5.087976</v>
      </c>
      <c r="AB222" s="29" t="n">
        <v>0.193001</v>
      </c>
      <c r="AC222" s="29" t="n">
        <f aca="false">IFERROR(AB222/AA222*100,"N/A")</f>
        <v>3.79327654061261</v>
      </c>
      <c r="AD222" s="29" t="n">
        <v>3.800945</v>
      </c>
      <c r="AE222" s="29" t="n">
        <v>0.399987</v>
      </c>
      <c r="AF222" s="29" t="n">
        <f aca="false">IFERROR(AE222/AD222*100,"N/A")</f>
        <v>10.5233566915596</v>
      </c>
      <c r="AG222" s="36" t="str">
        <f aca="false">IF(AND(Q222&gt;0, R222=0), IF(IFERROR(ROUND(AC222,8),0)=0, "Group 9: Only Passed | Without variation (no var CV = 0)", "Group 10: Only Passed | With variation (with var CV &gt; 0)"), IF(AND(Q222=0, R222&gt;0), IF(IFERROR(ROUND(AF222,8),0)=0, "Group 11: Only Failed | Without variation (no var CV = 0)", "Group 12: Only Failed | With variation (with var CV &gt; 0)"), IF(AND(Q222&gt;0, R222&gt;0), IF(ROUND(AA222,5)&lt;&gt;ROUND(AD222,5), IF(AND(IFERROR(ROUND(AC222,8),0)=0, IFERROR(ROUND(AF222,8),0)=0), "Group 1: Flaky | Passed (no variation: CV = 0) AND Failed (no variation: CV = 0) | Different Means", IF(AND(IFERROR(ROUND(AC222,8),0)&gt;0, IFERROR(ROUND(AF222,8),0)&gt;0), "Group 2: Flaky | Passed (with variation: CV &gt; 0) AND Failed (with variation: CV &gt; 0) | Different Means", IF(AND(IFERROR(ROUND(AC222,8),0)=0, IFERROR(ROUND(AF222,8),0)&gt;0), "Group 3: Flaky | Passed (no variation: CV = 0) AND Failed (with variation: CV &gt; 0) | Different Means", "Group 4: Flaky | Passed (with variation: CV &gt; 0) AND Failed (no variation: CV = 0) | Different Means"))), IF(AND(IFERROR(ROUND(AC222,8),0)=0, IFERROR(ROUND(AF222,8),0)=0), "Group 5: Flaky | Passed (no var CV = 0) AND Failed (no var CV = 0) | Equal Means", IF(AND(IFERROR(ROUND(AC222,8),0)&gt;0, IFERROR(ROUND(AF222,8),0)&gt;0), "Group 6: Flaky | Passed (with var CV &gt; 0) AND Failed (with var CV &gt; 0) | Equal Means", IF(AND(IFERROR(ROUND(AC222,8),0)=0, IFERROR(ROUND(AF222,8),0)&gt;0),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22" s="22" t="n">
        <v>1</v>
      </c>
      <c r="AI222" s="17" t="n">
        <v>99</v>
      </c>
      <c r="AJ222" s="39" t="str">
        <f aca="false">IF(AND(AH222&gt;0, AI222&gt;0), "Observed Flaky Test", "Non-observed Flaky Test")</f>
        <v>Observed Flaky Test</v>
      </c>
      <c r="AK222" s="90" t="n">
        <v>6583</v>
      </c>
      <c r="AL222" s="90" t="n">
        <v>0</v>
      </c>
      <c r="AM222" s="33" t="n">
        <f aca="false">IFERROR(AL222/AK222*100,"N/A")</f>
        <v>0</v>
      </c>
      <c r="AN222" s="90" t="n">
        <v>623</v>
      </c>
      <c r="AO222" s="90" t="n">
        <v>0</v>
      </c>
      <c r="AP222" s="35" t="n">
        <f aca="false">IFERROR(AO222/AN222*100,"N/A")</f>
        <v>0</v>
      </c>
      <c r="AQ222" s="85" t="str">
        <f aca="false">IF(AND(AH222&gt;0, AI222&gt;0),
    IF(ROUND(N(AK222),5)&lt;&gt;ROUND(N(AN222),5),
        IF(AND(ROUND(N(AL222),8)=0, ROUND(N(AO222),8)=0), "Group 1: Flaky | Passed (no variation: SD = 0) AND Failed (no variation: SD = 0) | Different Means",
        IF(AND(ROUND(N(AL222),8)&gt;0, ROUND(N(AO222),8)&gt;0), "Group 2: Flaky | Passed (with variation: SD &gt; 0) AND Failed (with variation: SD &gt; 0) | Different Means",
        IF(AND(ROUND(N(AL222),8)=0, ROUND(N(AO222),8)&gt;0), "Group 3: Flaky | Passed (no variation: SD = 0) AND Failed (with variation: SD &gt; 0) | Different Means",
        "Group 4: Flaky | Passed (with variation: SD &gt; 0) AND Failed (no variation: SD = 0) | Different Means"))),
        IF(AND(ROUND(N(AL222),8)=0, ROUND(N(AO222),8)=0), "Group 5: Flaky | Passed (no var SD = 0) AND Failed (no var SD = 0) | Equal Means",
        IF(AND(ROUND(N(AL222),8)&gt;0, ROUND(N(AO222),8)&gt;0), "Group 6: Flaky | Passed (with var SD &gt; 0 ) AND Failed (with var SD &gt; 0) | Equal Means",
        IF(AND(ROUND(N(AL222),8)=0, ROUND(N(AO222),8)&gt;0), "Group 7: Flaky | Passed (no var SD = 0) AND Failed (with var SD &gt; 0) | Equal Means",
        "Group 8: Flaky | Passed (with var SD &gt; 0 ) AND Failed (no var SD = 0) | Equal Means")))
    ),
    IF(AH222&gt;0,
        IF(N(AL222)&gt;0, "Group 10: Only Passed | With variation (with var SD &gt; 0)", "Group 9: Only Passed | Without variation (no var SD = 0)"),
        IF(AI222&gt;0,
            IF(N(AO222)&gt;0,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22" s="42" t="str">
        <f aca="false">IF(OR(F222="Observed Flaky Test", I222="Observed Flaky Test", S222="Observed Flaky Test", AJ222="Observed Flaky Test"), "Observed Flaky Test", "Non-observed Flaky Test")</f>
        <v>Observed Flaky Test</v>
      </c>
    </row>
    <row r="223" customFormat="false" ht="15.75" hidden="false" customHeight="true" outlineLevel="0" collapsed="false">
      <c r="A223" s="81"/>
      <c r="B223" s="14" t="s">
        <v>516</v>
      </c>
      <c r="C223" s="14" t="s">
        <v>517</v>
      </c>
      <c r="D223" s="15" t="n">
        <v>4</v>
      </c>
      <c r="E223" s="15" t="n">
        <v>96</v>
      </c>
      <c r="F223" s="61" t="str">
        <f aca="false">IF(AND(D223&gt;0, E223&gt;0), "Observed Flaky Test", "Non-observed Flaky Test")</f>
        <v>Observed Flaky Test</v>
      </c>
      <c r="G223" s="22" t="n">
        <v>1</v>
      </c>
      <c r="H223" s="22" t="n">
        <v>99</v>
      </c>
      <c r="I223" s="61" t="str">
        <f aca="false">IF(AND(G223&gt;0, H223&gt;0), "Observed Flaky Test", "Non-observed Flaky Test")</f>
        <v>Observed Flaky Test</v>
      </c>
      <c r="J223" s="18" t="n">
        <v>58.93</v>
      </c>
      <c r="K223" s="18" t="n">
        <v>0</v>
      </c>
      <c r="L223" s="19" t="n">
        <f aca="false">IFERROR(K223/J223*100,"N/A")</f>
        <v>0</v>
      </c>
      <c r="M223" s="18" t="n">
        <v>37.14</v>
      </c>
      <c r="N223" s="18" t="n">
        <v>0</v>
      </c>
      <c r="O223" s="20" t="n">
        <f aca="false">IFERROR(N223/M223*100,"N/A")</f>
        <v>0</v>
      </c>
      <c r="P223" s="78" t="str">
        <f aca="false">IF(AND(G223&gt;0, H223=0), IF(ROUND(K223,8)=0, "Group 9: Only Passed | Without variation (SD Passed = 0)", "Group 10: Only Passed | With variation (SD Passed &gt; 0)"), IF(AND(G223=0, H223&gt;0), IF(ROUND(N223,8)=0, "Group 11: Only Failed | Without variation (SD Failed = 0)", "Group 12: Only Failed | With variation (SD Failed &gt; 0)"), IF(AND(G223&gt;0, H223&gt;0), IF(ROUND(J223,5)&lt;&gt;ROUND(M223,5), IF(AND(ROUND(K223,8)=0, ROUND(N223,8)=0), "Group 1: Flaky | Passed (no variation) AND Failed (no variation) | Different Means", IF(AND(ROUND(K223,8)&gt;0, ROUND(N223,8)&gt;0), "Group 2: Flaky | Passed (with variation) AND Failed (with variation) | Different Means", IF(AND(ROUND(K223,8)=0, ROUND(N223,8)&gt;0), "Group 3: Flaky | Passed (no variation) AND Failed (with variation) | Different Means", "Group 4: Flaky | Passed (with variation) AND Failed (no variation) | Different Means"))), IF(AND(ROUND(K223,8)=0, ROUND(N223,8)=0), "Group 5: Flaky | Passed (no variation) AND Failed (no variation) | Equal Means", IF(AND(ROUND(K223,8)&gt;0, ROUND(N223,8)&gt;0), "Group 6: Flaky | Passed (with variation) AND Failed (with variation) | Equal Means", IF(AND(ROUND(K223,8)=0, ROUND(N223,8)&gt;0),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23" s="17" t="n">
        <v>2</v>
      </c>
      <c r="R223" s="17" t="n">
        <v>98</v>
      </c>
      <c r="S223" s="43" t="str">
        <f aca="false">IF(AND(Q223&gt;0, R223&gt;0), "Observed Flaky Test", "Non-observed Flaky Test")</f>
        <v>Observed Flaky Test</v>
      </c>
      <c r="T223" s="55" t="n">
        <v>431221.5</v>
      </c>
      <c r="U223" s="24" t="n">
        <v>13.435029</v>
      </c>
      <c r="V223" s="25" t="n">
        <f aca="false">IFERROR(U223/T223*100,"N/A")</f>
        <v>0.00311557494234402</v>
      </c>
      <c r="W223" s="26" t="n">
        <v>557739.27551</v>
      </c>
      <c r="X223" s="24" t="n">
        <v>139.823731</v>
      </c>
      <c r="Y223" s="27" t="n">
        <f aca="false">IFERROR(X223/W223*100,"N/A")</f>
        <v>0.0250697300942532</v>
      </c>
      <c r="Z223" s="68" t="str">
        <f aca="false">IF(AND(Q223&gt;0, R223=0), IF(IFERROR(ROUND(V223,8),0)=0, "Group 9: Only Passed | Without variation (no var CV = 0)", "Group 10: Only Passed | With variation (with var CV &gt; 0)"), IF(AND(Q223=0, R223&gt;0), IF(IFERROR(ROUND(Y223,8),0)=0, "Group 11: Only Failed | Without variation (no var CV = 0)", "Group 12: Only Failed | With variation (with var CV &gt; 0)"), IF(AND(Q223&gt;0, R223&gt;0), IF(ROUND(T223,5)&lt;&gt;ROUND(W223,5), IF(AND(IFERROR(ROUND(V223,8),0)=0, IFERROR(ROUND(Y223,8),0)=0), "Group 1: Flaky | Passed (no variation: CV = 0) AND Failed (no variation: CV = 0) | Different Means", IF(AND(IFERROR(ROUND(V223,8),0)&gt;0, IFERROR(ROUND(Y223,8),0)&gt;0), "Group 2: Flaky | Passed (with variation: CV &gt; 0) AND Failed (with variation: CV &gt; 0) | Different Means", IF(AND(IFERROR(ROUND(V223,8),0)=0, IFERROR(ROUND(Y223,8),0)&gt;0), "Group 3: Flaky | Passed (no variation: CV = 0) AND Failed (with variation: CV &gt; 0) | Different Means", "Group 4: Flaky | Passed (with variation: CV &gt; 0) AND Failed (no variation: CV = 0) | Different Means"))), IF(AND(IFERROR(ROUND(V223,8),0)=0, IFERROR(ROUND(Y223,8),0)=0), "Group 5: Flaky | Passed (no var CV = 0) AND Failed (no var CV = 0) | Equal Means", IF(AND(IFERROR(ROUND(V223,8),0)&gt;0, IFERROR(ROUND(Y223,8),0)&gt;0), "Group 6: Flaky | Passed (with var CV &gt; 0) AND Failed (with var CV &gt; 0) | Equal Means", IF(AND(IFERROR(ROUND(V223,8),0)=0, IFERROR(ROUND(Y223,8),0)&gt;0),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23" s="29" t="n">
        <v>5.87607</v>
      </c>
      <c r="AB223" s="29" t="n">
        <v>1.330295</v>
      </c>
      <c r="AC223" s="29" t="n">
        <f aca="false">IFERROR(AB223/AA223*100,"N/A")</f>
        <v>22.6391959251677</v>
      </c>
      <c r="AD223" s="29" t="n">
        <v>3.80982</v>
      </c>
      <c r="AE223" s="29" t="n">
        <v>0.288261</v>
      </c>
      <c r="AF223" s="29" t="n">
        <f aca="false">IFERROR(AE223/AD223*100,"N/A")</f>
        <v>7.56626297305385</v>
      </c>
      <c r="AG223" s="36" t="str">
        <f aca="false">IF(AND(Q223&gt;0, R223=0), IF(IFERROR(ROUND(AC223,8),0)=0, "Group 9: Only Passed | Without variation (no var CV = 0)", "Group 10: Only Passed | With variation (with var CV &gt; 0)"), IF(AND(Q223=0, R223&gt;0), IF(IFERROR(ROUND(AF223,8),0)=0, "Group 11: Only Failed | Without variation (no var CV = 0)", "Group 12: Only Failed | With variation (with var CV &gt; 0)"), IF(AND(Q223&gt;0, R223&gt;0), IF(ROUND(AA223,5)&lt;&gt;ROUND(AD223,5), IF(AND(IFERROR(ROUND(AC223,8),0)=0, IFERROR(ROUND(AF223,8),0)=0), "Group 1: Flaky | Passed (no variation: CV = 0) AND Failed (no variation: CV = 0) | Different Means", IF(AND(IFERROR(ROUND(AC223,8),0)&gt;0, IFERROR(ROUND(AF223,8),0)&gt;0), "Group 2: Flaky | Passed (with variation: CV &gt; 0) AND Failed (with variation: CV &gt; 0) | Different Means", IF(AND(IFERROR(ROUND(AC223,8),0)=0, IFERROR(ROUND(AF223,8),0)&gt;0), "Group 3: Flaky | Passed (no variation: CV = 0) AND Failed (with variation: CV &gt; 0) | Different Means", "Group 4: Flaky | Passed (with variation: CV &gt; 0) AND Failed (no variation: CV = 0) | Different Means"))), IF(AND(IFERROR(ROUND(AC223,8),0)=0, IFERROR(ROUND(AF223,8),0)=0), "Group 5: Flaky | Passed (no var CV = 0) AND Failed (no var CV = 0) | Equal Means", IF(AND(IFERROR(ROUND(AC223,8),0)&gt;0, IFERROR(ROUND(AF223,8),0)&gt;0), "Group 6: Flaky | Passed (with var CV &gt; 0) AND Failed (with var CV &gt; 0) | Equal Means", IF(AND(IFERROR(ROUND(AC223,8),0)=0, IFERROR(ROUND(AF223,8),0)&gt;0),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23" s="22" t="n">
        <v>1</v>
      </c>
      <c r="AI223" s="17" t="n">
        <v>99</v>
      </c>
      <c r="AJ223" s="39" t="str">
        <f aca="false">IF(AND(AH223&gt;0, AI223&gt;0), "Observed Flaky Test", "Non-observed Flaky Test")</f>
        <v>Observed Flaky Test</v>
      </c>
      <c r="AK223" s="90" t="n">
        <v>6583</v>
      </c>
      <c r="AL223" s="90" t="n">
        <v>0</v>
      </c>
      <c r="AM223" s="33" t="n">
        <f aca="false">IFERROR(AL223/AK223*100,"N/A")</f>
        <v>0</v>
      </c>
      <c r="AN223" s="94" t="n">
        <v>619.454545454545</v>
      </c>
      <c r="AO223" s="97" t="n">
        <v>20.1581870374848</v>
      </c>
      <c r="AP223" s="35" t="n">
        <f aca="false">IFERROR(AO223/AN223*100,"N/A")</f>
        <v>3.25418340787104</v>
      </c>
      <c r="AQ223" s="41" t="str">
        <f aca="false">IF(AND(AH223&gt;0, AI223&gt;0),
    IF(ROUND(N(AK223),5)&lt;&gt;ROUND(N(AN223),5),
        IF(AND(ROUND(N(AL223),8)=0, ROUND(N(AO223),8)=0), "Group 1: Flaky | Passed (no variation: SD = 0) AND Failed (no variation: SD = 0) | Different Means",
        IF(AND(ROUND(N(AL223),8)&gt;0, ROUND(N(AO223),8)&gt;0), "Group 2: Flaky | Passed (with variation: SD &gt; 0) AND Failed (with variation: SD &gt; 0) | Different Means",
        IF(AND(ROUND(N(AL223),8)=0, ROUND(N(AO223),8)&gt;0), "Group 3: Flaky | Passed (no variation: SD = 0) AND Failed (with variation: SD &gt; 0) | Different Means",
        "Group 4: Flaky | Passed (with variation: SD &gt; 0) AND Failed (no variation: SD = 0) | Different Means"))),
        IF(AND(ROUND(N(AL223),8)=0, ROUND(N(AO223),8)=0), "Group 5: Flaky | Passed (no var SD = 0) AND Failed (no var SD = 0) | Equal Means",
        IF(AND(ROUND(N(AL223),8)&gt;0, ROUND(N(AO223),8)&gt;0), "Group 6: Flaky | Passed (with var SD &gt; 0 ) AND Failed (with var SD &gt; 0) | Equal Means",
        IF(AND(ROUND(N(AL223),8)=0, ROUND(N(AO223),8)&gt;0), "Group 7: Flaky | Passed (no var SD = 0) AND Failed (with var SD &gt; 0) | Equal Means",
        "Group 8: Flaky | Passed (with var SD &gt; 0 ) AND Failed (no var SD = 0) | Equal Means")))
    ),
    IF(AH223&gt;0,
        IF(N(AL223)&gt;0, "Group 10: Only Passed | With variation (with var SD &gt; 0)", "Group 9: Only Passed | Without variation (no var SD = 0)"),
        IF(AI223&gt;0,
            IF(N(AO223)&gt;0,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23" s="42" t="str">
        <f aca="false">IF(OR(F223="Observed Flaky Test", I223="Observed Flaky Test", S223="Observed Flaky Test", AJ223="Observed Flaky Test"), "Observed Flaky Test", "Non-observed Flaky Test")</f>
        <v>Observed Flaky Test</v>
      </c>
    </row>
    <row r="224" customFormat="false" ht="15.75" hidden="false" customHeight="true" outlineLevel="0" collapsed="false">
      <c r="A224" s="81"/>
      <c r="B224" s="14" t="s">
        <v>518</v>
      </c>
      <c r="C224" s="14" t="s">
        <v>519</v>
      </c>
      <c r="D224" s="15" t="n">
        <v>3</v>
      </c>
      <c r="E224" s="15" t="n">
        <v>97</v>
      </c>
      <c r="F224" s="61" t="str">
        <f aca="false">IF(AND(D224&gt;0, E224&gt;0), "Observed Flaky Test", "Non-observed Flaky Test")</f>
        <v>Observed Flaky Test</v>
      </c>
      <c r="G224" s="22" t="n">
        <v>1</v>
      </c>
      <c r="H224" s="22" t="n">
        <v>99</v>
      </c>
      <c r="I224" s="61" t="str">
        <f aca="false">IF(AND(G224&gt;0, H224&gt;0), "Observed Flaky Test", "Non-observed Flaky Test")</f>
        <v>Observed Flaky Test</v>
      </c>
      <c r="J224" s="18" t="n">
        <v>58.93</v>
      </c>
      <c r="K224" s="18" t="n">
        <v>0</v>
      </c>
      <c r="L224" s="19" t="n">
        <f aca="false">IFERROR(K224/J224*100,"N/A")</f>
        <v>0</v>
      </c>
      <c r="M224" s="18" t="n">
        <v>37.14</v>
      </c>
      <c r="N224" s="18" t="n">
        <v>0</v>
      </c>
      <c r="O224" s="20" t="n">
        <f aca="false">IFERROR(N224/M224*100,"N/A")</f>
        <v>0</v>
      </c>
      <c r="P224" s="78" t="str">
        <f aca="false">IF(AND(G224&gt;0, H224=0), IF(ROUND(K224,8)=0, "Group 9: Only Passed | Without variation (SD Passed = 0)", "Group 10: Only Passed | With variation (SD Passed &gt; 0)"), IF(AND(G224=0, H224&gt;0), IF(ROUND(N224,8)=0, "Group 11: Only Failed | Without variation (SD Failed = 0)", "Group 12: Only Failed | With variation (SD Failed &gt; 0)"), IF(AND(G224&gt;0, H224&gt;0), IF(ROUND(J224,5)&lt;&gt;ROUND(M224,5), IF(AND(ROUND(K224,8)=0, ROUND(N224,8)=0), "Group 1: Flaky | Passed (no variation) AND Failed (no variation) | Different Means", IF(AND(ROUND(K224,8)&gt;0, ROUND(N224,8)&gt;0), "Group 2: Flaky | Passed (with variation) AND Failed (with variation) | Different Means", IF(AND(ROUND(K224,8)=0, ROUND(N224,8)&gt;0), "Group 3: Flaky | Passed (no variation) AND Failed (with variation) | Different Means", "Group 4: Flaky | Passed (with variation) AND Failed (no variation) | Different Means"))), IF(AND(ROUND(K224,8)=0, ROUND(N224,8)=0), "Group 5: Flaky | Passed (no variation) AND Failed (no variation) | Equal Means", IF(AND(ROUND(K224,8)&gt;0, ROUND(N224,8)&gt;0), "Group 6: Flaky | Passed (with variation) AND Failed (with variation) | Equal Means", IF(AND(ROUND(K224,8)=0, ROUND(N224,8)&gt;0),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24" s="17" t="n">
        <v>1</v>
      </c>
      <c r="R224" s="17" t="n">
        <v>99</v>
      </c>
      <c r="S224" s="43" t="str">
        <f aca="false">IF(AND(Q224&gt;0, R224&gt;0), "Observed Flaky Test", "Non-observed Flaky Test")</f>
        <v>Observed Flaky Test</v>
      </c>
      <c r="T224" s="55" t="n">
        <v>431231</v>
      </c>
      <c r="U224" s="22" t="n">
        <v>0</v>
      </c>
      <c r="V224" s="25" t="n">
        <f aca="false">IFERROR(U224/T224*100,"N/A")</f>
        <v>0</v>
      </c>
      <c r="W224" s="24" t="n">
        <v>557695.909091</v>
      </c>
      <c r="X224" s="24" t="n">
        <v>120.777252</v>
      </c>
      <c r="Y224" s="27" t="n">
        <f aca="false">IFERROR(X224/W224*100,"N/A")</f>
        <v>0.0216564708528806</v>
      </c>
      <c r="Z224" s="44" t="str">
        <f aca="false">IF(AND(Q224&gt;0, R224=0), IF(IFERROR(ROUND(V224,8),0)=0, "Group 9: Only Passed | Without variation (no var CV = 0)", "Group 10: Only Passed | With variation (with var CV &gt; 0)"), IF(AND(Q224=0, R224&gt;0), IF(IFERROR(ROUND(Y224,8),0)=0, "Group 11: Only Failed | Without variation (no var CV = 0)", "Group 12: Only Failed | With variation (with var CV &gt; 0)"), IF(AND(Q224&gt;0, R224&gt;0), IF(ROUND(T224,5)&lt;&gt;ROUND(W224,5), IF(AND(IFERROR(ROUND(V224,8),0)=0, IFERROR(ROUND(Y224,8),0)=0), "Group 1: Flaky | Passed (no variation: CV = 0) AND Failed (no variation: CV = 0) | Different Means", IF(AND(IFERROR(ROUND(V224,8),0)&gt;0, IFERROR(ROUND(Y224,8),0)&gt;0), "Group 2: Flaky | Passed (with variation: CV &gt; 0) AND Failed (with variation: CV &gt; 0) | Different Means", IF(AND(IFERROR(ROUND(V224,8),0)=0, IFERROR(ROUND(Y224,8),0)&gt;0), "Group 3: Flaky | Passed (no variation: CV = 0) AND Failed (with variation: CV &gt; 0) | Different Means", "Group 4: Flaky | Passed (with variation: CV &gt; 0) AND Failed (no variation: CV = 0) | Different Means"))), IF(AND(IFERROR(ROUND(V224,8),0)=0, IFERROR(ROUND(Y224,8),0)=0), "Group 5: Flaky | Passed (no var CV = 0) AND Failed (no var CV = 0) | Equal Means", IF(AND(IFERROR(ROUND(V224,8),0)&gt;0, IFERROR(ROUND(Y224,8),0)&gt;0), "Group 6: Flaky | Passed (with var CV &gt; 0) AND Failed (with var CV &gt; 0) | Equal Means", IF(AND(IFERROR(ROUND(V224,8),0)=0, IFERROR(ROUND(Y224,8),0)&gt;0),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A224" s="29" t="n">
        <v>5.990542</v>
      </c>
      <c r="AB224" s="29" t="n">
        <v>0</v>
      </c>
      <c r="AC224" s="29" t="n">
        <f aca="false">IFERROR(AB224/AA224*100,"N/A")</f>
        <v>0</v>
      </c>
      <c r="AD224" s="29" t="n">
        <v>3.797303</v>
      </c>
      <c r="AE224" s="29" t="n">
        <v>0.356627</v>
      </c>
      <c r="AF224" s="29" t="n">
        <f aca="false">IFERROR(AE224/AD224*100,"N/A")</f>
        <v>9.39158660765285</v>
      </c>
      <c r="AG224" s="45" t="str">
        <f aca="false">IF(AND(Q224&gt;0, R224=0), IF(IFERROR(ROUND(AC224,8),0)=0, "Group 9: Only Passed | Without variation (no var CV = 0)", "Group 10: Only Passed | With variation (with var CV &gt; 0)"), IF(AND(Q224=0, R224&gt;0), IF(IFERROR(ROUND(AF224,8),0)=0, "Group 11: Only Failed | Without variation (no var CV = 0)", "Group 12: Only Failed | With variation (with var CV &gt; 0)"), IF(AND(Q224&gt;0, R224&gt;0), IF(ROUND(AA224,5)&lt;&gt;ROUND(AD224,5), IF(AND(IFERROR(ROUND(AC224,8),0)=0, IFERROR(ROUND(AF224,8),0)=0), "Group 1: Flaky | Passed (no variation: CV = 0) AND Failed (no variation: CV = 0) | Different Means", IF(AND(IFERROR(ROUND(AC224,8),0)&gt;0, IFERROR(ROUND(AF224,8),0)&gt;0), "Group 2: Flaky | Passed (with variation: CV &gt; 0) AND Failed (with variation: CV &gt; 0) | Different Means", IF(AND(IFERROR(ROUND(AC224,8),0)=0, IFERROR(ROUND(AF224,8),0)&gt;0), "Group 3: Flaky | Passed (no variation: CV = 0) AND Failed (with variation: CV &gt; 0) | Different Means", "Group 4: Flaky | Passed (with variation: CV &gt; 0) AND Failed (no variation: CV = 0) | Different Means"))), IF(AND(IFERROR(ROUND(AC224,8),0)=0, IFERROR(ROUND(AF224,8),0)=0), "Group 5: Flaky | Passed (no var CV = 0) AND Failed (no var CV = 0) | Equal Means", IF(AND(IFERROR(ROUND(AC224,8),0)&gt;0, IFERROR(ROUND(AF224,8),0)&gt;0), "Group 6: Flaky | Passed (with var CV &gt; 0) AND Failed (with var CV &gt; 0) | Equal Means", IF(AND(IFERROR(ROUND(AC224,8),0)=0, IFERROR(ROUND(AF224,8),0)&gt;0),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H224" s="22" t="n">
        <v>3</v>
      </c>
      <c r="AI224" s="17" t="n">
        <v>97</v>
      </c>
      <c r="AJ224" s="39" t="str">
        <f aca="false">IF(AND(AH224&gt;0, AI224&gt;0), "Observed Flaky Test", "Non-observed Flaky Test")</f>
        <v>Observed Flaky Test</v>
      </c>
      <c r="AK224" s="90" t="n">
        <v>6583</v>
      </c>
      <c r="AL224" s="90" t="n">
        <v>0</v>
      </c>
      <c r="AM224" s="33" t="n">
        <f aca="false">IFERROR(AL224/AK224*100,"N/A")</f>
        <v>0</v>
      </c>
      <c r="AN224" s="94" t="n">
        <v>619.381443298969</v>
      </c>
      <c r="AO224" s="97" t="n">
        <v>20.3605231283936</v>
      </c>
      <c r="AP224" s="35" t="n">
        <f aca="false">IFERROR(AO224/AN224*100,"N/A")</f>
        <v>3.28723492585582</v>
      </c>
      <c r="AQ224" s="41" t="str">
        <f aca="false">IF(AND(AH224&gt;0, AI224&gt;0),
    IF(ROUND(N(AK224),5)&lt;&gt;ROUND(N(AN224),5),
        IF(AND(ROUND(N(AL224),8)=0, ROUND(N(AO224),8)=0), "Group 1: Flaky | Passed (no variation: SD = 0) AND Failed (no variation: SD = 0) | Different Means",
        IF(AND(ROUND(N(AL224),8)&gt;0, ROUND(N(AO224),8)&gt;0), "Group 2: Flaky | Passed (with variation: SD &gt; 0) AND Failed (with variation: SD &gt; 0) | Different Means",
        IF(AND(ROUND(N(AL224),8)=0, ROUND(N(AO224),8)&gt;0), "Group 3: Flaky | Passed (no variation: SD = 0) AND Failed (with variation: SD &gt; 0) | Different Means",
        "Group 4: Flaky | Passed (with variation: SD &gt; 0) AND Failed (no variation: SD = 0) | Different Means"))),
        IF(AND(ROUND(N(AL224),8)=0, ROUND(N(AO224),8)=0), "Group 5: Flaky | Passed (no var SD = 0) AND Failed (no var SD = 0) | Equal Means",
        IF(AND(ROUND(N(AL224),8)&gt;0, ROUND(N(AO224),8)&gt;0), "Group 6: Flaky | Passed (with var SD &gt; 0 ) AND Failed (with var SD &gt; 0) | Equal Means",
        IF(AND(ROUND(N(AL224),8)=0, ROUND(N(AO224),8)&gt;0), "Group 7: Flaky | Passed (no var SD = 0) AND Failed (with var SD &gt; 0) | Equal Means",
        "Group 8: Flaky | Passed (with var SD &gt; 0 ) AND Failed (no var SD = 0) | Equal Means")))
    ),
    IF(AH224&gt;0,
        IF(N(AL224)&gt;0, "Group 10: Only Passed | With variation (with var SD &gt; 0)", "Group 9: Only Passed | Without variation (no var SD = 0)"),
        IF(AI224&gt;0,
            IF(N(AO224)&gt;0,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24" s="42" t="str">
        <f aca="false">IF(OR(F224="Observed Flaky Test", I224="Observed Flaky Test", S224="Observed Flaky Test", AJ224="Observed Flaky Test"), "Observed Flaky Test", "Non-observed Flaky Test")</f>
        <v>Observed Flaky Test</v>
      </c>
    </row>
    <row r="225" customFormat="false" ht="15.75" hidden="false" customHeight="true" outlineLevel="0" collapsed="false">
      <c r="A225" s="81"/>
      <c r="B225" s="14" t="s">
        <v>520</v>
      </c>
      <c r="C225" s="14" t="s">
        <v>521</v>
      </c>
      <c r="D225" s="15" t="n">
        <v>4</v>
      </c>
      <c r="E225" s="15" t="n">
        <v>96</v>
      </c>
      <c r="F225" s="61" t="str">
        <f aca="false">IF(AND(D225&gt;0, E225&gt;0), "Observed Flaky Test", "Non-observed Flaky Test")</f>
        <v>Observed Flaky Test</v>
      </c>
      <c r="G225" s="22" t="n">
        <v>0</v>
      </c>
      <c r="H225" s="22" t="n">
        <v>100</v>
      </c>
      <c r="I225" s="16" t="str">
        <f aca="false">IF(AND(G225&gt;0, H225&gt;0), "Observed Flaky Test", "Non-observed Flaky Test")</f>
        <v>Non-observed Flaky Test</v>
      </c>
      <c r="J225" s="18" t="n">
        <v>0</v>
      </c>
      <c r="K225" s="18" t="n">
        <v>0</v>
      </c>
      <c r="L225" s="19" t="str">
        <f aca="false">IFERROR(K225/J225*100,"N/A")</f>
        <v>N/A</v>
      </c>
      <c r="M225" s="18" t="n">
        <v>37.14</v>
      </c>
      <c r="N225" s="18" t="n">
        <v>0</v>
      </c>
      <c r="O225" s="20" t="n">
        <f aca="false">IFERROR(N225/M225*100,"N/A")</f>
        <v>0</v>
      </c>
      <c r="P225" s="21" t="str">
        <f aca="false">IF(AND(G225&gt;0, H225=0), IF(ROUND(K225,8)=0, "Group 9: Only Passed | Without variation (SD Passed = 0)", "Group 10: Only Passed | With variation (SD Passed &gt; 0)"), IF(AND(G225=0, H225&gt;0), IF(ROUND(N225,8)=0, "Group 11: Only Failed | Without variation (SD Failed = 0)", "Group 12: Only Failed | With variation (SD Failed &gt; 0)"), IF(AND(G225&gt;0, H225&gt;0), IF(ROUND(J225,5)&lt;&gt;ROUND(M225,5), IF(AND(ROUND(K225,8)=0, ROUND(N225,8)=0), "Group 1: Flaky | Passed (no variation) AND Failed (no variation) | Different Means", IF(AND(ROUND(K225,8)&gt;0, ROUND(N225,8)&gt;0), "Group 2: Flaky | Passed (with variation) AND Failed (with variation) | Different Means", IF(AND(ROUND(K225,8)=0, ROUND(N225,8)&gt;0), "Group 3: Flaky | Passed (no variation) AND Failed (with variation) | Different Means", "Group 4: Flaky | Passed (with variation) AND Failed (no variation) | Different Means"))), IF(AND(ROUND(K225,8)=0, ROUND(N225,8)=0), "Group 5: Flaky | Passed (no variation) AND Failed (no variation) | Equal Means", IF(AND(ROUND(K225,8)&gt;0, ROUND(N225,8)&gt;0), "Group 6: Flaky | Passed (with variation) AND Failed (with variation) | Equal Means", IF(AND(ROUND(K225,8)=0, ROUND(N225,8)&gt;0),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25" s="17" t="n">
        <v>1</v>
      </c>
      <c r="R225" s="17" t="n">
        <v>99</v>
      </c>
      <c r="S225" s="43" t="str">
        <f aca="false">IF(AND(Q225&gt;0, R225&gt;0), "Observed Flaky Test", "Non-observed Flaky Test")</f>
        <v>Observed Flaky Test</v>
      </c>
      <c r="T225" s="55" t="n">
        <v>431250</v>
      </c>
      <c r="U225" s="22" t="n">
        <v>0</v>
      </c>
      <c r="V225" s="25" t="n">
        <f aca="false">IFERROR(U225/T225*100,"N/A")</f>
        <v>0</v>
      </c>
      <c r="W225" s="24" t="n">
        <v>557733.242424</v>
      </c>
      <c r="X225" s="24" t="n">
        <v>132.957956</v>
      </c>
      <c r="Y225" s="27" t="n">
        <f aca="false">IFERROR(X225/W225*100,"N/A")</f>
        <v>0.0238389871513025</v>
      </c>
      <c r="Z225" s="44" t="str">
        <f aca="false">IF(AND(Q225&gt;0, R225=0), IF(IFERROR(ROUND(V225,8),0)=0, "Group 9: Only Passed | Without variation (no var CV = 0)", "Group 10: Only Passed | With variation (with var CV &gt; 0)"), IF(AND(Q225=0, R225&gt;0), IF(IFERROR(ROUND(Y225,8),0)=0, "Group 11: Only Failed | Without variation (no var CV = 0)", "Group 12: Only Failed | With variation (with var CV &gt; 0)"), IF(AND(Q225&gt;0, R225&gt;0), IF(ROUND(T225,5)&lt;&gt;ROUND(W225,5), IF(AND(IFERROR(ROUND(V225,8),0)=0, IFERROR(ROUND(Y225,8),0)=0), "Group 1: Flaky | Passed (no variation: CV = 0) AND Failed (no variation: CV = 0) | Different Means", IF(AND(IFERROR(ROUND(V225,8),0)&gt;0, IFERROR(ROUND(Y225,8),0)&gt;0), "Group 2: Flaky | Passed (with variation: CV &gt; 0) AND Failed (with variation: CV &gt; 0) | Different Means", IF(AND(IFERROR(ROUND(V225,8),0)=0, IFERROR(ROUND(Y225,8),0)&gt;0), "Group 3: Flaky | Passed (no variation: CV = 0) AND Failed (with variation: CV &gt; 0) | Different Means", "Group 4: Flaky | Passed (with variation: CV &gt; 0) AND Failed (no variation: CV = 0) | Different Means"))), IF(AND(IFERROR(ROUND(V225,8),0)=0, IFERROR(ROUND(Y225,8),0)=0), "Group 5: Flaky | Passed (no var CV = 0) AND Failed (no var CV = 0) | Equal Means", IF(AND(IFERROR(ROUND(V225,8),0)&gt;0, IFERROR(ROUND(Y225,8),0)&gt;0), "Group 6: Flaky | Passed (with var CV &gt; 0) AND Failed (with var CV &gt; 0) | Equal Means", IF(AND(IFERROR(ROUND(V225,8),0)=0, IFERROR(ROUND(Y225,8),0)&gt;0),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A225" s="29" t="n">
        <v>5.185734</v>
      </c>
      <c r="AB225" s="29" t="n">
        <v>0</v>
      </c>
      <c r="AC225" s="29" t="n">
        <f aca="false">IFERROR(AB225/AA225*100,"N/A")</f>
        <v>0</v>
      </c>
      <c r="AD225" s="29" t="n">
        <v>3.740247</v>
      </c>
      <c r="AE225" s="29" t="n">
        <v>0.285771</v>
      </c>
      <c r="AF225" s="29" t="n">
        <f aca="false">IFERROR(AE225/AD225*100,"N/A")</f>
        <v>7.64043123355222</v>
      </c>
      <c r="AG225" s="45" t="str">
        <f aca="false">IF(AND(Q225&gt;0, R225=0), IF(IFERROR(ROUND(AC225,8),0)=0, "Group 9: Only Passed | Without variation (no var CV = 0)", "Group 10: Only Passed | With variation (with var CV &gt; 0)"), IF(AND(Q225=0, R225&gt;0), IF(IFERROR(ROUND(AF225,8),0)=0, "Group 11: Only Failed | Without variation (no var CV = 0)", "Group 12: Only Failed | With variation (with var CV &gt; 0)"), IF(AND(Q225&gt;0, R225&gt;0), IF(ROUND(AA225,5)&lt;&gt;ROUND(AD225,5), IF(AND(IFERROR(ROUND(AC225,8),0)=0, IFERROR(ROUND(AF225,8),0)=0), "Group 1: Flaky | Passed (no variation: CV = 0) AND Failed (no variation: CV = 0) | Different Means", IF(AND(IFERROR(ROUND(AC225,8),0)&gt;0, IFERROR(ROUND(AF225,8),0)&gt;0), "Group 2: Flaky | Passed (with variation: CV &gt; 0) AND Failed (with variation: CV &gt; 0) | Different Means", IF(AND(IFERROR(ROUND(AC225,8),0)=0, IFERROR(ROUND(AF225,8),0)&gt;0), "Group 3: Flaky | Passed (no variation: CV = 0) AND Failed (with variation: CV &gt; 0) | Different Means", "Group 4: Flaky | Passed (with variation: CV &gt; 0) AND Failed (no variation: CV = 0) | Different Means"))), IF(AND(IFERROR(ROUND(AC225,8),0)=0, IFERROR(ROUND(AF225,8),0)=0), "Group 5: Flaky | Passed (no var CV = 0) AND Failed (no var CV = 0) | Equal Means", IF(AND(IFERROR(ROUND(AC225,8),0)&gt;0, IFERROR(ROUND(AF225,8),0)&gt;0), "Group 6: Flaky | Passed (with var CV &gt; 0) AND Failed (with var CV &gt; 0) | Equal Means", IF(AND(IFERROR(ROUND(AC225,8),0)=0, IFERROR(ROUND(AF225,8),0)&gt;0), "Group 7: Flaky | Passed (no var CV = 0) AND Failed (with var CV &gt; 0) | Equal Means", "Group 8: Flaky | Passed (with var CV &gt; 0) AND Failed (no var CV = 0) | Equal Means")))), "Invalid")))</f>
        <v>Group 3: Flaky | Passed (no variation: CV = 0) AND Failed (with variation: CV &gt; 0) | Different Means</v>
      </c>
      <c r="AH225" s="22" t="n">
        <v>0</v>
      </c>
      <c r="AI225" s="17" t="n">
        <v>100</v>
      </c>
      <c r="AJ225" s="31" t="str">
        <f aca="false">IF(AND(AH225&gt;0, AI225&gt;0), "Observed Flaky Test", "Non-observed Flaky Test")</f>
        <v>Non-observed Flaky Test</v>
      </c>
      <c r="AK225" s="90" t="n">
        <v>0</v>
      </c>
      <c r="AL225" s="90" t="n">
        <v>0</v>
      </c>
      <c r="AM225" s="33" t="str">
        <f aca="false">IFERROR(AL225/AK225*100,"N/A")</f>
        <v>N/A</v>
      </c>
      <c r="AN225" s="90" t="n">
        <v>677.39</v>
      </c>
      <c r="AO225" s="90" t="n">
        <v>543.900000000001</v>
      </c>
      <c r="AP225" s="35" t="n">
        <f aca="false">IFERROR(AO225/AN225*100,"N/A")</f>
        <v>80.2934793841068</v>
      </c>
      <c r="AQ225" s="36" t="str">
        <f aca="false">IF(AND(AH225&gt;0, AI225&gt;0),
    IF(ROUND(N(AK225),5)&lt;&gt;ROUND(N(AN225),5),
        IF(AND(ROUND(N(AL225),8)=0, ROUND(N(AO225),8)=0), "Group 1: Flaky | Passed (no variation: SD = 0) AND Failed (no variation: SD = 0) | Different Means",
        IF(AND(ROUND(N(AL225),8)&gt;0, ROUND(N(AO225),8)&gt;0), "Group 2: Flaky | Passed (with variation: SD &gt; 0) AND Failed (with variation: SD &gt; 0) | Different Means",
        IF(AND(ROUND(N(AL225),8)=0, ROUND(N(AO225),8)&gt;0), "Group 3: Flaky | Passed (no variation: SD = 0) AND Failed (with variation: SD &gt; 0) | Different Means",
        "Group 4: Flaky | Passed (with variation: SD &gt; 0) AND Failed (no variation: SD = 0) | Different Means"))),
        IF(AND(ROUND(N(AL225),8)=0, ROUND(N(AO225),8)=0), "Group 5: Flaky | Passed (no var SD = 0) AND Failed (no var SD = 0) | Equal Means",
        IF(AND(ROUND(N(AL225),8)&gt;0, ROUND(N(AO225),8)&gt;0), "Group 6: Flaky | Passed (with var SD &gt; 0 ) AND Failed (with var SD &gt; 0) | Equal Means",
        IF(AND(ROUND(N(AL225),8)=0, ROUND(N(AO225),8)&gt;0), "Group 7: Flaky | Passed (no var SD = 0) AND Failed (with var SD &gt; 0) | Equal Means",
        "Group 8: Flaky | Passed (with var SD &gt; 0 ) AND Failed (no var SD = 0) | Equal Means")))
    ),
    IF(AH225&gt;0,
        IF(N(AL225)&gt;0, "Group 10: Only Passed | With variation (with var SD &gt; 0)", "Group 9: Only Passed | Without variation (no var SD = 0)"),
        IF(AI225&gt;0,
            IF(N(AO225)&gt;0,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25" s="42" t="str">
        <f aca="false">IF(OR(F225="Observed Flaky Test", I225="Observed Flaky Test", S225="Observed Flaky Test", AJ225="Observed Flaky Test"), "Observed Flaky Test", "Non-observed Flaky Test")</f>
        <v>Observed Flaky Test</v>
      </c>
    </row>
    <row r="226" customFormat="false" ht="15.75" hidden="false" customHeight="true" outlineLevel="0" collapsed="false">
      <c r="A226" s="81"/>
      <c r="B226" s="14" t="s">
        <v>522</v>
      </c>
      <c r="C226" s="14" t="s">
        <v>523</v>
      </c>
      <c r="D226" s="15" t="n">
        <v>4</v>
      </c>
      <c r="E226" s="15" t="n">
        <v>96</v>
      </c>
      <c r="F226" s="61" t="str">
        <f aca="false">IF(AND(D226&gt;0, E226&gt;0), "Observed Flaky Test", "Non-observed Flaky Test")</f>
        <v>Observed Flaky Test</v>
      </c>
      <c r="G226" s="22" t="n">
        <v>2</v>
      </c>
      <c r="H226" s="22" t="n">
        <v>98</v>
      </c>
      <c r="I226" s="61" t="str">
        <f aca="false">IF(AND(G226&gt;0, H226&gt;0), "Observed Flaky Test", "Non-observed Flaky Test")</f>
        <v>Observed Flaky Test</v>
      </c>
      <c r="J226" s="18" t="n">
        <v>53.57</v>
      </c>
      <c r="K226" s="18" t="n">
        <v>0</v>
      </c>
      <c r="L226" s="19" t="n">
        <f aca="false">IFERROR(K226/J226*100,"N/A")</f>
        <v>0</v>
      </c>
      <c r="M226" s="18" t="n">
        <v>37.14</v>
      </c>
      <c r="N226" s="18" t="n">
        <v>0</v>
      </c>
      <c r="O226" s="20" t="n">
        <f aca="false">IFERROR(N226/M226*100,"N/A")</f>
        <v>0</v>
      </c>
      <c r="P226" s="78" t="str">
        <f aca="false">IF(AND(G226&gt;0, H226=0), IF(ROUND(K226,8)=0, "Group 9: Only Passed | Without variation (SD Passed = 0)", "Group 10: Only Passed | With variation (SD Passed &gt; 0)"), IF(AND(G226=0, H226&gt;0), IF(ROUND(N226,8)=0, "Group 11: Only Failed | Without variation (SD Failed = 0)", "Group 12: Only Failed | With variation (SD Failed &gt; 0)"), IF(AND(G226&gt;0, H226&gt;0), IF(ROUND(J226,5)&lt;&gt;ROUND(M226,5), IF(AND(ROUND(K226,8)=0, ROUND(N226,8)=0), "Group 1: Flaky | Passed (no variation) AND Failed (no variation) | Different Means", IF(AND(ROUND(K226,8)&gt;0, ROUND(N226,8)&gt;0), "Group 2: Flaky | Passed (with variation) AND Failed (with variation) | Different Means", IF(AND(ROUND(K226,8)=0, ROUND(N226,8)&gt;0), "Group 3: Flaky | Passed (no variation) AND Failed (with variation) | Different Means", "Group 4: Flaky | Passed (with variation) AND Failed (no variation) | Different Means"))), IF(AND(ROUND(K226,8)=0, ROUND(N226,8)=0), "Group 5: Flaky | Passed (no variation) AND Failed (no variation) | Equal Means", IF(AND(ROUND(K226,8)&gt;0, ROUND(N226,8)&gt;0), "Group 6: Flaky | Passed (with variation) AND Failed (with variation) | Equal Means", IF(AND(ROUND(K226,8)=0, ROUND(N226,8)&gt;0),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26" s="17" t="n">
        <v>4</v>
      </c>
      <c r="R226" s="17" t="n">
        <v>96</v>
      </c>
      <c r="S226" s="43" t="str">
        <f aca="false">IF(AND(Q226&gt;0, R226&gt;0), "Observed Flaky Test", "Non-observed Flaky Test")</f>
        <v>Observed Flaky Test</v>
      </c>
      <c r="T226" s="22" t="n">
        <v>430840.25</v>
      </c>
      <c r="U226" s="26" t="n">
        <v>173.86465</v>
      </c>
      <c r="V226" s="25" t="n">
        <f aca="false">IFERROR(U226/T226*100,"N/A")</f>
        <v>0.0403547834725284</v>
      </c>
      <c r="W226" s="24" t="n">
        <v>557681.78125</v>
      </c>
      <c r="X226" s="24" t="n">
        <v>127.846388</v>
      </c>
      <c r="Y226" s="27" t="n">
        <f aca="false">IFERROR(X226/W226*100,"N/A")</f>
        <v>0.0229246126193046</v>
      </c>
      <c r="Z226" s="68" t="str">
        <f aca="false">IF(AND(Q226&gt;0, R226=0), IF(IFERROR(ROUND(V226,8),0)=0, "Group 9: Only Passed | Without variation (no var CV = 0)", "Group 10: Only Passed | With variation (with var CV &gt; 0)"), IF(AND(Q226=0, R226&gt;0), IF(IFERROR(ROUND(Y226,8),0)=0, "Group 11: Only Failed | Without variation (no var CV = 0)", "Group 12: Only Failed | With variation (with var CV &gt; 0)"), IF(AND(Q226&gt;0, R226&gt;0), IF(ROUND(T226,5)&lt;&gt;ROUND(W226,5), IF(AND(IFERROR(ROUND(V226,8),0)=0, IFERROR(ROUND(Y226,8),0)=0), "Group 1: Flaky | Passed (no variation: CV = 0) AND Failed (no variation: CV = 0) | Different Means", IF(AND(IFERROR(ROUND(V226,8),0)&gt;0, IFERROR(ROUND(Y226,8),0)&gt;0), "Group 2: Flaky | Passed (with variation: CV &gt; 0) AND Failed (with variation: CV &gt; 0) | Different Means", IF(AND(IFERROR(ROUND(V226,8),0)=0, IFERROR(ROUND(Y226,8),0)&gt;0), "Group 3: Flaky | Passed (no variation: CV = 0) AND Failed (with variation: CV &gt; 0) | Different Means", "Group 4: Flaky | Passed (with variation: CV &gt; 0) AND Failed (no variation: CV = 0) | Different Means"))), IF(AND(IFERROR(ROUND(V226,8),0)=0, IFERROR(ROUND(Y226,8),0)=0), "Group 5: Flaky | Passed (no var CV = 0) AND Failed (no var CV = 0) | Equal Means", IF(AND(IFERROR(ROUND(V226,8),0)&gt;0, IFERROR(ROUND(Y226,8),0)&gt;0), "Group 6: Flaky | Passed (with var CV &gt; 0) AND Failed (with var CV &gt; 0) | Equal Means", IF(AND(IFERROR(ROUND(V226,8),0)=0, IFERROR(ROUND(Y226,8),0)&gt;0),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26" s="29" t="n">
        <v>8.88917</v>
      </c>
      <c r="AB226" s="29" t="n">
        <v>6.266982</v>
      </c>
      <c r="AC226" s="29" t="n">
        <f aca="false">IFERROR(AB226/AA226*100,"N/A")</f>
        <v>70.5013178958215</v>
      </c>
      <c r="AD226" s="29" t="n">
        <v>3.849316</v>
      </c>
      <c r="AE226" s="29" t="n">
        <v>0.36223</v>
      </c>
      <c r="AF226" s="29" t="n">
        <f aca="false">IFERROR(AE226/AD226*100,"N/A")</f>
        <v>9.41024327438953</v>
      </c>
      <c r="AG226" s="36" t="str">
        <f aca="false">IF(AND(Q226&gt;0, R226=0), IF(IFERROR(ROUND(AC226,8),0)=0, "Group 9: Only Passed | Without variation (no var CV = 0)", "Group 10: Only Passed | With variation (with var CV &gt; 0)"), IF(AND(Q226=0, R226&gt;0), IF(IFERROR(ROUND(AF226,8),0)=0, "Group 11: Only Failed | Without variation (no var CV = 0)", "Group 12: Only Failed | With variation (with var CV &gt; 0)"), IF(AND(Q226&gt;0, R226&gt;0), IF(ROUND(AA226,5)&lt;&gt;ROUND(AD226,5), IF(AND(IFERROR(ROUND(AC226,8),0)=0, IFERROR(ROUND(AF226,8),0)=0), "Group 1: Flaky | Passed (no variation: CV = 0) AND Failed (no variation: CV = 0) | Different Means", IF(AND(IFERROR(ROUND(AC226,8),0)&gt;0, IFERROR(ROUND(AF226,8),0)&gt;0), "Group 2: Flaky | Passed (with variation: CV &gt; 0) AND Failed (with variation: CV &gt; 0) | Different Means", IF(AND(IFERROR(ROUND(AC226,8),0)=0, IFERROR(ROUND(AF226,8),0)&gt;0), "Group 3: Flaky | Passed (no variation: CV = 0) AND Failed (with variation: CV &gt; 0) | Different Means", "Group 4: Flaky | Passed (with variation: CV &gt; 0) AND Failed (no variation: CV = 0) | Different Means"))), IF(AND(IFERROR(ROUND(AC226,8),0)=0, IFERROR(ROUND(AF226,8),0)=0), "Group 5: Flaky | Passed (no var CV = 0) AND Failed (no var CV = 0) | Equal Means", IF(AND(IFERROR(ROUND(AC226,8),0)&gt;0, IFERROR(ROUND(AF226,8),0)&gt;0), "Group 6: Flaky | Passed (with var CV &gt; 0) AND Failed (with var CV &gt; 0) | Equal Means", IF(AND(IFERROR(ROUND(AC226,8),0)=0, IFERROR(ROUND(AF226,8),0)&gt;0),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26" s="22" t="n">
        <v>0</v>
      </c>
      <c r="AI226" s="17" t="n">
        <v>100</v>
      </c>
      <c r="AJ226" s="31" t="str">
        <f aca="false">IF(AND(AH226&gt;0, AI226&gt;0), "Observed Flaky Test", "Non-observed Flaky Test")</f>
        <v>Non-observed Flaky Test</v>
      </c>
      <c r="AK226" s="90" t="n">
        <v>0</v>
      </c>
      <c r="AL226" s="90" t="n">
        <v>0</v>
      </c>
      <c r="AM226" s="33" t="str">
        <f aca="false">IFERROR(AL226/AK226*100,"N/A")</f>
        <v>N/A</v>
      </c>
      <c r="AN226" s="90" t="n">
        <v>619.49</v>
      </c>
      <c r="AO226" s="97" t="n">
        <v>20.0592531357384</v>
      </c>
      <c r="AP226" s="35" t="n">
        <f aca="false">IFERROR(AO226/AN226*100,"N/A")</f>
        <v>3.23802694728541</v>
      </c>
      <c r="AQ226" s="36" t="str">
        <f aca="false">IF(AND(AH226&gt;0, AI226&gt;0),
    IF(ROUND(N(AK226),5)&lt;&gt;ROUND(N(AN226),5),
        IF(AND(ROUND(N(AL226),8)=0, ROUND(N(AO226),8)=0), "Group 1: Flaky | Passed (no variation: SD = 0) AND Failed (no variation: SD = 0) | Different Means",
        IF(AND(ROUND(N(AL226),8)&gt;0, ROUND(N(AO226),8)&gt;0), "Group 2: Flaky | Passed (with variation: SD &gt; 0) AND Failed (with variation: SD &gt; 0) | Different Means",
        IF(AND(ROUND(N(AL226),8)=0, ROUND(N(AO226),8)&gt;0), "Group 3: Flaky | Passed (no variation: SD = 0) AND Failed (with variation: SD &gt; 0) | Different Means",
        "Group 4: Flaky | Passed (with variation: SD &gt; 0) AND Failed (no variation: SD = 0) | Different Means"))),
        IF(AND(ROUND(N(AL226),8)=0, ROUND(N(AO226),8)=0), "Group 5: Flaky | Passed (no var SD = 0) AND Failed (no var SD = 0) | Equal Means",
        IF(AND(ROUND(N(AL226),8)&gt;0, ROUND(N(AO226),8)&gt;0), "Group 6: Flaky | Passed (with var SD &gt; 0 ) AND Failed (with var SD &gt; 0) | Equal Means",
        IF(AND(ROUND(N(AL226),8)=0, ROUND(N(AO226),8)&gt;0), "Group 7: Flaky | Passed (no var SD = 0) AND Failed (with var SD &gt; 0) | Equal Means",
        "Group 8: Flaky | Passed (with var SD &gt; 0 ) AND Failed (no var SD = 0) | Equal Means")))
    ),
    IF(AH226&gt;0,
        IF(N(AL226)&gt;0, "Group 10: Only Passed | With variation (with var SD &gt; 0)", "Group 9: Only Passed | Without variation (no var SD = 0)"),
        IF(AI226&gt;0,
            IF(N(AO226)&gt;0, "Group 12: Only Failed | With variation (with var SD &gt; 0)", "Group 11: Only Failed | Without variation (no var SD = 0)"),
            "Invalid: No Executions (Y=0, Z=0)"
        )
    )
)</f>
        <v>Group 12: Only Failed | With variation (with var SD &gt; 0)</v>
      </c>
      <c r="AR226" s="42" t="str">
        <f aca="false">IF(OR(F226="Observed Flaky Test", I226="Observed Flaky Test", S226="Observed Flaky Test", AJ226="Observed Flaky Test"), "Observed Flaky Test", "Non-observed Flaky Test")</f>
        <v>Observed Flaky Test</v>
      </c>
    </row>
    <row r="227" customFormat="false" ht="39" hidden="false" customHeight="true" outlineLevel="0" collapsed="false">
      <c r="A227" s="81" t="s">
        <v>524</v>
      </c>
      <c r="B227" s="14" t="s">
        <v>525</v>
      </c>
      <c r="C227" s="14" t="s">
        <v>526</v>
      </c>
      <c r="D227" s="15" t="n">
        <v>97</v>
      </c>
      <c r="E227" s="15" t="n">
        <v>3</v>
      </c>
      <c r="F227" s="61" t="str">
        <f aca="false">IF(AND(D227&gt;0, E227&gt;0), "Observed Flaky Test", "Non-observed Flaky Test")</f>
        <v>Observed Flaky Test</v>
      </c>
      <c r="G227" s="22" t="n">
        <v>99</v>
      </c>
      <c r="H227" s="22" t="n">
        <v>1</v>
      </c>
      <c r="I227" s="61" t="str">
        <f aca="false">IF(AND(G227&gt;0, H227&gt;0), "Observed Flaky Test", "Non-observed Flaky Test")</f>
        <v>Observed Flaky Test</v>
      </c>
      <c r="J227" s="18" t="n">
        <v>1.14</v>
      </c>
      <c r="K227" s="18" t="n">
        <v>0</v>
      </c>
      <c r="L227" s="19" t="n">
        <f aca="false">IFERROR(K227/J227*100,"N/A")</f>
        <v>0</v>
      </c>
      <c r="M227" s="18" t="n">
        <v>1.14</v>
      </c>
      <c r="N227" s="18" t="n">
        <v>0</v>
      </c>
      <c r="O227" s="20" t="n">
        <f aca="false">IFERROR(N227/M227*100,"N/A")</f>
        <v>0</v>
      </c>
      <c r="P227" s="92" t="str">
        <f aca="false">IF(AND(G227&gt;0, H227=0), IF(ROUND(K227,8)=0, "Group 9: Only Passed | Without variation (SD Passed = 0)", "Group 10: Only Passed | With variation (SD Passed &gt; 0)"), IF(AND(G227=0, H227&gt;0), IF(ROUND(N227,8)=0, "Group 11: Only Failed | Without variation (SD Failed = 0)", "Group 12: Only Failed | With variation (SD Failed &gt; 0)"), IF(AND(G227&gt;0, H227&gt;0), IF(ROUND(J227,5)&lt;&gt;ROUND(M227,5), IF(AND(ROUND(K227,8)=0, ROUND(N227,8)=0), "Group 1: Flaky | Passed (no variation) AND Failed (no variation) | Different Means", IF(AND(ROUND(K227,8)&gt;0, ROUND(N227,8)&gt;0), "Group 2: Flaky | Passed (with variation) AND Failed (with variation) | Different Means", IF(AND(ROUND(K227,8)=0, ROUND(N227,8)&gt;0), "Group 3: Flaky | Passed (no variation) AND Failed (with variation) | Different Means", "Group 4: Flaky | Passed (with variation) AND Failed (no variation) | Different Means"))), IF(AND(ROUND(K227,8)=0, ROUND(N227,8)=0), "Group 5: Flaky | Passed (no variation) AND Failed (no variation) | Equal Means", IF(AND(ROUND(K227,8)&gt;0, ROUND(N227,8)&gt;0), "Group 6: Flaky | Passed (with variation) AND Failed (with variation) | Equal Means", IF(AND(ROUND(K227,8)=0, ROUND(N227,8)&gt;0),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227" s="17" t="n">
        <v>100</v>
      </c>
      <c r="R227" s="17" t="n">
        <v>0</v>
      </c>
      <c r="S227" s="23" t="str">
        <f aca="false">IF(AND(Q227&gt;0, R227&gt;0), "Observed Flaky Test", "Non-observed Flaky Test")</f>
        <v>Non-observed Flaky Test</v>
      </c>
      <c r="T227" s="22" t="n">
        <v>487594.15</v>
      </c>
      <c r="U227" s="24" t="n">
        <v>6.896603</v>
      </c>
      <c r="V227" s="25" t="n">
        <f aca="false">IFERROR(U227/T227*100,"N/A")</f>
        <v>0.0014144146315127</v>
      </c>
      <c r="W227" s="22" t="n">
        <v>0</v>
      </c>
      <c r="X227" s="22" t="n">
        <v>0</v>
      </c>
      <c r="Y227" s="27" t="str">
        <f aca="false">IFERROR(X227/W227*100,"N/A")</f>
        <v>N/A</v>
      </c>
      <c r="Z227" s="50" t="str">
        <f aca="false">IF(AND(Q227&gt;0, R227=0), IF(IFERROR(ROUND(V227,8),0)=0, "Group 9: Only Passed | Without variation (no var CV = 0)", "Group 10: Only Passed | With variation (with var CV &gt; 0)"), IF(AND(Q227=0, R227&gt;0), IF(IFERROR(ROUND(Y227,8),0)=0, "Group 11: Only Failed | Without variation (no var CV = 0)", "Group 12: Only Failed | With variation (with var CV &gt; 0)"), IF(AND(Q227&gt;0, R227&gt;0), IF(ROUND(T227,5)&lt;&gt;ROUND(W227,5), IF(AND(IFERROR(ROUND(V227,8),0)=0, IFERROR(ROUND(Y227,8),0)=0), "Group 1: Flaky | Passed (no variation: CV = 0) AND Failed (no variation: CV = 0) | Different Means", IF(AND(IFERROR(ROUND(V227,8),0)&gt;0, IFERROR(ROUND(Y227,8),0)&gt;0), "Group 2: Flaky | Passed (with variation: CV &gt; 0) AND Failed (with variation: CV &gt; 0) | Different Means", IF(AND(IFERROR(ROUND(V227,8),0)=0, IFERROR(ROUND(Y227,8),0)&gt;0), "Group 3: Flaky | Passed (no variation: CV = 0) AND Failed (with variation: CV &gt; 0) | Different Means", "Group 4: Flaky | Passed (with variation: CV &gt; 0) AND Failed (no variation: CV = 0) | Different Means"))), IF(AND(IFERROR(ROUND(V227,8),0)=0, IFERROR(ROUND(Y227,8),0)=0), "Group 5: Flaky | Passed (no var CV = 0) AND Failed (no var CV = 0) | Equal Means", IF(AND(IFERROR(ROUND(V227,8),0)&gt;0, IFERROR(ROUND(Y227,8),0)&gt;0), "Group 6: Flaky | Passed (with var CV &gt; 0) AND Failed (with var CV &gt; 0) | Equal Means", IF(AND(IFERROR(ROUND(V227,8),0)=0, IFERROR(ROUND(Y227,8),0)&gt;0),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27" s="29" t="n">
        <v>0.304063</v>
      </c>
      <c r="AB227" s="29" t="n">
        <v>0.009973</v>
      </c>
      <c r="AC227" s="29" t="n">
        <f aca="false">IFERROR(AB227/AA227*100,"N/A")</f>
        <v>3.27991238657778</v>
      </c>
      <c r="AD227" s="29" t="n">
        <v>0</v>
      </c>
      <c r="AE227" s="29" t="n">
        <v>0</v>
      </c>
      <c r="AF227" s="29" t="str">
        <f aca="false">IFERROR(AE227/AD227*100,"N/A")</f>
        <v>N/A</v>
      </c>
      <c r="AG227" s="51" t="str">
        <f aca="false">IF(AND(Q227&gt;0, R227=0), IF(IFERROR(ROUND(AC227,8),0)=0, "Group 9: Only Passed | Without variation (no var CV = 0)", "Group 10: Only Passed | With variation (with var CV &gt; 0)"), IF(AND(Q227=0, R227&gt;0), IF(IFERROR(ROUND(AF227,8),0)=0, "Group 11: Only Failed | Without variation (no var CV = 0)", "Group 12: Only Failed | With variation (with var CV &gt; 0)"), IF(AND(Q227&gt;0, R227&gt;0), IF(ROUND(AA227,5)&lt;&gt;ROUND(AD227,5), IF(AND(IFERROR(ROUND(AC227,8),0)=0, IFERROR(ROUND(AF227,8),0)=0), "Group 1: Flaky | Passed (no variation: CV = 0) AND Failed (no variation: CV = 0) | Different Means", IF(AND(IFERROR(ROUND(AC227,8),0)&gt;0, IFERROR(ROUND(AF227,8),0)&gt;0), "Group 2: Flaky | Passed (with variation: CV &gt; 0) AND Failed (with variation: CV &gt; 0) | Different Means", IF(AND(IFERROR(ROUND(AC227,8),0)=0, IFERROR(ROUND(AF227,8),0)&gt;0), "Group 3: Flaky | Passed (no variation: CV = 0) AND Failed (with variation: CV &gt; 0) | Different Means", "Group 4: Flaky | Passed (with variation: CV &gt; 0) AND Failed (no variation: CV = 0) | Different Means"))), IF(AND(IFERROR(ROUND(AC227,8),0)=0, IFERROR(ROUND(AF227,8),0)=0), "Group 5: Flaky | Passed (no var CV = 0) AND Failed (no var CV = 0) | Equal Means", IF(AND(IFERROR(ROUND(AC227,8),0)&gt;0, IFERROR(ROUND(AF227,8),0)&gt;0), "Group 6: Flaky | Passed (with var CV &gt; 0) AND Failed (with var CV &gt; 0) | Equal Means", IF(AND(IFERROR(ROUND(AC227,8),0)=0, IFERROR(ROUND(AF227,8),0)&gt;0),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27" s="22" t="n">
        <v>100</v>
      </c>
      <c r="AI227" s="17" t="n">
        <v>0</v>
      </c>
      <c r="AJ227" s="31" t="str">
        <f aca="false">IF(AND(AH227&gt;0, AI227&gt;0), "Observed Flaky Test", "Non-observed Flaky Test")</f>
        <v>Non-observed Flaky Test</v>
      </c>
      <c r="AK227" s="90" t="n">
        <v>986</v>
      </c>
      <c r="AL227" s="90" t="n">
        <v>0</v>
      </c>
      <c r="AM227" s="33" t="n">
        <f aca="false">IFERROR(AL227/AK227*100,"N/A")</f>
        <v>0</v>
      </c>
      <c r="AN227" s="90" t="n">
        <v>0</v>
      </c>
      <c r="AO227" s="90" t="n">
        <v>0</v>
      </c>
      <c r="AP227" s="35" t="str">
        <f aca="false">IFERROR(AO227/AN227*100,"N/A")</f>
        <v>N/A</v>
      </c>
      <c r="AQ227" s="45" t="str">
        <f aca="false">IF(AND(AH227&gt;0, AI227&gt;0),
    IF(ROUND(N(AK227),5)&lt;&gt;ROUND(N(AN227),5),
        IF(AND(ROUND(N(AL227),8)=0, ROUND(N(AO227),8)=0), "Group 1: Flaky | Passed (no variation: SD = 0) AND Failed (no variation: SD = 0) | Different Means",
        IF(AND(ROUND(N(AL227),8)&gt;0, ROUND(N(AO227),8)&gt;0), "Group 2: Flaky | Passed (with variation: SD &gt; 0) AND Failed (with variation: SD &gt; 0) | Different Means",
        IF(AND(ROUND(N(AL227),8)=0, ROUND(N(AO227),8)&gt;0), "Group 3: Flaky | Passed (no variation: SD = 0) AND Failed (with variation: SD &gt; 0) | Different Means",
        "Group 4: Flaky | Passed (with variation: SD &gt; 0) AND Failed (no variation: SD = 0) | Different Means"))),
        IF(AND(ROUND(N(AL227),8)=0, ROUND(N(AO227),8)=0), "Group 5: Flaky | Passed (no var SD = 0) AND Failed (no var SD = 0) | Equal Means",
        IF(AND(ROUND(N(AL227),8)&gt;0, ROUND(N(AO227),8)&gt;0), "Group 6: Flaky | Passed (with var SD &gt; 0 ) AND Failed (with var SD &gt; 0) | Equal Means",
        IF(AND(ROUND(N(AL227),8)=0, ROUND(N(AO227),8)&gt;0), "Group 7: Flaky | Passed (no var SD = 0) AND Failed (with var SD &gt; 0) | Equal Means",
        "Group 8: Flaky | Passed (with var SD &gt; 0 ) AND Failed (no var SD = 0) | Equal Means")))
    ),
    IF(AH227&gt;0,
        IF(N(AL227)&gt;0, "Group 10: Only Passed | With variation (with var SD &gt; 0)", "Group 9: Only Passed | Without variation (no var SD = 0)"),
        IF(AI227&gt;0,
            IF(N(AO227)&gt;0,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27" s="42" t="str">
        <f aca="false">IF(OR(F227="Observed Flaky Test", I227="Observed Flaky Test", S227="Observed Flaky Test", AJ227="Observed Flaky Test"), "Observed Flaky Test", "Non-observed Flaky Test")</f>
        <v>Observed Flaky Test</v>
      </c>
    </row>
    <row r="228" customFormat="false" ht="15.75" hidden="false" customHeight="true" outlineLevel="0" collapsed="false">
      <c r="A228" s="81"/>
      <c r="B228" s="14" t="s">
        <v>527</v>
      </c>
      <c r="C228" s="14" t="s">
        <v>528</v>
      </c>
      <c r="D228" s="15" t="n">
        <v>100</v>
      </c>
      <c r="E228" s="15" t="n">
        <v>0</v>
      </c>
      <c r="F228" s="16" t="str">
        <f aca="false">IF(AND(D228&gt;0, E228&gt;0), "Observed Flaky Test", "Non-observed Flaky Test")</f>
        <v>Non-observed Flaky Test</v>
      </c>
      <c r="G228" s="22" t="n">
        <v>99</v>
      </c>
      <c r="H228" s="22" t="n">
        <v>1</v>
      </c>
      <c r="I228" s="61" t="str">
        <f aca="false">IF(AND(G228&gt;0, H228&gt;0), "Observed Flaky Test", "Non-observed Flaky Test")</f>
        <v>Observed Flaky Test</v>
      </c>
      <c r="J228" s="18" t="n">
        <v>1.14</v>
      </c>
      <c r="K228" s="18" t="n">
        <v>0</v>
      </c>
      <c r="L228" s="19" t="n">
        <f aca="false">IFERROR(K228/J228*100,"N/A")</f>
        <v>0</v>
      </c>
      <c r="M228" s="18" t="n">
        <v>1.14</v>
      </c>
      <c r="N228" s="18" t="n">
        <v>0</v>
      </c>
      <c r="O228" s="20" t="n">
        <f aca="false">IFERROR(N228/M228*100,"N/A")</f>
        <v>0</v>
      </c>
      <c r="P228" s="92" t="str">
        <f aca="false">IF(AND(G228&gt;0, H228=0), IF(ROUND(K228,8)=0, "Group 9: Only Passed | Without variation (SD Passed = 0)", "Group 10: Only Passed | With variation (SD Passed &gt; 0)"), IF(AND(G228=0, H228&gt;0), IF(ROUND(N228,8)=0, "Group 11: Only Failed | Without variation (SD Failed = 0)", "Group 12: Only Failed | With variation (SD Failed &gt; 0)"), IF(AND(G228&gt;0, H228&gt;0), IF(ROUND(J228,5)&lt;&gt;ROUND(M228,5), IF(AND(ROUND(K228,8)=0, ROUND(N228,8)=0), "Group 1: Flaky | Passed (no variation) AND Failed (no variation) | Different Means", IF(AND(ROUND(K228,8)&gt;0, ROUND(N228,8)&gt;0), "Group 2: Flaky | Passed (with variation) AND Failed (with variation) | Different Means", IF(AND(ROUND(K228,8)=0, ROUND(N228,8)&gt;0), "Group 3: Flaky | Passed (no variation) AND Failed (with variation) | Different Means", "Group 4: Flaky | Passed (with variation) AND Failed (no variation) | Different Means"))), IF(AND(ROUND(K228,8)=0, ROUND(N228,8)=0), "Group 5: Flaky | Passed (no variation) AND Failed (no variation) | Equal Means", IF(AND(ROUND(K228,8)&gt;0, ROUND(N228,8)&gt;0), "Group 6: Flaky | Passed (with variation) AND Failed (with variation) | Equal Means", IF(AND(ROUND(K228,8)=0, ROUND(N228,8)&gt;0),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228" s="17" t="n">
        <v>99</v>
      </c>
      <c r="R228" s="17" t="n">
        <v>1</v>
      </c>
      <c r="S228" s="43" t="str">
        <f aca="false">IF(AND(Q228&gt;0, R228&gt;0), "Observed Flaky Test", "Non-observed Flaky Test")</f>
        <v>Observed Flaky Test</v>
      </c>
      <c r="T228" s="24" t="n">
        <v>487595.191919</v>
      </c>
      <c r="U228" s="24" t="n">
        <v>22.242943</v>
      </c>
      <c r="V228" s="25" t="n">
        <f aca="false">IFERROR(U228/T228*100,"N/A")</f>
        <v>0.00456176421930244</v>
      </c>
      <c r="W228" s="55" t="n">
        <v>988251</v>
      </c>
      <c r="X228" s="22" t="n">
        <v>0</v>
      </c>
      <c r="Y228" s="27" t="n">
        <f aca="false">IFERROR(X228/W228*100,"N/A")</f>
        <v>0</v>
      </c>
      <c r="Z228" s="69" t="str">
        <f aca="false">IF(AND(Q228&gt;0, R228=0), IF(IFERROR(ROUND(V228,8),0)=0, "Group 9: Only Passed | Without variation (no var CV = 0)", "Group 10: Only Passed | With variation (with var CV &gt; 0)"), IF(AND(Q228=0, R228&gt;0), IF(IFERROR(ROUND(Y228,8),0)=0, "Group 11: Only Failed | Without variation (no var CV = 0)", "Group 12: Only Failed | With variation (with var CV &gt; 0)"), IF(AND(Q228&gt;0, R228&gt;0), IF(ROUND(T228,5)&lt;&gt;ROUND(W228,5), IF(AND(IFERROR(ROUND(V228,8),0)=0, IFERROR(ROUND(Y228,8),0)=0), "Group 1: Flaky | Passed (no variation: CV = 0) AND Failed (no variation: CV = 0) | Different Means", IF(AND(IFERROR(ROUND(V228,8),0)&gt;0, IFERROR(ROUND(Y228,8),0)&gt;0), "Group 2: Flaky | Passed (with variation: CV &gt; 0) AND Failed (with variation: CV &gt; 0) | Different Means", IF(AND(IFERROR(ROUND(V228,8),0)=0, IFERROR(ROUND(Y228,8),0)&gt;0), "Group 3: Flaky | Passed (no variation: CV = 0) AND Failed (with variation: CV &gt; 0) | Different Means", "Group 4: Flaky | Passed (with variation: CV &gt; 0) AND Failed (no variation: CV = 0) | Different Means"))), IF(AND(IFERROR(ROUND(V228,8),0)=0, IFERROR(ROUND(Y228,8),0)=0), "Group 5: Flaky | Passed (no var CV = 0) AND Failed (no var CV = 0) | Equal Means", IF(AND(IFERROR(ROUND(V228,8),0)&gt;0, IFERROR(ROUND(Y228,8),0)&gt;0), "Group 6: Flaky | Passed (with var CV &gt; 0) AND Failed (with var CV &gt; 0) | Equal Means", IF(AND(IFERROR(ROUND(V228,8),0)=0, IFERROR(ROUND(Y228,8),0)&gt;0),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228" s="29" t="n">
        <v>0.302391</v>
      </c>
      <c r="AB228" s="29" t="n">
        <v>0.005447</v>
      </c>
      <c r="AC228" s="29" t="n">
        <f aca="false">IFERROR(AB228/AA228*100,"N/A")</f>
        <v>1.80131022417995</v>
      </c>
      <c r="AD228" s="29" t="n">
        <v>0.480709</v>
      </c>
      <c r="AE228" s="29" t="n">
        <v>0</v>
      </c>
      <c r="AF228" s="29" t="n">
        <f aca="false">IFERROR(AE228/AD228*100,"N/A")</f>
        <v>0</v>
      </c>
      <c r="AG228" s="70" t="str">
        <f aca="false">IF(AND(Q228&gt;0, R228=0), IF(IFERROR(ROUND(AC228,8),0)=0, "Group 9: Only Passed | Without variation (no var CV = 0)", "Group 10: Only Passed | With variation (with var CV &gt; 0)"), IF(AND(Q228=0, R228&gt;0), IF(IFERROR(ROUND(AF228,8),0)=0, "Group 11: Only Failed | Without variation (no var CV = 0)", "Group 12: Only Failed | With variation (with var CV &gt; 0)"), IF(AND(Q228&gt;0, R228&gt;0), IF(ROUND(AA228,5)&lt;&gt;ROUND(AD228,5), IF(AND(IFERROR(ROUND(AC228,8),0)=0, IFERROR(ROUND(AF228,8),0)=0), "Group 1: Flaky | Passed (no variation: CV = 0) AND Failed (no variation: CV = 0) | Different Means", IF(AND(IFERROR(ROUND(AC228,8),0)&gt;0, IFERROR(ROUND(AF228,8),0)&gt;0), "Group 2: Flaky | Passed (with variation: CV &gt; 0) AND Failed (with variation: CV &gt; 0) | Different Means", IF(AND(IFERROR(ROUND(AC228,8),0)=0, IFERROR(ROUND(AF228,8),0)&gt;0), "Group 3: Flaky | Passed (no variation: CV = 0) AND Failed (with variation: CV &gt; 0) | Different Means", "Group 4: Flaky | Passed (with variation: CV &gt; 0) AND Failed (no variation: CV = 0) | Different Means"))), IF(AND(IFERROR(ROUND(AC228,8),0)=0, IFERROR(ROUND(AF228,8),0)=0), "Group 5: Flaky | Passed (no var CV = 0) AND Failed (no var CV = 0) | Equal Means", IF(AND(IFERROR(ROUND(AC228,8),0)&gt;0, IFERROR(ROUND(AF228,8),0)&gt;0), "Group 6: Flaky | Passed (with var CV &gt; 0) AND Failed (with var CV &gt; 0) | Equal Means", IF(AND(IFERROR(ROUND(AC228,8),0)=0, IFERROR(ROUND(AF228,8),0)&gt;0),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228" s="22" t="n">
        <v>99</v>
      </c>
      <c r="AI228" s="17" t="n">
        <v>1</v>
      </c>
      <c r="AJ228" s="39" t="str">
        <f aca="false">IF(AND(AH228&gt;0, AI228&gt;0), "Observed Flaky Test", "Non-observed Flaky Test")</f>
        <v>Observed Flaky Test</v>
      </c>
      <c r="AK228" s="90" t="n">
        <v>986</v>
      </c>
      <c r="AL228" s="90" t="n">
        <v>0</v>
      </c>
      <c r="AM228" s="33" t="n">
        <f aca="false">IFERROR(AL228/AK228*100,"N/A")</f>
        <v>0</v>
      </c>
      <c r="AN228" s="90" t="n">
        <v>986</v>
      </c>
      <c r="AO228" s="90" t="n">
        <v>0</v>
      </c>
      <c r="AP228" s="35" t="n">
        <f aca="false">IFERROR(AO228/AN228*100,"N/A")</f>
        <v>0</v>
      </c>
      <c r="AQ228" s="51" t="str">
        <f aca="false">IF(AND(AH228&gt;0, AI228&gt;0),
    IF(ROUND(N(AK228),5)&lt;&gt;ROUND(N(AN228),5),
        IF(AND(ROUND(N(AL228),8)=0, ROUND(N(AO228),8)=0), "Group 1: Flaky | Passed (no variation: SD = 0) AND Failed (no variation: SD = 0) | Different Means",
        IF(AND(ROUND(N(AL228),8)&gt;0, ROUND(N(AO228),8)&gt;0), "Group 2: Flaky | Passed (with variation: SD &gt; 0) AND Failed (with variation: SD &gt; 0) | Different Means",
        IF(AND(ROUND(N(AL228),8)=0, ROUND(N(AO228),8)&gt;0), "Group 3: Flaky | Passed (no variation: SD = 0) AND Failed (with variation: SD &gt; 0) | Different Means",
        "Group 4: Flaky | Passed (with variation: SD &gt; 0) AND Failed (no variation: SD = 0) | Different Means"))),
        IF(AND(ROUND(N(AL228),8)=0, ROUND(N(AO228),8)=0), "Group 5: Flaky | Passed (no var SD = 0) AND Failed (no var SD = 0) | Equal Means",
        IF(AND(ROUND(N(AL228),8)&gt;0, ROUND(N(AO228),8)&gt;0), "Group 6: Flaky | Passed (with var SD &gt; 0 ) AND Failed (with var SD &gt; 0) | Equal Means",
        IF(AND(ROUND(N(AL228),8)=0, ROUND(N(AO228),8)&gt;0), "Group 7: Flaky | Passed (no var SD = 0) AND Failed (with var SD &gt; 0) | Equal Means",
        "Group 8: Flaky | Passed (with var SD &gt; 0 ) AND Failed (no var SD = 0) | Equal Means")))
    ),
    IF(AH228&gt;0,
        IF(N(AL228)&gt;0, "Group 10: Only Passed | With variation (with var SD &gt; 0)", "Group 9: Only Passed | Without variation (no var SD = 0)"),
        IF(AI228&gt;0,
            IF(N(AO228)&gt;0,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228" s="42" t="str">
        <f aca="false">IF(OR(F228="Observed Flaky Test", I228="Observed Flaky Test", S228="Observed Flaky Test", AJ228="Observed Flaky Test"), "Observed Flaky Test", "Non-observed Flaky Test")</f>
        <v>Observed Flaky Test</v>
      </c>
    </row>
    <row r="229" customFormat="false" ht="39" hidden="false" customHeight="true" outlineLevel="0" collapsed="false">
      <c r="A229" s="81" t="s">
        <v>529</v>
      </c>
      <c r="B229" s="14" t="s">
        <v>530</v>
      </c>
      <c r="C229" s="14" t="s">
        <v>531</v>
      </c>
      <c r="D229" s="15" t="n">
        <v>99</v>
      </c>
      <c r="E229" s="15" t="n">
        <v>1</v>
      </c>
      <c r="F229" s="61" t="str">
        <f aca="false">IF(AND(D229&gt;0, E229&gt;0), "Observed Flaky Test", "Non-observed Flaky Test")</f>
        <v>Observed Flaky Test</v>
      </c>
      <c r="G229" s="22" t="n">
        <v>99</v>
      </c>
      <c r="H229" s="22" t="n">
        <v>1</v>
      </c>
      <c r="I229" s="61" t="str">
        <f aca="false">IF(AND(G229&gt;0, H229&gt;0), "Observed Flaky Test", "Non-observed Flaky Test")</f>
        <v>Observed Flaky Test</v>
      </c>
      <c r="J229" s="18" t="n">
        <v>29.02</v>
      </c>
      <c r="K229" s="18" t="n">
        <v>0</v>
      </c>
      <c r="L229" s="19" t="n">
        <f aca="false">IFERROR(K229/J229*100,"N/A")</f>
        <v>0</v>
      </c>
      <c r="M229" s="18" t="n">
        <v>29.02</v>
      </c>
      <c r="N229" s="18" t="n">
        <v>0</v>
      </c>
      <c r="O229" s="20" t="n">
        <f aca="false">IFERROR(N229/M229*100,"N/A")</f>
        <v>0</v>
      </c>
      <c r="P229" s="92" t="str">
        <f aca="false">IF(AND(G229&gt;0, H229=0), IF(ROUND(K229,8)=0, "Group 9: Only Passed | Without variation (SD Passed = 0)", "Group 10: Only Passed | With variation (SD Passed &gt; 0)"), IF(AND(G229=0, H229&gt;0), IF(ROUND(N229,8)=0, "Group 11: Only Failed | Without variation (SD Failed = 0)", "Group 12: Only Failed | With variation (SD Failed &gt; 0)"), IF(AND(G229&gt;0, H229&gt;0), IF(ROUND(J229,5)&lt;&gt;ROUND(M229,5), IF(AND(ROUND(K229,8)=0, ROUND(N229,8)=0), "Group 1: Flaky | Passed (no variation) AND Failed (no variation) | Different Means", IF(AND(ROUND(K229,8)&gt;0, ROUND(N229,8)&gt;0), "Group 2: Flaky | Passed (with variation) AND Failed (with variation) | Different Means", IF(AND(ROUND(K229,8)=0, ROUND(N229,8)&gt;0), "Group 3: Flaky | Passed (no variation) AND Failed (with variation) | Different Means", "Group 4: Flaky | Passed (with variation) AND Failed (no variation) | Different Means"))), IF(AND(ROUND(K229,8)=0, ROUND(N229,8)=0), "Group 5: Flaky | Passed (no variation) AND Failed (no variation) | Equal Means", IF(AND(ROUND(K229,8)&gt;0, ROUND(N229,8)&gt;0), "Group 6: Flaky | Passed (with variation) AND Failed (with variation) | Equal Means", IF(AND(ROUND(K229,8)=0, ROUND(N229,8)&gt;0),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229" s="17" t="n">
        <v>99</v>
      </c>
      <c r="R229" s="17" t="n">
        <v>1</v>
      </c>
      <c r="S229" s="43" t="str">
        <f aca="false">IF(AND(Q229&gt;0, R229&gt;0), "Observed Flaky Test", "Non-observed Flaky Test")</f>
        <v>Observed Flaky Test</v>
      </c>
      <c r="T229" s="24" t="n">
        <v>3274128.424242</v>
      </c>
      <c r="U229" s="24" t="n">
        <v>14.762121</v>
      </c>
      <c r="V229" s="25" t="n">
        <f aca="false">IFERROR(U229/T229*100,"N/A")</f>
        <v>0.000450871776766594</v>
      </c>
      <c r="W229" s="55" t="n">
        <v>3300131</v>
      </c>
      <c r="X229" s="22" t="n">
        <v>0</v>
      </c>
      <c r="Y229" s="27" t="n">
        <f aca="false">IFERROR(X229/W229*100,"N/A")</f>
        <v>0</v>
      </c>
      <c r="Z229" s="69" t="str">
        <f aca="false">IF(AND(Q229&gt;0, R229=0), IF(IFERROR(ROUND(V229,8),0)=0, "Group 9: Only Passed | Without variation (no var CV = 0)", "Group 10: Only Passed | With variation (with var CV &gt; 0)"), IF(AND(Q229=0, R229&gt;0), IF(IFERROR(ROUND(Y229,8),0)=0, "Group 11: Only Failed | Without variation (no var CV = 0)", "Group 12: Only Failed | With variation (with var CV &gt; 0)"), IF(AND(Q229&gt;0, R229&gt;0), IF(ROUND(T229,5)&lt;&gt;ROUND(W229,5), IF(AND(IFERROR(ROUND(V229,8),0)=0, IFERROR(ROUND(Y229,8),0)=0), "Group 1: Flaky | Passed (no variation: CV = 0) AND Failed (no variation: CV = 0) | Different Means", IF(AND(IFERROR(ROUND(V229,8),0)&gt;0, IFERROR(ROUND(Y229,8),0)&gt;0), "Group 2: Flaky | Passed (with variation: CV &gt; 0) AND Failed (with variation: CV &gt; 0) | Different Means", IF(AND(IFERROR(ROUND(V229,8),0)=0, IFERROR(ROUND(Y229,8),0)&gt;0), "Group 3: Flaky | Passed (no variation: CV = 0) AND Failed (with variation: CV &gt; 0) | Different Means", "Group 4: Flaky | Passed (with variation: CV &gt; 0) AND Failed (no variation: CV = 0) | Different Means"))), IF(AND(IFERROR(ROUND(V229,8),0)=0, IFERROR(ROUND(Y229,8),0)=0), "Group 5: Flaky | Passed (no var CV = 0) AND Failed (no var CV = 0) | Equal Means", IF(AND(IFERROR(ROUND(V229,8),0)&gt;0, IFERROR(ROUND(Y229,8),0)&gt;0), "Group 6: Flaky | Passed (with var CV &gt; 0) AND Failed (with var CV &gt; 0) | Equal Means", IF(AND(IFERROR(ROUND(V229,8),0)=0, IFERROR(ROUND(Y229,8),0)&gt;0),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229" s="29" t="n">
        <v>1.979192</v>
      </c>
      <c r="AB229" s="29" t="n">
        <v>0.105979</v>
      </c>
      <c r="AC229" s="29" t="n">
        <f aca="false">IFERROR(AB229/AA229*100,"N/A")</f>
        <v>5.35465988140615</v>
      </c>
      <c r="AD229" s="29" t="n">
        <v>1.905087</v>
      </c>
      <c r="AE229" s="29" t="n">
        <v>0</v>
      </c>
      <c r="AF229" s="29" t="n">
        <f aca="false">IFERROR(AE229/AD229*100,"N/A")</f>
        <v>0</v>
      </c>
      <c r="AG229" s="70" t="str">
        <f aca="false">IF(AND(Q229&gt;0, R229=0), IF(IFERROR(ROUND(AC229,8),0)=0, "Group 9: Only Passed | Without variation (no var CV = 0)", "Group 10: Only Passed | With variation (with var CV &gt; 0)"), IF(AND(Q229=0, R229&gt;0), IF(IFERROR(ROUND(AF229,8),0)=0, "Group 11: Only Failed | Without variation (no var CV = 0)", "Group 12: Only Failed | With variation (with var CV &gt; 0)"), IF(AND(Q229&gt;0, R229&gt;0), IF(ROUND(AA229,5)&lt;&gt;ROUND(AD229,5), IF(AND(IFERROR(ROUND(AC229,8),0)=0, IFERROR(ROUND(AF229,8),0)=0), "Group 1: Flaky | Passed (no variation: CV = 0) AND Failed (no variation: CV = 0) | Different Means", IF(AND(IFERROR(ROUND(AC229,8),0)&gt;0, IFERROR(ROUND(AF229,8),0)&gt;0), "Group 2: Flaky | Passed (with variation: CV &gt; 0) AND Failed (with variation: CV &gt; 0) | Different Means", IF(AND(IFERROR(ROUND(AC229,8),0)=0, IFERROR(ROUND(AF229,8),0)&gt;0), "Group 3: Flaky | Passed (no variation: CV = 0) AND Failed (with variation: CV &gt; 0) | Different Means", "Group 4: Flaky | Passed (with variation: CV &gt; 0) AND Failed (no variation: CV = 0) | Different Means"))), IF(AND(IFERROR(ROUND(AC229,8),0)=0, IFERROR(ROUND(AF229,8),0)=0), "Group 5: Flaky | Passed (no var CV = 0) AND Failed (no var CV = 0) | Equal Means", IF(AND(IFERROR(ROUND(AC229,8),0)&gt;0, IFERROR(ROUND(AF229,8),0)&gt;0), "Group 6: Flaky | Passed (with var CV &gt; 0) AND Failed (with var CV &gt; 0) | Equal Means", IF(AND(IFERROR(ROUND(AC229,8),0)=0, IFERROR(ROUND(AF229,8),0)&gt;0),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229" s="22" t="n">
        <v>100</v>
      </c>
      <c r="AI229" s="17" t="n">
        <v>0</v>
      </c>
      <c r="AJ229" s="31" t="str">
        <f aca="false">IF(AND(AH229&gt;0, AI229&gt;0), "Observed Flaky Test", "Non-observed Flaky Test")</f>
        <v>Non-observed Flaky Test</v>
      </c>
      <c r="AK229" s="90" t="n">
        <v>2676</v>
      </c>
      <c r="AL229" s="90" t="n">
        <v>0</v>
      </c>
      <c r="AM229" s="33" t="n">
        <f aca="false">IFERROR(AL229/AK229*100,"N/A")</f>
        <v>0</v>
      </c>
      <c r="AN229" s="90" t="n">
        <v>0</v>
      </c>
      <c r="AO229" s="90" t="n">
        <v>0</v>
      </c>
      <c r="AP229" s="35" t="str">
        <f aca="false">IFERROR(AO229/AN229*100,"N/A")</f>
        <v>N/A</v>
      </c>
      <c r="AQ229" s="45" t="str">
        <f aca="false">IF(AND(AH229&gt;0, AI229&gt;0),
    IF(ROUND(N(AK229),5)&lt;&gt;ROUND(N(AN229),5),
        IF(AND(ROUND(N(AL229),8)=0, ROUND(N(AO229),8)=0), "Group 1: Flaky | Passed (no variation: SD = 0) AND Failed (no variation: SD = 0) | Different Means",
        IF(AND(ROUND(N(AL229),8)&gt;0, ROUND(N(AO229),8)&gt;0), "Group 2: Flaky | Passed (with variation: SD &gt; 0) AND Failed (with variation: SD &gt; 0) | Different Means",
        IF(AND(ROUND(N(AL229),8)=0, ROUND(N(AO229),8)&gt;0), "Group 3: Flaky | Passed (no variation: SD = 0) AND Failed (with variation: SD &gt; 0) | Different Means",
        "Group 4: Flaky | Passed (with variation: SD &gt; 0) AND Failed (no variation: SD = 0) | Different Means"))),
        IF(AND(ROUND(N(AL229),8)=0, ROUND(N(AO229),8)=0), "Group 5: Flaky | Passed (no var SD = 0) AND Failed (no var SD = 0) | Equal Means",
        IF(AND(ROUND(N(AL229),8)&gt;0, ROUND(N(AO229),8)&gt;0), "Group 6: Flaky | Passed (with var SD &gt; 0 ) AND Failed (with var SD &gt; 0) | Equal Means",
        IF(AND(ROUND(N(AL229),8)=0, ROUND(N(AO229),8)&gt;0), "Group 7: Flaky | Passed (no var SD = 0) AND Failed (with var SD &gt; 0) | Equal Means",
        "Group 8: Flaky | Passed (with var SD &gt; 0 ) AND Failed (no var SD = 0) | Equal Means")))
    ),
    IF(AH229&gt;0,
        IF(N(AL229)&gt;0, "Group 10: Only Passed | With variation (with var SD &gt; 0)", "Group 9: Only Passed | Without variation (no var SD = 0)"),
        IF(AI229&gt;0,
            IF(N(AO229)&gt;0,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29" s="42" t="str">
        <f aca="false">IF(OR(F229="Observed Flaky Test", I229="Observed Flaky Test", S229="Observed Flaky Test", AJ229="Observed Flaky Test"), "Observed Flaky Test", "Non-observed Flaky Test")</f>
        <v>Observed Flaky Test</v>
      </c>
    </row>
    <row r="230" customFormat="false" ht="15.75" hidden="false" customHeight="true" outlineLevel="0" collapsed="false">
      <c r="A230" s="81"/>
      <c r="B230" s="14" t="s">
        <v>532</v>
      </c>
      <c r="C230" s="14" t="s">
        <v>533</v>
      </c>
      <c r="D230" s="15" t="n">
        <v>95</v>
      </c>
      <c r="E230" s="15" t="n">
        <v>5</v>
      </c>
      <c r="F230" s="61" t="str">
        <f aca="false">IF(AND(D230&gt;0, E230&gt;0), "Observed Flaky Test", "Non-observed Flaky Test")</f>
        <v>Observed Flaky Test</v>
      </c>
      <c r="G230" s="22" t="n">
        <v>94</v>
      </c>
      <c r="H230" s="22" t="n">
        <v>6</v>
      </c>
      <c r="I230" s="61" t="str">
        <f aca="false">IF(AND(G230&gt;0, H230&gt;0), "Observed Flaky Test", "Non-observed Flaky Test")</f>
        <v>Observed Flaky Test</v>
      </c>
      <c r="J230" s="18" t="n">
        <v>29.02</v>
      </c>
      <c r="K230" s="18" t="n">
        <v>0</v>
      </c>
      <c r="L230" s="19" t="n">
        <f aca="false">IFERROR(K230/J230*100,"N/A")</f>
        <v>0</v>
      </c>
      <c r="M230" s="18" t="n">
        <v>29.02</v>
      </c>
      <c r="N230" s="18" t="n">
        <v>0</v>
      </c>
      <c r="O230" s="20" t="n">
        <f aca="false">IFERROR(N230/M230*100,"N/A")</f>
        <v>0</v>
      </c>
      <c r="P230" s="92" t="str">
        <f aca="false">IF(AND(G230&gt;0, H230=0), IF(ROUND(K230,8)=0, "Group 9: Only Passed | Without variation (SD Passed = 0)", "Group 10: Only Passed | With variation (SD Passed &gt; 0)"), IF(AND(G230=0, H230&gt;0), IF(ROUND(N230,8)=0, "Group 11: Only Failed | Without variation (SD Failed = 0)", "Group 12: Only Failed | With variation (SD Failed &gt; 0)"), IF(AND(G230&gt;0, H230&gt;0), IF(ROUND(J230,5)&lt;&gt;ROUND(M230,5), IF(AND(ROUND(K230,8)=0, ROUND(N230,8)=0), "Group 1: Flaky | Passed (no variation) AND Failed (no variation) | Different Means", IF(AND(ROUND(K230,8)&gt;0, ROUND(N230,8)&gt;0), "Group 2: Flaky | Passed (with variation) AND Failed (with variation) | Different Means", IF(AND(ROUND(K230,8)=0, ROUND(N230,8)&gt;0), "Group 3: Flaky | Passed (no variation) AND Failed (with variation) | Different Means", "Group 4: Flaky | Passed (with variation) AND Failed (no variation) | Different Means"))), IF(AND(ROUND(K230,8)=0, ROUND(N230,8)=0), "Group 5: Flaky | Passed (no variation) AND Failed (no variation) | Equal Means", IF(AND(ROUND(K230,8)&gt;0, ROUND(N230,8)&gt;0), "Group 6: Flaky | Passed (with variation) AND Failed (with variation) | Equal Means", IF(AND(ROUND(K230,8)=0, ROUND(N230,8)&gt;0), "Group 7: Flaky | Passed (no variation) AND Failed (with variation) | Equal Means", "Group 8: Flaky | Passed (with variation) AND Failed (no variation) | Equal Means")))), "Invalid")))</f>
        <v>Group 5: Flaky | Passed (no variation) AND Failed (no variation) | Equal Means</v>
      </c>
      <c r="Q230" s="17" t="n">
        <v>96</v>
      </c>
      <c r="R230" s="17" t="n">
        <v>4</v>
      </c>
      <c r="S230" s="43" t="str">
        <f aca="false">IF(AND(Q230&gt;0, R230&gt;0), "Observed Flaky Test", "Non-observed Flaky Test")</f>
        <v>Observed Flaky Test</v>
      </c>
      <c r="T230" s="24" t="n">
        <v>3274156.791667</v>
      </c>
      <c r="U230" s="24" t="n">
        <v>40.837268</v>
      </c>
      <c r="V230" s="25" t="n">
        <f aca="false">IFERROR(U230/T230*100,"N/A")</f>
        <v>0.00124726061085206</v>
      </c>
      <c r="W230" s="55" t="n">
        <v>3285745.5</v>
      </c>
      <c r="X230" s="24" t="n">
        <v>39.059783</v>
      </c>
      <c r="Y230" s="27" t="n">
        <f aca="false">IFERROR(X230/W230*100,"N/A")</f>
        <v>0.00118876471108307</v>
      </c>
      <c r="Z230" s="68" t="str">
        <f aca="false">IF(AND(Q230&gt;0, R230=0), IF(IFERROR(ROUND(V230,8),0)=0, "Group 9: Only Passed | Without variation (no var CV = 0)", "Group 10: Only Passed | With variation (with var CV &gt; 0)"), IF(AND(Q230=0, R230&gt;0), IF(IFERROR(ROUND(Y230,8),0)=0, "Group 11: Only Failed | Without variation (no var CV = 0)", "Group 12: Only Failed | With variation (with var CV &gt; 0)"), IF(AND(Q230&gt;0, R230&gt;0), IF(ROUND(T230,5)&lt;&gt;ROUND(W230,5), IF(AND(IFERROR(ROUND(V230,8),0)=0, IFERROR(ROUND(Y230,8),0)=0), "Group 1: Flaky | Passed (no variation: CV = 0) AND Failed (no variation: CV = 0) | Different Means", IF(AND(IFERROR(ROUND(V230,8),0)&gt;0, IFERROR(ROUND(Y230,8),0)&gt;0), "Group 2: Flaky | Passed (with variation: CV &gt; 0) AND Failed (with variation: CV &gt; 0) | Different Means", IF(AND(IFERROR(ROUND(V230,8),0)=0, IFERROR(ROUND(Y230,8),0)&gt;0), "Group 3: Flaky | Passed (no variation: CV = 0) AND Failed (with variation: CV &gt; 0) | Different Means", "Group 4: Flaky | Passed (with variation: CV &gt; 0) AND Failed (no variation: CV = 0) | Different Means"))), IF(AND(IFERROR(ROUND(V230,8),0)=0, IFERROR(ROUND(Y230,8),0)=0), "Group 5: Flaky | Passed (no var CV = 0) AND Failed (no var CV = 0) | Equal Means", IF(AND(IFERROR(ROUND(V230,8),0)&gt;0, IFERROR(ROUND(Y230,8),0)&gt;0), "Group 6: Flaky | Passed (with var CV &gt; 0) AND Failed (with var CV &gt; 0) | Equal Means", IF(AND(IFERROR(ROUND(V230,8),0)=0, IFERROR(ROUND(Y230,8),0)&gt;0),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30" s="29" t="n">
        <v>2.08597</v>
      </c>
      <c r="AB230" s="29" t="n">
        <v>0.070727</v>
      </c>
      <c r="AC230" s="29" t="n">
        <f aca="false">IFERROR(AB230/AA230*100,"N/A")</f>
        <v>3.39060485050121</v>
      </c>
      <c r="AD230" s="29" t="n">
        <v>2.09008</v>
      </c>
      <c r="AE230" s="29" t="n">
        <v>0.065912</v>
      </c>
      <c r="AF230" s="29" t="n">
        <f aca="false">IFERROR(AE230/AD230*100,"N/A")</f>
        <v>3.15356349996172</v>
      </c>
      <c r="AG230" s="36" t="str">
        <f aca="false">IF(AND(Q230&gt;0, R230=0), IF(IFERROR(ROUND(AC230,8),0)=0, "Group 9: Only Passed | Without variation (no var CV = 0)", "Group 10: Only Passed | With variation (with var CV &gt; 0)"), IF(AND(Q230=0, R230&gt;0), IF(IFERROR(ROUND(AF230,8),0)=0, "Group 11: Only Failed | Without variation (no var CV = 0)", "Group 12: Only Failed | With variation (with var CV &gt; 0)"), IF(AND(Q230&gt;0, R230&gt;0), IF(ROUND(AA230,5)&lt;&gt;ROUND(AD230,5), IF(AND(IFERROR(ROUND(AC230,8),0)=0, IFERROR(ROUND(AF230,8),0)=0), "Group 1: Flaky | Passed (no variation: CV = 0) AND Failed (no variation: CV = 0) | Different Means", IF(AND(IFERROR(ROUND(AC230,8),0)&gt;0, IFERROR(ROUND(AF230,8),0)&gt;0), "Group 2: Flaky | Passed (with variation: CV &gt; 0) AND Failed (with variation: CV &gt; 0) | Different Means", IF(AND(IFERROR(ROUND(AC230,8),0)=0, IFERROR(ROUND(AF230,8),0)&gt;0), "Group 3: Flaky | Passed (no variation: CV = 0) AND Failed (with variation: CV &gt; 0) | Different Means", "Group 4: Flaky | Passed (with variation: CV &gt; 0) AND Failed (no variation: CV = 0) | Different Means"))), IF(AND(IFERROR(ROUND(AC230,8),0)=0, IFERROR(ROUND(AF230,8),0)=0), "Group 5: Flaky | Passed (no var CV = 0) AND Failed (no var CV = 0) | Equal Means", IF(AND(IFERROR(ROUND(AC230,8),0)&gt;0, IFERROR(ROUND(AF230,8),0)&gt;0), "Group 6: Flaky | Passed (with var CV &gt; 0) AND Failed (with var CV &gt; 0) | Equal Means", IF(AND(IFERROR(ROUND(AC230,8),0)=0, IFERROR(ROUND(AF230,8),0)&gt;0),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30" s="22" t="n">
        <v>95</v>
      </c>
      <c r="AI230" s="17" t="n">
        <v>5</v>
      </c>
      <c r="AJ230" s="39" t="str">
        <f aca="false">IF(AND(AH230&gt;0, AI230&gt;0), "Observed Flaky Test", "Non-observed Flaky Test")</f>
        <v>Observed Flaky Test</v>
      </c>
      <c r="AK230" s="90" t="n">
        <v>2703</v>
      </c>
      <c r="AL230" s="90" t="n">
        <v>0</v>
      </c>
      <c r="AM230" s="33" t="n">
        <f aca="false">IFERROR(AL230/AK230*100,"N/A")</f>
        <v>0</v>
      </c>
      <c r="AN230" s="90" t="n">
        <v>2703</v>
      </c>
      <c r="AO230" s="90" t="n">
        <v>0</v>
      </c>
      <c r="AP230" s="35" t="n">
        <f aca="false">IFERROR(AO230/AN230*100,"N/A")</f>
        <v>0</v>
      </c>
      <c r="AQ230" s="51" t="str">
        <f aca="false">IF(AND(AH230&gt;0, AI230&gt;0),
    IF(ROUND(N(AK230),5)&lt;&gt;ROUND(N(AN230),5),
        IF(AND(ROUND(N(AL230),8)=0, ROUND(N(AO230),8)=0), "Group 1: Flaky | Passed (no variation: SD = 0) AND Failed (no variation: SD = 0) | Different Means",
        IF(AND(ROUND(N(AL230),8)&gt;0, ROUND(N(AO230),8)&gt;0), "Group 2: Flaky | Passed (with variation: SD &gt; 0) AND Failed (with variation: SD &gt; 0) | Different Means",
        IF(AND(ROUND(N(AL230),8)=0, ROUND(N(AO230),8)&gt;0), "Group 3: Flaky | Passed (no variation: SD = 0) AND Failed (with variation: SD &gt; 0) | Different Means",
        "Group 4: Flaky | Passed (with variation: SD &gt; 0) AND Failed (no variation: SD = 0) | Different Means"))),
        IF(AND(ROUND(N(AL230),8)=0, ROUND(N(AO230),8)=0), "Group 5: Flaky | Passed (no var SD = 0) AND Failed (no var SD = 0) | Equal Means",
        IF(AND(ROUND(N(AL230),8)&gt;0, ROUND(N(AO230),8)&gt;0), "Group 6: Flaky | Passed (with var SD &gt; 0 ) AND Failed (with var SD &gt; 0) | Equal Means",
        IF(AND(ROUND(N(AL230),8)=0, ROUND(N(AO230),8)&gt;0), "Group 7: Flaky | Passed (no var SD = 0) AND Failed (with var SD &gt; 0) | Equal Means",
        "Group 8: Flaky | Passed (with var SD &gt; 0 ) AND Failed (no var SD = 0) | Equal Means")))
    ),
    IF(AH230&gt;0,
        IF(N(AL230)&gt;0, "Group 10: Only Passed | With variation (with var SD &gt; 0)", "Group 9: Only Passed | Without variation (no var SD = 0)"),
        IF(AI230&gt;0,
            IF(N(AO230)&gt;0, "Group 12: Only Failed | With variation (with var SD &gt; 0)", "Group 11: Only Failed | Without variation (no var SD = 0)"),
            "Invalid: No Executions (Y=0, Z=0)"
        )
    )
)</f>
        <v>Group 5: Flaky | Passed (no var SD = 0) AND Failed (no var SD = 0) | Equal Means</v>
      </c>
      <c r="AR230" s="42" t="str">
        <f aca="false">IF(OR(F230="Observed Flaky Test", I230="Observed Flaky Test", S230="Observed Flaky Test", AJ230="Observed Flaky Test"), "Observed Flaky Test", "Non-observed Flaky Test")</f>
        <v>Observed Flaky Test</v>
      </c>
    </row>
    <row r="231" customFormat="false" ht="15.75" hidden="false" customHeight="true" outlineLevel="0" collapsed="false">
      <c r="A231" s="81" t="s">
        <v>534</v>
      </c>
      <c r="B231" s="14" t="s">
        <v>535</v>
      </c>
      <c r="C231" s="14" t="s">
        <v>536</v>
      </c>
      <c r="D231" s="15" t="n">
        <v>98</v>
      </c>
      <c r="E231" s="15" t="n">
        <v>2</v>
      </c>
      <c r="F231" s="61" t="str">
        <f aca="false">IF(AND(D231&gt;0, E231&gt;0), "Observed Flaky Test", "Non-observed Flaky Test")</f>
        <v>Observed Flaky Test</v>
      </c>
      <c r="G231" s="22" t="n">
        <v>99</v>
      </c>
      <c r="H231" s="22" t="n">
        <v>1</v>
      </c>
      <c r="I231" s="61" t="str">
        <f aca="false">IF(AND(G231&gt;0, H231&gt;0), "Observed Flaky Test", "Non-observed Flaky Test")</f>
        <v>Observed Flaky Test</v>
      </c>
      <c r="J231" s="53" t="n">
        <v>57.178687</v>
      </c>
      <c r="K231" s="53" t="n">
        <v>0.524217</v>
      </c>
      <c r="L231" s="19" t="n">
        <f aca="false">IFERROR(K231/J231*100,"N/A")</f>
        <v>0.916804892704164</v>
      </c>
      <c r="M231" s="18" t="n">
        <v>56.94</v>
      </c>
      <c r="N231" s="18" t="n">
        <v>0</v>
      </c>
      <c r="O231" s="20" t="n">
        <f aca="false">IFERROR(N231/M231*100,"N/A")</f>
        <v>0</v>
      </c>
      <c r="P231" s="77" t="str">
        <f aca="false">IF(AND(G231&gt;0, H231=0), IF(ROUND(K231,8)=0, "Group 9: Only Passed | Without variation (SD Passed = 0)", "Group 10: Only Passed | With variation (SD Passed &gt; 0)"), IF(AND(G231=0, H231&gt;0), IF(ROUND(N231,8)=0, "Group 11: Only Failed | Without variation (SD Failed = 0)", "Group 12: Only Failed | With variation (SD Failed &gt; 0)"), IF(AND(G231&gt;0, H231&gt;0), IF(ROUND(J231,5)&lt;&gt;ROUND(M231,5), IF(AND(ROUND(K231,8)=0, ROUND(N231,8)=0), "Group 1: Flaky | Passed (no variation) AND Failed (no variation) | Different Means", IF(AND(ROUND(K231,8)&gt;0, ROUND(N231,8)&gt;0), "Group 2: Flaky | Passed (with variation) AND Failed (with variation) | Different Means", IF(AND(ROUND(K231,8)=0, ROUND(N231,8)&gt;0), "Group 3: Flaky | Passed (no variation) AND Failed (with variation) | Different Means", "Group 4: Flaky | Passed (with variation) AND Failed (no variation) | Different Means"))), IF(AND(ROUND(K231,8)=0, ROUND(N231,8)=0), "Group 5: Flaky | Passed (no variation) AND Failed (no variation) | Equal Means", IF(AND(ROUND(K231,8)&gt;0, ROUND(N231,8)&gt;0), "Group 6: Flaky | Passed (with variation) AND Failed (with variation) | Equal Means", IF(AND(ROUND(K231,8)=0, ROUND(N231,8)&gt;0), "Group 7: Flaky | Passed (no variation) AND Failed (with variation) | Equal Means", "Group 8: Flaky | Passed (with variation) AND Failed (no variation) | Equal Means")))), "Invalid")))</f>
        <v>Group 4: Flaky | Passed (with variation) AND Failed (no variation) | Different Means</v>
      </c>
      <c r="Q231" s="17" t="n">
        <v>99</v>
      </c>
      <c r="R231" s="17" t="n">
        <v>1</v>
      </c>
      <c r="S231" s="43" t="str">
        <f aca="false">IF(AND(Q231&gt;0, R231&gt;0), "Observed Flaky Test", "Non-observed Flaky Test")</f>
        <v>Observed Flaky Test</v>
      </c>
      <c r="T231" s="24" t="n">
        <v>418947.868687</v>
      </c>
      <c r="U231" s="24" t="n">
        <v>737.695801</v>
      </c>
      <c r="V231" s="25" t="n">
        <f aca="false">IFERROR(U231/T231*100,"N/A")</f>
        <v>0.176082958319365</v>
      </c>
      <c r="W231" s="55" t="n">
        <v>541664</v>
      </c>
      <c r="X231" s="22" t="n">
        <v>0</v>
      </c>
      <c r="Y231" s="27" t="n">
        <f aca="false">IFERROR(X231/W231*100,"N/A")</f>
        <v>0</v>
      </c>
      <c r="Z231" s="69" t="str">
        <f aca="false">IF(AND(Q231&gt;0, R231=0), IF(IFERROR(ROUND(V231,8),0)=0, "Group 9: Only Passed | Without variation (no var CV = 0)", "Group 10: Only Passed | With variation (with var CV &gt; 0)"), IF(AND(Q231=0, R231&gt;0), IF(IFERROR(ROUND(Y231,8),0)=0, "Group 11: Only Failed | Without variation (no var CV = 0)", "Group 12: Only Failed | With variation (with var CV &gt; 0)"), IF(AND(Q231&gt;0, R231&gt;0), IF(ROUND(T231,5)&lt;&gt;ROUND(W231,5), IF(AND(IFERROR(ROUND(V231,8),0)=0, IFERROR(ROUND(Y231,8),0)=0), "Group 1: Flaky | Passed (no variation: CV = 0) AND Failed (no variation: CV = 0) | Different Means", IF(AND(IFERROR(ROUND(V231,8),0)&gt;0, IFERROR(ROUND(Y231,8),0)&gt;0), "Group 2: Flaky | Passed (with variation: CV &gt; 0) AND Failed (with variation: CV &gt; 0) | Different Means", IF(AND(IFERROR(ROUND(V231,8),0)=0, IFERROR(ROUND(Y231,8),0)&gt;0), "Group 3: Flaky | Passed (no variation: CV = 0) AND Failed (with variation: CV &gt; 0) | Different Means", "Group 4: Flaky | Passed (with variation: CV &gt; 0) AND Failed (no variation: CV = 0) | Different Means"))), IF(AND(IFERROR(ROUND(V231,8),0)=0, IFERROR(ROUND(Y231,8),0)=0), "Group 5: Flaky | Passed (no var CV = 0) AND Failed (no var CV = 0) | Equal Means", IF(AND(IFERROR(ROUND(V231,8),0)&gt;0, IFERROR(ROUND(Y231,8),0)&gt;0), "Group 6: Flaky | Passed (with var CV &gt; 0) AND Failed (with var CV &gt; 0) | Equal Means", IF(AND(IFERROR(ROUND(V231,8),0)=0, IFERROR(ROUND(Y231,8),0)&gt;0),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A231" s="29" t="n">
        <v>0.335793</v>
      </c>
      <c r="AB231" s="29" t="n">
        <v>0.023179</v>
      </c>
      <c r="AC231" s="29" t="n">
        <f aca="false">IFERROR(AB231/AA231*100,"N/A")</f>
        <v>6.90276450074897</v>
      </c>
      <c r="AD231" s="29" t="n">
        <v>0.358146</v>
      </c>
      <c r="AE231" s="29" t="n">
        <v>0</v>
      </c>
      <c r="AF231" s="29" t="n">
        <f aca="false">IFERROR(AE231/AD231*100,"N/A")</f>
        <v>0</v>
      </c>
      <c r="AG231" s="70" t="str">
        <f aca="false">IF(AND(Q231&gt;0, R231=0), IF(IFERROR(ROUND(AC231,8),0)=0, "Group 9: Only Passed | Without variation (no var CV = 0)", "Group 10: Only Passed | With variation (with var CV &gt; 0)"), IF(AND(Q231=0, R231&gt;0), IF(IFERROR(ROUND(AF231,8),0)=0, "Group 11: Only Failed | Without variation (no var CV = 0)", "Group 12: Only Failed | With variation (with var CV &gt; 0)"), IF(AND(Q231&gt;0, R231&gt;0), IF(ROUND(AA231,5)&lt;&gt;ROUND(AD231,5), IF(AND(IFERROR(ROUND(AC231,8),0)=0, IFERROR(ROUND(AF231,8),0)=0), "Group 1: Flaky | Passed (no variation: CV = 0) AND Failed (no variation: CV = 0) | Different Means", IF(AND(IFERROR(ROUND(AC231,8),0)&gt;0, IFERROR(ROUND(AF231,8),0)&gt;0), "Group 2: Flaky | Passed (with variation: CV &gt; 0) AND Failed (with variation: CV &gt; 0) | Different Means", IF(AND(IFERROR(ROUND(AC231,8),0)=0, IFERROR(ROUND(AF231,8),0)&gt;0), "Group 3: Flaky | Passed (no variation: CV = 0) AND Failed (with variation: CV &gt; 0) | Different Means", "Group 4: Flaky | Passed (with variation: CV &gt; 0) AND Failed (no variation: CV = 0) | Different Means"))), IF(AND(IFERROR(ROUND(AC231,8),0)=0, IFERROR(ROUND(AF231,8),0)=0), "Group 5: Flaky | Passed (no var CV = 0) AND Failed (no var CV = 0) | Equal Means", IF(AND(IFERROR(ROUND(AC231,8),0)&gt;0, IFERROR(ROUND(AF231,8),0)&gt;0), "Group 6: Flaky | Passed (with var CV &gt; 0) AND Failed (with var CV &gt; 0) | Equal Means", IF(AND(IFERROR(ROUND(AC231,8),0)=0, IFERROR(ROUND(AF231,8),0)&gt;0), "Group 7: Flaky | Passed (no var CV = 0) AND Failed (with var CV &gt; 0) | Equal Means", "Group 8: Flaky | Passed (with var CV &gt; 0) AND Failed (no var CV = 0) | Equal Means")))), "Invalid")))</f>
        <v>Group 4: Flaky | Passed (with variation: CV &gt; 0) AND Failed (no variation: CV = 0) | Different Means</v>
      </c>
      <c r="AH231" s="22" t="n">
        <v>97</v>
      </c>
      <c r="AI231" s="17" t="n">
        <v>3</v>
      </c>
      <c r="AJ231" s="39" t="str">
        <f aca="false">IF(AND(AH231&gt;0, AI231&gt;0), "Observed Flaky Test", "Non-observed Flaky Test")</f>
        <v>Observed Flaky Test</v>
      </c>
      <c r="AK231" s="93" t="n">
        <v>140236.525773195</v>
      </c>
      <c r="AL231" s="20" t="n">
        <v>28631.6434507248</v>
      </c>
      <c r="AM231" s="33" t="n">
        <f aca="false">IFERROR(AL231/AK231*100,"N/A")</f>
        <v>20.4166805280322</v>
      </c>
      <c r="AN231" s="93" t="n">
        <v>155792.333333333</v>
      </c>
      <c r="AO231" s="20" t="n">
        <v>59264.3342351311</v>
      </c>
      <c r="AP231" s="35" t="n">
        <f aca="false">IFERROR(AO231/AN231*100,"N/A")</f>
        <v>38.0405973561801</v>
      </c>
      <c r="AQ231" s="63" t="str">
        <f aca="false">IF(AND(AH231&gt;0, AI231&gt;0),
    IF(ROUND(N(AK231),5)&lt;&gt;ROUND(N(AN231),5),
        IF(AND(ROUND(N(AL231),8)=0, ROUND(N(AO231),8)=0), "Group 1: Flaky | Passed (no variation: SD = 0) AND Failed (no variation: SD = 0) | Different Means",
        IF(AND(ROUND(N(AL231),8)&gt;0, ROUND(N(AO231),8)&gt;0), "Group 2: Flaky | Passed (with variation: SD &gt; 0) AND Failed (with variation: SD &gt; 0) | Different Means",
        IF(AND(ROUND(N(AL231),8)=0, ROUND(N(AO231),8)&gt;0), "Group 3: Flaky | Passed (no variation: SD = 0) AND Failed (with variation: SD &gt; 0) | Different Means",
        "Group 4: Flaky | Passed (with variation: SD &gt; 0) AND Failed (no variation: SD = 0) | Different Means"))),
        IF(AND(ROUND(N(AL231),8)=0, ROUND(N(AO231),8)=0), "Group 5: Flaky | Passed (no var SD = 0) AND Failed (no var SD = 0) | Equal Means",
        IF(AND(ROUND(N(AL231),8)&gt;0, ROUND(N(AO231),8)&gt;0), "Group 6: Flaky | Passed (with var SD &gt; 0 ) AND Failed (with var SD &gt; 0) | Equal Means",
        IF(AND(ROUND(N(AL231),8)=0, ROUND(N(AO231),8)&gt;0), "Group 7: Flaky | Passed (no var SD = 0) AND Failed (with var SD &gt; 0) | Equal Means",
        "Group 8: Flaky | Passed (with var SD &gt; 0 ) AND Failed (no var SD = 0) | Equal Means")))
    ),
    IF(AH231&gt;0,
        IF(N(AL231)&gt;0, "Group 10: Only Passed | With variation (with var SD &gt; 0)", "Group 9: Only Passed | Without variation (no var SD = 0)"),
        IF(AI231&gt;0,
            IF(N(AO231)&gt;0,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231" s="42" t="str">
        <f aca="false">IF(OR(F231="Observed Flaky Test", I231="Observed Flaky Test", S231="Observed Flaky Test", AJ231="Observed Flaky Test"), "Observed Flaky Test", "Non-observed Flaky Test")</f>
        <v>Observed Flaky Test</v>
      </c>
    </row>
    <row r="232" customFormat="false" ht="15.75" hidden="false" customHeight="true" outlineLevel="0" collapsed="false">
      <c r="A232" s="81" t="s">
        <v>537</v>
      </c>
      <c r="B232" s="14" t="s">
        <v>538</v>
      </c>
      <c r="C232" s="14" t="s">
        <v>539</v>
      </c>
      <c r="D232" s="15" t="n">
        <v>0</v>
      </c>
      <c r="E232" s="15" t="n">
        <v>100</v>
      </c>
      <c r="F232" s="16" t="str">
        <f aca="false">IF(AND(D232&gt;0, E232&gt;0), "Observed Flaky Test", "Non-observed Flaky Test")</f>
        <v>Non-observed Flaky Test</v>
      </c>
      <c r="G232" s="22" t="n">
        <v>0</v>
      </c>
      <c r="H232" s="22" t="n">
        <v>100</v>
      </c>
      <c r="I232" s="16" t="str">
        <f aca="false">IF(AND(G232&gt;0, H232&gt;0), "Observed Flaky Test", "Non-observed Flaky Test")</f>
        <v>Non-observed Flaky Test</v>
      </c>
      <c r="J232" s="18" t="n">
        <v>0</v>
      </c>
      <c r="K232" s="18" t="n">
        <v>0</v>
      </c>
      <c r="L232" s="19" t="str">
        <f aca="false">IFERROR(K232/J232*100,"N/A")</f>
        <v>N/A</v>
      </c>
      <c r="M232" s="18" t="n">
        <v>0.01</v>
      </c>
      <c r="N232" s="18" t="n">
        <v>0</v>
      </c>
      <c r="O232" s="20" t="n">
        <f aca="false">IFERROR(N232/M232*100,"N/A")</f>
        <v>0</v>
      </c>
      <c r="P232" s="21" t="str">
        <f aca="false">IF(AND(G232&gt;0, H232=0), IF(ROUND(K232,8)=0, "Group 9: Only Passed | Without variation (SD Passed = 0)", "Group 10: Only Passed | With variation (SD Passed &gt; 0)"), IF(AND(G232=0, H232&gt;0), IF(ROUND(N232,8)=0, "Group 11: Only Failed | Without variation (SD Failed = 0)", "Group 12: Only Failed | With variation (SD Failed &gt; 0)"), IF(AND(G232&gt;0, H232&gt;0), IF(ROUND(J232,5)&lt;&gt;ROUND(M232,5), IF(AND(ROUND(K232,8)=0, ROUND(N232,8)=0), "Group 1: Flaky | Passed (no variation) AND Failed (no variation) | Different Means", IF(AND(ROUND(K232,8)&gt;0, ROUND(N232,8)&gt;0), "Group 2: Flaky | Passed (with variation) AND Failed (with variation) | Different Means", IF(AND(ROUND(K232,8)=0, ROUND(N232,8)&gt;0), "Group 3: Flaky | Passed (no variation) AND Failed (with variation) | Different Means", "Group 4: Flaky | Passed (with variation) AND Failed (no variation) | Different Means"))), IF(AND(ROUND(K232,8)=0, ROUND(N232,8)=0), "Group 5: Flaky | Passed (no variation) AND Failed (no variation) | Equal Means", IF(AND(ROUND(K232,8)&gt;0, ROUND(N232,8)&gt;0), "Group 6: Flaky | Passed (with variation) AND Failed (with variation) | Equal Means", IF(AND(ROUND(K232,8)=0, ROUND(N232,8)&gt;0),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32" s="17" t="n">
        <v>100</v>
      </c>
      <c r="R232" s="17" t="n">
        <v>0</v>
      </c>
      <c r="S232" s="23" t="str">
        <f aca="false">IF(AND(Q232&gt;0, R232&gt;0), "Observed Flaky Test", "Non-observed Flaky Test")</f>
        <v>Non-observed Flaky Test</v>
      </c>
      <c r="T232" s="22" t="n">
        <v>1233215.64</v>
      </c>
      <c r="U232" s="24" t="n">
        <v>32.801983</v>
      </c>
      <c r="V232" s="25" t="n">
        <f aca="false">IFERROR(U232/T232*100,"N/A")</f>
        <v>0.00265987406711773</v>
      </c>
      <c r="W232" s="22" t="n">
        <v>0</v>
      </c>
      <c r="X232" s="22" t="n">
        <v>0</v>
      </c>
      <c r="Y232" s="27" t="str">
        <f aca="false">IFERROR(X232/W232*100,"N/A")</f>
        <v>N/A</v>
      </c>
      <c r="Z232" s="50" t="str">
        <f aca="false">IF(AND(Q232&gt;0, R232=0), IF(IFERROR(ROUND(V232,8),0)=0, "Group 9: Only Passed | Without variation (no var CV = 0)", "Group 10: Only Passed | With variation (with var CV &gt; 0)"), IF(AND(Q232=0, R232&gt;0), IF(IFERROR(ROUND(Y232,8),0)=0, "Group 11: Only Failed | Without variation (no var CV = 0)", "Group 12: Only Failed | With variation (with var CV &gt; 0)"), IF(AND(Q232&gt;0, R232&gt;0), IF(ROUND(T232,5)&lt;&gt;ROUND(W232,5), IF(AND(IFERROR(ROUND(V232,8),0)=0, IFERROR(ROUND(Y232,8),0)=0), "Group 1: Flaky | Passed (no variation: CV = 0) AND Failed (no variation: CV = 0) | Different Means", IF(AND(IFERROR(ROUND(V232,8),0)&gt;0, IFERROR(ROUND(Y232,8),0)&gt;0), "Group 2: Flaky | Passed (with variation: CV &gt; 0) AND Failed (with variation: CV &gt; 0) | Different Means", IF(AND(IFERROR(ROUND(V232,8),0)=0, IFERROR(ROUND(Y232,8),0)&gt;0), "Group 3: Flaky | Passed (no variation: CV = 0) AND Failed (with variation: CV &gt; 0) | Different Means", "Group 4: Flaky | Passed (with variation: CV &gt; 0) AND Failed (no variation: CV = 0) | Different Means"))), IF(AND(IFERROR(ROUND(V232,8),0)=0, IFERROR(ROUND(Y232,8),0)=0), "Group 5: Flaky | Passed (no var CV = 0) AND Failed (no var CV = 0) | Equal Means", IF(AND(IFERROR(ROUND(V232,8),0)&gt;0, IFERROR(ROUND(Y232,8),0)&gt;0), "Group 6: Flaky | Passed (with var CV &gt; 0) AND Failed (with var CV &gt; 0) | Equal Means", IF(AND(IFERROR(ROUND(V232,8),0)=0, IFERROR(ROUND(Y232,8),0)&gt;0),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2" s="29" t="n">
        <v>1.336821</v>
      </c>
      <c r="AB232" s="29" t="n">
        <v>0.12148</v>
      </c>
      <c r="AC232" s="29" t="n">
        <f aca="false">IFERROR(AB232/AA232*100,"N/A")</f>
        <v>9.08723007792367</v>
      </c>
      <c r="AD232" s="29" t="n">
        <v>0</v>
      </c>
      <c r="AE232" s="29" t="n">
        <v>0</v>
      </c>
      <c r="AF232" s="29" t="str">
        <f aca="false">IFERROR(AE232/AD232*100,"N/A")</f>
        <v>N/A</v>
      </c>
      <c r="AG232" s="51" t="str">
        <f aca="false">IF(AND(Q232&gt;0, R232=0), IF(IFERROR(ROUND(AC232,8),0)=0, "Group 9: Only Passed | Without variation (no var CV = 0)", "Group 10: Only Passed | With variation (with var CV &gt; 0)"), IF(AND(Q232=0, R232&gt;0), IF(IFERROR(ROUND(AF232,8),0)=0, "Group 11: Only Failed | Without variation (no var CV = 0)", "Group 12: Only Failed | With variation (with var CV &gt; 0)"), IF(AND(Q232&gt;0, R232&gt;0), IF(ROUND(AA232,5)&lt;&gt;ROUND(AD232,5), IF(AND(IFERROR(ROUND(AC232,8),0)=0, IFERROR(ROUND(AF232,8),0)=0), "Group 1: Flaky | Passed (no variation: CV = 0) AND Failed (no variation: CV = 0) | Different Means", IF(AND(IFERROR(ROUND(AC232,8),0)&gt;0, IFERROR(ROUND(AF232,8),0)&gt;0), "Group 2: Flaky | Passed (with variation: CV &gt; 0) AND Failed (with variation: CV &gt; 0) | Different Means", IF(AND(IFERROR(ROUND(AC232,8),0)=0, IFERROR(ROUND(AF232,8),0)&gt;0), "Group 3: Flaky | Passed (no variation: CV = 0) AND Failed (with variation: CV &gt; 0) | Different Means", "Group 4: Flaky | Passed (with variation: CV &gt; 0) AND Failed (no variation: CV = 0) | Different Means"))), IF(AND(IFERROR(ROUND(AC232,8),0)=0, IFERROR(ROUND(AF232,8),0)=0), "Group 5: Flaky | Passed (no var CV = 0) AND Failed (no var CV = 0) | Equal Means", IF(AND(IFERROR(ROUND(AC232,8),0)&gt;0, IFERROR(ROUND(AF232,8),0)&gt;0), "Group 6: Flaky | Passed (with var CV &gt; 0) AND Failed (with var CV &gt; 0) | Equal Means", IF(AND(IFERROR(ROUND(AC232,8),0)=0, IFERROR(ROUND(AF232,8),0)&gt;0),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2" s="22" t="n">
        <v>99</v>
      </c>
      <c r="AI232" s="17" t="n">
        <v>1</v>
      </c>
      <c r="AJ232" s="39" t="str">
        <f aca="false">IF(AND(AH232&gt;0, AI232&gt;0), "Observed Flaky Test", "Non-observed Flaky Test")</f>
        <v>Observed Flaky Test</v>
      </c>
      <c r="AK232" s="90" t="n">
        <v>1527</v>
      </c>
      <c r="AL232" s="90" t="n">
        <v>0</v>
      </c>
      <c r="AM232" s="33" t="n">
        <f aca="false">IFERROR(AL232/AK232*100,"N/A")</f>
        <v>0</v>
      </c>
      <c r="AN232" s="90" t="n">
        <v>1237</v>
      </c>
      <c r="AO232" s="90" t="n">
        <v>0</v>
      </c>
      <c r="AP232" s="35" t="n">
        <f aca="false">IFERROR(AO232/AN232*100,"N/A")</f>
        <v>0</v>
      </c>
      <c r="AQ232" s="85" t="str">
        <f aca="false">IF(AND(AH232&gt;0, AI232&gt;0),
    IF(ROUND(N(AK232),5)&lt;&gt;ROUND(N(AN232),5),
        IF(AND(ROUND(N(AL232),8)=0, ROUND(N(AO232),8)=0), "Group 1: Flaky | Passed (no variation: SD = 0) AND Failed (no variation: SD = 0) | Different Means",
        IF(AND(ROUND(N(AL232),8)&gt;0, ROUND(N(AO232),8)&gt;0), "Group 2: Flaky | Passed (with variation: SD &gt; 0) AND Failed (with variation: SD &gt; 0) | Different Means",
        IF(AND(ROUND(N(AL232),8)=0, ROUND(N(AO232),8)&gt;0), "Group 3: Flaky | Passed (no variation: SD = 0) AND Failed (with variation: SD &gt; 0) | Different Means",
        "Group 4: Flaky | Passed (with variation: SD &gt; 0) AND Failed (no variation: SD = 0) | Different Means"))),
        IF(AND(ROUND(N(AL232),8)=0, ROUND(N(AO232),8)=0), "Group 5: Flaky | Passed (no var SD = 0) AND Failed (no var SD = 0) | Equal Means",
        IF(AND(ROUND(N(AL232),8)&gt;0, ROUND(N(AO232),8)&gt;0), "Group 6: Flaky | Passed (with var SD &gt; 0 ) AND Failed (with var SD &gt; 0) | Equal Means",
        IF(AND(ROUND(N(AL232),8)=0, ROUND(N(AO232),8)&gt;0), "Group 7: Flaky | Passed (no var SD = 0) AND Failed (with var SD &gt; 0) | Equal Means",
        "Group 8: Flaky | Passed (with var SD &gt; 0 ) AND Failed (no var SD = 0) | Equal Means")))
    ),
    IF(AH232&gt;0,
        IF(N(AL232)&gt;0, "Group 10: Only Passed | With variation (with var SD &gt; 0)", "Group 9: Only Passed | Without variation (no var SD = 0)"),
        IF(AI232&gt;0,
            IF(N(AO232)&gt;0, "Group 12: Only Failed | With variation (with var SD &gt; 0)", "Group 11: Only Failed | Without variation (no var SD = 0)"),
            "Invalid: No Executions (Y=0, Z=0)"
        )
    )
)</f>
        <v>Group 1: Flaky | Passed (no variation: SD = 0) AND Failed (no variation: SD = 0) | Different Means</v>
      </c>
      <c r="AR232" s="42" t="str">
        <f aca="false">IF(OR(F232="Observed Flaky Test", I232="Observed Flaky Test", S232="Observed Flaky Test", AJ232="Observed Flaky Test"), "Observed Flaky Test", "Non-observed Flaky Test")</f>
        <v>Observed Flaky Test</v>
      </c>
    </row>
    <row r="233" customFormat="false" ht="15.75" hidden="false" customHeight="true" outlineLevel="0" collapsed="false">
      <c r="A233" s="81" t="s">
        <v>540</v>
      </c>
      <c r="B233" s="14" t="s">
        <v>541</v>
      </c>
      <c r="C233" s="14" t="s">
        <v>542</v>
      </c>
      <c r="D233" s="15" t="n">
        <v>0</v>
      </c>
      <c r="E233" s="15" t="n">
        <v>100</v>
      </c>
      <c r="F233" s="16" t="str">
        <f aca="false">IF(AND(D233&gt;0, E233&gt;0), "Observed Flaky Test", "Non-observed Flaky Test")</f>
        <v>Non-observed Flaky Test</v>
      </c>
      <c r="G233" s="22" t="n">
        <v>0</v>
      </c>
      <c r="H233" s="22" t="n">
        <v>100</v>
      </c>
      <c r="I233" s="16" t="str">
        <f aca="false">IF(AND(G233&gt;0, H233&gt;0), "Observed Flaky Test", "Non-observed Flaky Test")</f>
        <v>Non-observed Flaky Test</v>
      </c>
      <c r="J233" s="18" t="n">
        <v>0</v>
      </c>
      <c r="K233" s="18" t="n">
        <v>0</v>
      </c>
      <c r="L233" s="19" t="str">
        <f aca="false">IFERROR(K233/J233*100,"N/A")</f>
        <v>N/A</v>
      </c>
      <c r="M233" s="18" t="n">
        <v>0.01</v>
      </c>
      <c r="N233" s="18" t="n">
        <v>0</v>
      </c>
      <c r="O233" s="20" t="n">
        <f aca="false">IFERROR(N233/M233*100,"N/A")</f>
        <v>0</v>
      </c>
      <c r="P233" s="21" t="str">
        <f aca="false">IF(AND(G233&gt;0, H233=0), IF(ROUND(K233,8)=0, "Group 9: Only Passed | Without variation (SD Passed = 0)", "Group 10: Only Passed | With variation (SD Passed &gt; 0)"), IF(AND(G233=0, H233&gt;0), IF(ROUND(N233,8)=0, "Group 11: Only Failed | Without variation (SD Failed = 0)", "Group 12: Only Failed | With variation (SD Failed &gt; 0)"), IF(AND(G233&gt;0, H233&gt;0), IF(ROUND(J233,5)&lt;&gt;ROUND(M233,5), IF(AND(ROUND(K233,8)=0, ROUND(N233,8)=0), "Group 1: Flaky | Passed (no variation) AND Failed (no variation) | Different Means", IF(AND(ROUND(K233,8)&gt;0, ROUND(N233,8)&gt;0), "Group 2: Flaky | Passed (with variation) AND Failed (with variation) | Different Means", IF(AND(ROUND(K233,8)=0, ROUND(N233,8)&gt;0), "Group 3: Flaky | Passed (no variation) AND Failed (with variation) | Different Means", "Group 4: Flaky | Passed (with variation) AND Failed (no variation) | Different Means"))), IF(AND(ROUND(K233,8)=0, ROUND(N233,8)=0), "Group 5: Flaky | Passed (no variation) AND Failed (no variation) | Equal Means", IF(AND(ROUND(K233,8)&gt;0, ROUND(N233,8)&gt;0), "Group 6: Flaky | Passed (with variation) AND Failed (with variation) | Equal Means", IF(AND(ROUND(K233,8)=0, ROUND(N233,8)&gt;0),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33" s="17" t="n">
        <v>92</v>
      </c>
      <c r="R233" s="17" t="n">
        <v>8</v>
      </c>
      <c r="S233" s="43" t="str">
        <f aca="false">IF(AND(Q233&gt;0, R233&gt;0), "Observed Flaky Test", "Non-observed Flaky Test")</f>
        <v>Observed Flaky Test</v>
      </c>
      <c r="T233" s="24" t="n">
        <v>2683113.793478</v>
      </c>
      <c r="U233" s="24" t="n">
        <v>809.034678</v>
      </c>
      <c r="V233" s="25" t="n">
        <f aca="false">IFERROR(U233/T233*100,"N/A")</f>
        <v>0.0301528276574243</v>
      </c>
      <c r="W233" s="24" t="n">
        <v>2684195.25</v>
      </c>
      <c r="X233" s="24" t="n">
        <v>1018.444577</v>
      </c>
      <c r="Y233" s="27" t="n">
        <f aca="false">IFERROR(X233/W233*100,"N/A")</f>
        <v>0.0379422688047749</v>
      </c>
      <c r="Z233" s="68" t="str">
        <f aca="false">IF(AND(Q233&gt;0, R233=0), IF(IFERROR(ROUND(V233,8),0)=0, "Group 9: Only Passed | Without variation (no var CV = 0)", "Group 10: Only Passed | With variation (with var CV &gt; 0)"), IF(AND(Q233=0, R233&gt;0), IF(IFERROR(ROUND(Y233,8),0)=0, "Group 11: Only Failed | Without variation (no var CV = 0)", "Group 12: Only Failed | With variation (with var CV &gt; 0)"), IF(AND(Q233&gt;0, R233&gt;0), IF(ROUND(T233,5)&lt;&gt;ROUND(W233,5), IF(AND(IFERROR(ROUND(V233,8),0)=0, IFERROR(ROUND(Y233,8),0)=0), "Group 1: Flaky | Passed (no variation: CV = 0) AND Failed (no variation: CV = 0) | Different Means", IF(AND(IFERROR(ROUND(V233,8),0)&gt;0, IFERROR(ROUND(Y233,8),0)&gt;0), "Group 2: Flaky | Passed (with variation: CV &gt; 0) AND Failed (with variation: CV &gt; 0) | Different Means", IF(AND(IFERROR(ROUND(V233,8),0)=0, IFERROR(ROUND(Y233,8),0)&gt;0), "Group 3: Flaky | Passed (no variation: CV = 0) AND Failed (with variation: CV &gt; 0) | Different Means", "Group 4: Flaky | Passed (with variation: CV &gt; 0) AND Failed (no variation: CV = 0) | Different Means"))), IF(AND(IFERROR(ROUND(V233,8),0)=0, IFERROR(ROUND(Y233,8),0)=0), "Group 5: Flaky | Passed (no var CV = 0) AND Failed (no var CV = 0) | Equal Means", IF(AND(IFERROR(ROUND(V233,8),0)&gt;0, IFERROR(ROUND(Y233,8),0)&gt;0), "Group 6: Flaky | Passed (with var CV &gt; 0) AND Failed (with var CV &gt; 0) | Equal Means", IF(AND(IFERROR(ROUND(V233,8),0)=0, IFERROR(ROUND(Y233,8),0)&gt;0),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33" s="29" t="n">
        <v>2.623274</v>
      </c>
      <c r="AB233" s="29" t="n">
        <v>0.189119</v>
      </c>
      <c r="AC233" s="29" t="n">
        <f aca="false">IFERROR(AB233/AA233*100,"N/A")</f>
        <v>7.20927360237627</v>
      </c>
      <c r="AD233" s="29" t="n">
        <v>2.581168</v>
      </c>
      <c r="AE233" s="29" t="n">
        <v>0.097744</v>
      </c>
      <c r="AF233" s="29" t="n">
        <f aca="false">IFERROR(AE233/AD233*100,"N/A")</f>
        <v>3.7868127917284</v>
      </c>
      <c r="AG233" s="36" t="str">
        <f aca="false">IF(AND(Q233&gt;0, R233=0), IF(IFERROR(ROUND(AC233,8),0)=0, "Group 9: Only Passed | Without variation (no var CV = 0)", "Group 10: Only Passed | With variation (with var CV &gt; 0)"), IF(AND(Q233=0, R233&gt;0), IF(IFERROR(ROUND(AF233,8),0)=0, "Group 11: Only Failed | Without variation (no var CV = 0)", "Group 12: Only Failed | With variation (with var CV &gt; 0)"), IF(AND(Q233&gt;0, R233&gt;0), IF(ROUND(AA233,5)&lt;&gt;ROUND(AD233,5), IF(AND(IFERROR(ROUND(AC233,8),0)=0, IFERROR(ROUND(AF233,8),0)=0), "Group 1: Flaky | Passed (no variation: CV = 0) AND Failed (no variation: CV = 0) | Different Means", IF(AND(IFERROR(ROUND(AC233,8),0)&gt;0, IFERROR(ROUND(AF233,8),0)&gt;0), "Group 2: Flaky | Passed (with variation: CV &gt; 0) AND Failed (with variation: CV &gt; 0) | Different Means", IF(AND(IFERROR(ROUND(AC233,8),0)=0, IFERROR(ROUND(AF233,8),0)&gt;0), "Group 3: Flaky | Passed (no variation: CV = 0) AND Failed (with variation: CV &gt; 0) | Different Means", "Group 4: Flaky | Passed (with variation: CV &gt; 0) AND Failed (no variation: CV = 0) | Different Means"))), IF(AND(IFERROR(ROUND(AC233,8),0)=0, IFERROR(ROUND(AF233,8),0)=0), "Group 5: Flaky | Passed (no var CV = 0) AND Failed (no var CV = 0) | Equal Means", IF(AND(IFERROR(ROUND(AC233,8),0)&gt;0, IFERROR(ROUND(AF233,8),0)&gt;0), "Group 6: Flaky | Passed (with var CV &gt; 0) AND Failed (with var CV &gt; 0) | Equal Means", IF(AND(IFERROR(ROUND(AC233,8),0)=0, IFERROR(ROUND(AF233,8),0)&gt;0),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33" s="22" t="n">
        <v>92</v>
      </c>
      <c r="AI233" s="17" t="n">
        <v>8</v>
      </c>
      <c r="AJ233" s="39" t="str">
        <f aca="false">IF(AND(AH233&gt;0, AI233&gt;0), "Observed Flaky Test", "Non-observed Flaky Test")</f>
        <v>Observed Flaky Test</v>
      </c>
      <c r="AK233" s="90" t="n">
        <v>833117</v>
      </c>
      <c r="AL233" s="90" t="n">
        <v>0</v>
      </c>
      <c r="AM233" s="33" t="n">
        <f aca="false">IFERROR(AL233/AK233*100,"N/A")</f>
        <v>0</v>
      </c>
      <c r="AN233" s="90" t="n">
        <v>829883875</v>
      </c>
      <c r="AO233" s="100" t="n">
        <v>1439.54808757073</v>
      </c>
      <c r="AP233" s="35" t="n">
        <f aca="false">IFERROR(AO233/AN233*100,"N/A")</f>
        <v>0.000173463797880243</v>
      </c>
      <c r="AQ233" s="41" t="str">
        <f aca="false">IF(AND(AH233&gt;0, AI233&gt;0),
    IF(ROUND(N(AK233),5)&lt;&gt;ROUND(N(AN233),5),
        IF(AND(ROUND(N(AL233),8)=0, ROUND(N(AO233),8)=0), "Group 1: Flaky | Passed (no variation: SD = 0) AND Failed (no variation: SD = 0) | Different Means",
        IF(AND(ROUND(N(AL233),8)&gt;0, ROUND(N(AO233),8)&gt;0), "Group 2: Flaky | Passed (with variation: SD &gt; 0) AND Failed (with variation: SD &gt; 0) | Different Means",
        IF(AND(ROUND(N(AL233),8)=0, ROUND(N(AO233),8)&gt;0), "Group 3: Flaky | Passed (no variation: SD = 0) AND Failed (with variation: SD &gt; 0) | Different Means",
        "Group 4: Flaky | Passed (with variation: SD &gt; 0) AND Failed (no variation: SD = 0) | Different Means"))),
        IF(AND(ROUND(N(AL233),8)=0, ROUND(N(AO233),8)=0), "Group 5: Flaky | Passed (no var SD = 0) AND Failed (no var SD = 0) | Equal Means",
        IF(AND(ROUND(N(AL233),8)&gt;0, ROUND(N(AO233),8)&gt;0), "Group 6: Flaky | Passed (with var SD &gt; 0 ) AND Failed (with var SD &gt; 0) | Equal Means",
        IF(AND(ROUND(N(AL233),8)=0, ROUND(N(AO233),8)&gt;0), "Group 7: Flaky | Passed (no var SD = 0) AND Failed (with var SD &gt; 0) | Equal Means",
        "Group 8: Flaky | Passed (with var SD &gt; 0 ) AND Failed (no var SD = 0) | Equal Means")))
    ),
    IF(AH233&gt;0,
        IF(N(AL233)&gt;0, "Group 10: Only Passed | With variation (with var SD &gt; 0)", "Group 9: Only Passed | Without variation (no var SD = 0)"),
        IF(AI233&gt;0,
            IF(N(AO233)&gt;0, "Group 12: Only Failed | With variation (with var SD &gt; 0)", "Group 11: Only Failed | Without variation (no var SD = 0)"),
            "Invalid: No Executions (Y=0, Z=0)"
        )
    )
)</f>
        <v>Group 3: Flaky | Passed (no variation: SD = 0) AND Failed (with variation: SD &gt; 0) | Different Means</v>
      </c>
      <c r="AR233" s="42" t="str">
        <f aca="false">IF(OR(F233="Observed Flaky Test", I233="Observed Flaky Test", S233="Observed Flaky Test", AJ233="Observed Flaky Test"), "Observed Flaky Test", "Non-observed Flaky Test")</f>
        <v>Observed Flaky Test</v>
      </c>
    </row>
    <row r="234" customFormat="false" ht="15.75" hidden="false" customHeight="true" outlineLevel="0" collapsed="false">
      <c r="A234" s="81" t="s">
        <v>543</v>
      </c>
      <c r="B234" s="14" t="s">
        <v>544</v>
      </c>
      <c r="C234" s="14" t="s">
        <v>545</v>
      </c>
      <c r="D234" s="15" t="n">
        <v>98</v>
      </c>
      <c r="E234" s="15" t="n">
        <v>2</v>
      </c>
      <c r="F234" s="61" t="str">
        <f aca="false">IF(AND(D234&gt;0, E234&gt;0), "Observed Flaky Test", "Non-observed Flaky Test")</f>
        <v>Observed Flaky Test</v>
      </c>
      <c r="G234" s="22" t="n">
        <v>99</v>
      </c>
      <c r="H234" s="22" t="n">
        <v>1</v>
      </c>
      <c r="I234" s="61" t="str">
        <f aca="false">IF(AND(G234&gt;0, H234&gt;0), "Observed Flaky Test", "Non-observed Flaky Test")</f>
        <v>Observed Flaky Test</v>
      </c>
      <c r="J234" s="18" t="n">
        <v>50.33</v>
      </c>
      <c r="K234" s="18" t="n">
        <v>0</v>
      </c>
      <c r="L234" s="19" t="n">
        <f aca="false">IFERROR(K234/J234*100,"N/A")</f>
        <v>0</v>
      </c>
      <c r="M234" s="18" t="n">
        <v>49.67</v>
      </c>
      <c r="N234" s="18" t="n">
        <v>0</v>
      </c>
      <c r="O234" s="20" t="n">
        <f aca="false">IFERROR(N234/M234*100,"N/A")</f>
        <v>0</v>
      </c>
      <c r="P234" s="78" t="str">
        <f aca="false">IF(AND(G234&gt;0, H234=0), IF(ROUND(K234,8)=0, "Group 9: Only Passed | Without variation (SD Passed = 0)", "Group 10: Only Passed | With variation (SD Passed &gt; 0)"), IF(AND(G234=0, H234&gt;0), IF(ROUND(N234,8)=0, "Group 11: Only Failed | Without variation (SD Failed = 0)", "Group 12: Only Failed | With variation (SD Failed &gt; 0)"), IF(AND(G234&gt;0, H234&gt;0), IF(ROUND(J234,5)&lt;&gt;ROUND(M234,5), IF(AND(ROUND(K234,8)=0, ROUND(N234,8)=0), "Group 1: Flaky | Passed (no variation) AND Failed (no variation) | Different Means", IF(AND(ROUND(K234,8)&gt;0, ROUND(N234,8)&gt;0), "Group 2: Flaky | Passed (with variation) AND Failed (with variation) | Different Means", IF(AND(ROUND(K234,8)=0, ROUND(N234,8)&gt;0), "Group 3: Flaky | Passed (no variation) AND Failed (with variation) | Different Means", "Group 4: Flaky | Passed (with variation) AND Failed (no variation) | Different Means"))), IF(AND(ROUND(K234,8)=0, ROUND(N234,8)=0), "Group 5: Flaky | Passed (no variation) AND Failed (no variation) | Equal Means", IF(AND(ROUND(K234,8)&gt;0, ROUND(N234,8)&gt;0), "Group 6: Flaky | Passed (with variation) AND Failed (with variation) | Equal Means", IF(AND(ROUND(K234,8)=0, ROUND(N234,8)&gt;0), "Group 7: Flaky | Passed (no variation) AND Failed (with variation) | Equal Means", "Group 8: Flaky | Passed (with variation) AND Failed (no variation) | Equal Means")))), "Invalid")))</f>
        <v>Group 1: Flaky | Passed (no variation) AND Failed (no variation) | Different Means</v>
      </c>
      <c r="Q234" s="17" t="n">
        <v>100</v>
      </c>
      <c r="R234" s="17" t="n">
        <v>0</v>
      </c>
      <c r="S234" s="23" t="str">
        <f aca="false">IF(AND(Q234&gt;0, R234&gt;0), "Observed Flaky Test", "Non-observed Flaky Test")</f>
        <v>Non-observed Flaky Test</v>
      </c>
      <c r="T234" s="55" t="n">
        <v>367213.8</v>
      </c>
      <c r="U234" s="24" t="n">
        <v>33.950052</v>
      </c>
      <c r="V234" s="25" t="n">
        <f aca="false">IFERROR(U234/T234*100,"N/A")</f>
        <v>0.00924530940830655</v>
      </c>
      <c r="W234" s="22" t="n">
        <v>0</v>
      </c>
      <c r="X234" s="22" t="n">
        <v>0</v>
      </c>
      <c r="Y234" s="27" t="str">
        <f aca="false">IFERROR(X234/W234*100,"N/A")</f>
        <v>N/A</v>
      </c>
      <c r="Z234" s="50" t="str">
        <f aca="false">IF(AND(Q234&gt;0, R234=0), IF(IFERROR(ROUND(V234,8),0)=0, "Group 9: Only Passed | Without variation (no var CV = 0)", "Group 10: Only Passed | With variation (with var CV &gt; 0)"), IF(AND(Q234=0, R234&gt;0), IF(IFERROR(ROUND(Y234,8),0)=0, "Group 11: Only Failed | Without variation (no var CV = 0)", "Group 12: Only Failed | With variation (with var CV &gt; 0)"), IF(AND(Q234&gt;0, R234&gt;0), IF(ROUND(T234,5)&lt;&gt;ROUND(W234,5), IF(AND(IFERROR(ROUND(V234,8),0)=0, IFERROR(ROUND(Y234,8),0)=0), "Group 1: Flaky | Passed (no variation: CV = 0) AND Failed (no variation: CV = 0) | Different Means", IF(AND(IFERROR(ROUND(V234,8),0)&gt;0, IFERROR(ROUND(Y234,8),0)&gt;0), "Group 2: Flaky | Passed (with variation: CV &gt; 0) AND Failed (with variation: CV &gt; 0) | Different Means", IF(AND(IFERROR(ROUND(V234,8),0)=0, IFERROR(ROUND(Y234,8),0)&gt;0), "Group 3: Flaky | Passed (no variation: CV = 0) AND Failed (with variation: CV &gt; 0) | Different Means", "Group 4: Flaky | Passed (with variation: CV &gt; 0) AND Failed (no variation: CV = 0) | Different Means"))), IF(AND(IFERROR(ROUND(V234,8),0)=0, IFERROR(ROUND(Y234,8),0)=0), "Group 5: Flaky | Passed (no var CV = 0) AND Failed (no var CV = 0) | Equal Means", IF(AND(IFERROR(ROUND(V234,8),0)&gt;0, IFERROR(ROUND(Y234,8),0)&gt;0), "Group 6: Flaky | Passed (with var CV &gt; 0) AND Failed (with var CV &gt; 0) | Equal Means", IF(AND(IFERROR(ROUND(V234,8),0)=0, IFERROR(ROUND(Y234,8),0)&gt;0),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4" s="29" t="n">
        <v>0.226338</v>
      </c>
      <c r="AB234" s="29" t="n">
        <v>0.018239</v>
      </c>
      <c r="AC234" s="29" t="n">
        <f aca="false">IFERROR(AB234/AA234*100,"N/A")</f>
        <v>8.0583021852274</v>
      </c>
      <c r="AD234" s="29" t="n">
        <v>0</v>
      </c>
      <c r="AE234" s="29" t="n">
        <v>0</v>
      </c>
      <c r="AF234" s="29" t="str">
        <f aca="false">IFERROR(AE234/AD234*100,"N/A")</f>
        <v>N/A</v>
      </c>
      <c r="AG234" s="51" t="str">
        <f aca="false">IF(AND(Q234&gt;0, R234=0), IF(IFERROR(ROUND(AC234,8),0)=0, "Group 9: Only Passed | Without variation (no var CV = 0)", "Group 10: Only Passed | With variation (with var CV &gt; 0)"), IF(AND(Q234=0, R234&gt;0), IF(IFERROR(ROUND(AF234,8),0)=0, "Group 11: Only Failed | Without variation (no var CV = 0)", "Group 12: Only Failed | With variation (with var CV &gt; 0)"), IF(AND(Q234&gt;0, R234&gt;0), IF(ROUND(AA234,5)&lt;&gt;ROUND(AD234,5), IF(AND(IFERROR(ROUND(AC234,8),0)=0, IFERROR(ROUND(AF234,8),0)=0), "Group 1: Flaky | Passed (no variation: CV = 0) AND Failed (no variation: CV = 0) | Different Means", IF(AND(IFERROR(ROUND(AC234,8),0)&gt;0, IFERROR(ROUND(AF234,8),0)&gt;0), "Group 2: Flaky | Passed (with variation: CV &gt; 0) AND Failed (with variation: CV &gt; 0) | Different Means", IF(AND(IFERROR(ROUND(AC234,8),0)=0, IFERROR(ROUND(AF234,8),0)&gt;0), "Group 3: Flaky | Passed (no variation: CV = 0) AND Failed (with variation: CV &gt; 0) | Different Means", "Group 4: Flaky | Passed (with variation: CV &gt; 0) AND Failed (no variation: CV = 0) | Different Means"))), IF(AND(IFERROR(ROUND(AC234,8),0)=0, IFERROR(ROUND(AF234,8),0)=0), "Group 5: Flaky | Passed (no var CV = 0) AND Failed (no var CV = 0) | Equal Means", IF(AND(IFERROR(ROUND(AC234,8),0)&gt;0, IFERROR(ROUND(AF234,8),0)&gt;0), "Group 6: Flaky | Passed (with var CV &gt; 0) AND Failed (with var CV &gt; 0) | Equal Means", IF(AND(IFERROR(ROUND(AC234,8),0)=0, IFERROR(ROUND(AF234,8),0)&gt;0),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4" s="22" t="n">
        <v>96</v>
      </c>
      <c r="AI234" s="17" t="n">
        <v>4</v>
      </c>
      <c r="AJ234" s="39" t="str">
        <f aca="false">IF(AND(AH234&gt;0, AI234&gt;0), "Observed Flaky Test", "Non-observed Flaky Test")</f>
        <v>Observed Flaky Test</v>
      </c>
      <c r="AK234" s="72" t="n">
        <v>1194222.86458333</v>
      </c>
      <c r="AL234" s="97" t="n">
        <v>45.5879992961367</v>
      </c>
      <c r="AM234" s="33" t="n">
        <f aca="false">IFERROR(AL234/AK234*100,"N/A")</f>
        <v>0.0038173778653989</v>
      </c>
      <c r="AN234" s="90" t="n">
        <v>1192790</v>
      </c>
      <c r="AO234" s="97" t="n">
        <v>34.0685583297366</v>
      </c>
      <c r="AP234" s="35" t="n">
        <f aca="false">IFERROR(AO234/AN234*100,"N/A")</f>
        <v>0.00285620757465577</v>
      </c>
      <c r="AQ234" s="63" t="str">
        <f aca="false">IF(AND(AH234&gt;0, AI234&gt;0),
    IF(ROUND(N(AK234),5)&lt;&gt;ROUND(N(AN234),5),
        IF(AND(ROUND(N(AL234),8)=0, ROUND(N(AO234),8)=0), "Group 1: Flaky | Passed (no variation: SD = 0) AND Failed (no variation: SD = 0) | Different Means",
        IF(AND(ROUND(N(AL234),8)&gt;0, ROUND(N(AO234),8)&gt;0), "Group 2: Flaky | Passed (with variation: SD &gt; 0) AND Failed (with variation: SD &gt; 0) | Different Means",
        IF(AND(ROUND(N(AL234),8)=0, ROUND(N(AO234),8)&gt;0), "Group 3: Flaky | Passed (no variation: SD = 0) AND Failed (with variation: SD &gt; 0) | Different Means",
        "Group 4: Flaky | Passed (with variation: SD &gt; 0) AND Failed (no variation: SD = 0) | Different Means"))),
        IF(AND(ROUND(N(AL234),8)=0, ROUND(N(AO234),8)=0), "Group 5: Flaky | Passed (no var SD = 0) AND Failed (no var SD = 0) | Equal Means",
        IF(AND(ROUND(N(AL234),8)&gt;0, ROUND(N(AO234),8)&gt;0), "Group 6: Flaky | Passed (with var SD &gt; 0 ) AND Failed (with var SD &gt; 0) | Equal Means",
        IF(AND(ROUND(N(AL234),8)=0, ROUND(N(AO234),8)&gt;0), "Group 7: Flaky | Passed (no var SD = 0) AND Failed (with var SD &gt; 0) | Equal Means",
        "Group 8: Flaky | Passed (with var SD &gt; 0 ) AND Failed (no var SD = 0) | Equal Means")))
    ),
    IF(AH234&gt;0,
        IF(N(AL234)&gt;0, "Group 10: Only Passed | With variation (with var SD &gt; 0)", "Group 9: Only Passed | Without variation (no var SD = 0)"),
        IF(AI234&gt;0,
            IF(N(AO234)&gt;0, "Group 12: Only Failed | With variation (with var SD &gt; 0)", "Group 11: Only Failed | Without variation (no var SD = 0)"),
            "Invalid: No Executions (Y=0, Z=0)"
        )
    )
)</f>
        <v>Group 2: Flaky | Passed (with variation: SD &gt; 0) AND Failed (with variation: SD &gt; 0) | Different Means</v>
      </c>
      <c r="AR234" s="42" t="str">
        <f aca="false">IF(OR(F234="Observed Flaky Test", I234="Observed Flaky Test", S234="Observed Flaky Test", AJ234="Observed Flaky Test"), "Observed Flaky Test", "Non-observed Flaky Test")</f>
        <v>Observed Flaky Test</v>
      </c>
    </row>
    <row r="235" customFormat="false" ht="15.75" hidden="false" customHeight="true" outlineLevel="0" collapsed="false">
      <c r="A235" s="81" t="s">
        <v>546</v>
      </c>
      <c r="B235" s="14" t="s">
        <v>547</v>
      </c>
      <c r="C235" s="14" t="s">
        <v>548</v>
      </c>
      <c r="D235" s="15" t="n">
        <v>100</v>
      </c>
      <c r="E235" s="15" t="n">
        <v>0</v>
      </c>
      <c r="F235" s="16" t="str">
        <f aca="false">IF(AND(D235&gt;0, E235&gt;0), "Observed Flaky Test", "Non-observed Flaky Test")</f>
        <v>Non-observed Flaky Test</v>
      </c>
      <c r="G235" s="22" t="n">
        <v>100</v>
      </c>
      <c r="H235" s="22" t="n">
        <v>0</v>
      </c>
      <c r="I235" s="16" t="str">
        <f aca="false">IF(AND(G235&gt;0, H235&gt;0), "Observed Flaky Test", "Non-observed Flaky Test")</f>
        <v>Non-observed Flaky Test</v>
      </c>
      <c r="J235" s="18" t="n">
        <v>21.27</v>
      </c>
      <c r="K235" s="18" t="n">
        <v>0</v>
      </c>
      <c r="L235" s="19" t="n">
        <f aca="false">IFERROR(K235/J235*100,"N/A")</f>
        <v>0</v>
      </c>
      <c r="M235" s="18" t="n">
        <v>0</v>
      </c>
      <c r="N235" s="18" t="n">
        <v>0</v>
      </c>
      <c r="O235" s="20" t="str">
        <f aca="false">IFERROR(N235/M235*100,"N/A")</f>
        <v>N/A</v>
      </c>
      <c r="P235" s="56" t="str">
        <f aca="false">IF(AND(G235&gt;0, H235=0), IF(ROUND(K235,8)=0, "Group 9: Only Passed | Without variation (SD Passed = 0)", "Group 10: Only Passed | With variation (SD Passed &gt; 0)"), IF(AND(G235=0, H235&gt;0), IF(ROUND(N235,8)=0, "Group 11: Only Failed | Without variation (SD Failed = 0)", "Group 12: Only Failed | With variation (SD Failed &gt; 0)"), IF(AND(G235&gt;0, H235&gt;0), IF(ROUND(J235,5)&lt;&gt;ROUND(M235,5), IF(AND(ROUND(K235,8)=0, ROUND(N235,8)=0), "Group 1: Flaky | Passed (no variation) AND Failed (no variation) | Different Means", IF(AND(ROUND(K235,8)&gt;0, ROUND(N235,8)&gt;0), "Group 2: Flaky | Passed (with variation) AND Failed (with variation) | Different Means", IF(AND(ROUND(K235,8)=0, ROUND(N235,8)&gt;0), "Group 3: Flaky | Passed (no variation) AND Failed (with variation) | Different Means", "Group 4: Flaky | Passed (with variation) AND Failed (no variation) | Different Means"))), IF(AND(ROUND(K235,8)=0, ROUND(N235,8)=0), "Group 5: Flaky | Passed (no variation) AND Failed (no variation) | Equal Means", IF(AND(ROUND(K235,8)&gt;0, ROUND(N235,8)&gt;0), "Group 6: Flaky | Passed (with variation) AND Failed (with variation) | Equal Means", IF(AND(ROUND(K235,8)=0, ROUND(N235,8)&gt;0),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35" s="22" t="n">
        <v>100</v>
      </c>
      <c r="R235" s="22" t="n">
        <v>0</v>
      </c>
      <c r="S235" s="23" t="str">
        <f aca="false">IF(AND(Q235&gt;0, R235&gt;0), "Observed Flaky Test", "Non-observed Flaky Test")</f>
        <v>Non-observed Flaky Test</v>
      </c>
      <c r="T235" s="22" t="n">
        <v>1810171.94</v>
      </c>
      <c r="U235" s="24" t="n">
        <v>11.527587</v>
      </c>
      <c r="V235" s="25" t="n">
        <f aca="false">IFERROR(U235/T235*100,"N/A")</f>
        <v>0.000636822765024189</v>
      </c>
      <c r="W235" s="22" t="n">
        <v>0</v>
      </c>
      <c r="X235" s="22" t="n">
        <v>0</v>
      </c>
      <c r="Y235" s="27" t="str">
        <f aca="false">IFERROR(X235/W235*100,"N/A")</f>
        <v>N/A</v>
      </c>
      <c r="Z235" s="50" t="str">
        <f aca="false">IF(AND(Q235&gt;0, R235=0), IF(IFERROR(ROUND(V235,8),0)=0, "Group 9: Only Passed | Without variation (no var CV = 0)", "Group 10: Only Passed | With variation (with var CV &gt; 0)"), IF(AND(Q235=0, R235&gt;0), IF(IFERROR(ROUND(Y235,8),0)=0, "Group 11: Only Failed | Without variation (no var CV = 0)", "Group 12: Only Failed | With variation (with var CV &gt; 0)"), IF(AND(Q235&gt;0, R235&gt;0), IF(ROUND(T235,5)&lt;&gt;ROUND(W235,5), IF(AND(IFERROR(ROUND(V235,8),0)=0, IFERROR(ROUND(Y235,8),0)=0), "Group 1: Flaky | Passed (no variation: CV = 0) AND Failed (no variation: CV = 0) | Different Means", IF(AND(IFERROR(ROUND(V235,8),0)&gt;0, IFERROR(ROUND(Y235,8),0)&gt;0), "Group 2: Flaky | Passed (with variation: CV &gt; 0) AND Failed (with variation: CV &gt; 0) | Different Means", IF(AND(IFERROR(ROUND(V235,8),0)=0, IFERROR(ROUND(Y235,8),0)&gt;0), "Group 3: Flaky | Passed (no variation: CV = 0) AND Failed (with variation: CV &gt; 0) | Different Means", "Group 4: Flaky | Passed (with variation: CV &gt; 0) AND Failed (no variation: CV = 0) | Different Means"))), IF(AND(IFERROR(ROUND(V235,8),0)=0, IFERROR(ROUND(Y235,8),0)=0), "Group 5: Flaky | Passed (no var CV = 0) AND Failed (no var CV = 0) | Equal Means", IF(AND(IFERROR(ROUND(V235,8),0)&gt;0, IFERROR(ROUND(Y235,8),0)&gt;0), "Group 6: Flaky | Passed (with var CV &gt; 0) AND Failed (with var CV &gt; 0) | Equal Means", IF(AND(IFERROR(ROUND(V235,8),0)=0, IFERROR(ROUND(Y235,8),0)&gt;0),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5" s="29" t="n">
        <v>0.911371</v>
      </c>
      <c r="AB235" s="29" t="n">
        <v>0.056926</v>
      </c>
      <c r="AC235" s="29" t="n">
        <f aca="false">IFERROR(AB235/AA235*100,"N/A")</f>
        <v>6.24619392102667</v>
      </c>
      <c r="AD235" s="29" t="n">
        <v>0</v>
      </c>
      <c r="AE235" s="29" t="n">
        <v>0</v>
      </c>
      <c r="AF235" s="29" t="str">
        <f aca="false">IFERROR(AE235/AD235*100,"N/A")</f>
        <v>N/A</v>
      </c>
      <c r="AG235" s="51" t="str">
        <f aca="false">IF(AND(Q235&gt;0, R235=0), IF(IFERROR(ROUND(AC235,8),0)=0, "Group 9: Only Passed | Without variation (no var CV = 0)", "Group 10: Only Passed | With variation (with var CV &gt; 0)"), IF(AND(Q235=0, R235&gt;0), IF(IFERROR(ROUND(AF235,8),0)=0, "Group 11: Only Failed | Without variation (no var CV = 0)", "Group 12: Only Failed | With variation (with var CV &gt; 0)"), IF(AND(Q235&gt;0, R235&gt;0), IF(ROUND(AA235,5)&lt;&gt;ROUND(AD235,5), IF(AND(IFERROR(ROUND(AC235,8),0)=0, IFERROR(ROUND(AF235,8),0)=0), "Group 1: Flaky | Passed (no variation: CV = 0) AND Failed (no variation: CV = 0) | Different Means", IF(AND(IFERROR(ROUND(AC235,8),0)&gt;0, IFERROR(ROUND(AF235,8),0)&gt;0), "Group 2: Flaky | Passed (with variation: CV &gt; 0) AND Failed (with variation: CV &gt; 0) | Different Means", IF(AND(IFERROR(ROUND(AC235,8),0)=0, IFERROR(ROUND(AF235,8),0)&gt;0), "Group 3: Flaky | Passed (no variation: CV = 0) AND Failed (with variation: CV &gt; 0) | Different Means", "Group 4: Flaky | Passed (with variation: CV &gt; 0) AND Failed (no variation: CV = 0) | Different Means"))), IF(AND(IFERROR(ROUND(AC235,8),0)=0, IFERROR(ROUND(AF235,8),0)=0), "Group 5: Flaky | Passed (no var CV = 0) AND Failed (no var CV = 0) | Equal Means", IF(AND(IFERROR(ROUND(AC235,8),0)&gt;0, IFERROR(ROUND(AF235,8),0)&gt;0), "Group 6: Flaky | Passed (with var CV &gt; 0) AND Failed (with var CV &gt; 0) | Equal Means", IF(AND(IFERROR(ROUND(AC235,8),0)=0, IFERROR(ROUND(AF235,8),0)&gt;0),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5" s="22" t="n">
        <v>100</v>
      </c>
      <c r="AI235" s="17" t="n">
        <v>0</v>
      </c>
      <c r="AJ235" s="31" t="str">
        <f aca="false">IF(AND(AH235&gt;0, AI235&gt;0), "Observed Flaky Test", "Non-observed Flaky Test")</f>
        <v>Non-observed Flaky Test</v>
      </c>
      <c r="AK235" s="90" t="n">
        <v>1835</v>
      </c>
      <c r="AL235" s="90" t="n">
        <v>0</v>
      </c>
      <c r="AM235" s="33" t="n">
        <f aca="false">IFERROR(AL235/AK235*100,"N/A")</f>
        <v>0</v>
      </c>
      <c r="AN235" s="90" t="n">
        <v>0</v>
      </c>
      <c r="AO235" s="90" t="n">
        <v>0</v>
      </c>
      <c r="AP235" s="35" t="str">
        <f aca="false">IFERROR(AO235/AN235*100,"N/A")</f>
        <v>N/A</v>
      </c>
      <c r="AQ235" s="45" t="str">
        <f aca="false">IF(AND(AH235&gt;0, AI235&gt;0),
    IF(ROUND(N(AK235),5)&lt;&gt;ROUND(N(AN235),5),
        IF(AND(ROUND(N(AL235),8)=0, ROUND(N(AO235),8)=0), "Group 1: Flaky | Passed (no variation: SD = 0) AND Failed (no variation: SD = 0) | Different Means",
        IF(AND(ROUND(N(AL235),8)&gt;0, ROUND(N(AO235),8)&gt;0), "Group 2: Flaky | Passed (with variation: SD &gt; 0) AND Failed (with variation: SD &gt; 0) | Different Means",
        IF(AND(ROUND(N(AL235),8)=0, ROUND(N(AO235),8)&gt;0), "Group 3: Flaky | Passed (no variation: SD = 0) AND Failed (with variation: SD &gt; 0) | Different Means",
        "Group 4: Flaky | Passed (with variation: SD &gt; 0) AND Failed (no variation: SD = 0) | Different Means"))),
        IF(AND(ROUND(N(AL235),8)=0, ROUND(N(AO235),8)=0), "Group 5: Flaky | Passed (no var SD = 0) AND Failed (no var SD = 0) | Equal Means",
        IF(AND(ROUND(N(AL235),8)&gt;0, ROUND(N(AO235),8)&gt;0), "Group 6: Flaky | Passed (with var SD &gt; 0 ) AND Failed (with var SD &gt; 0) | Equal Means",
        IF(AND(ROUND(N(AL235),8)=0, ROUND(N(AO235),8)&gt;0), "Group 7: Flaky | Passed (no var SD = 0) AND Failed (with var SD &gt; 0) | Equal Means",
        "Group 8: Flaky | Passed (with var SD &gt; 0 ) AND Failed (no var SD = 0) | Equal Means")))
    ),
    IF(AH235&gt;0,
        IF(N(AL235)&gt;0, "Group 10: Only Passed | With variation (with var SD &gt; 0)", "Group 9: Only Passed | Without variation (no var SD = 0)"),
        IF(AI235&gt;0,
            IF(N(AO235)&gt;0,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35" s="37" t="str">
        <f aca="false">IF(OR(F235="Observed Flaky Test", I235="Observed Flaky Test", S235="Observed Flaky Test", AJ235="Observed Flaky Test"), "Observed Flaky Test", "Non-observed Flaky Test")</f>
        <v>Non-observed Flaky Test</v>
      </c>
    </row>
    <row r="236" customFormat="false" ht="15.75" hidden="false" customHeight="true" outlineLevel="0" collapsed="false">
      <c r="A236" s="81" t="s">
        <v>549</v>
      </c>
      <c r="B236" s="14" t="s">
        <v>550</v>
      </c>
      <c r="C236" s="14" t="s">
        <v>551</v>
      </c>
      <c r="D236" s="15" t="n">
        <v>49</v>
      </c>
      <c r="E236" s="15" t="n">
        <v>51</v>
      </c>
      <c r="F236" s="61" t="str">
        <f aca="false">IF(AND(D236&gt;0, E236&gt;0), "Observed Flaky Test", "Non-observed Flaky Test")</f>
        <v>Observed Flaky Test</v>
      </c>
      <c r="G236" s="22" t="n">
        <v>51</v>
      </c>
      <c r="H236" s="22" t="n">
        <v>49</v>
      </c>
      <c r="I236" s="61" t="str">
        <f aca="false">IF(AND(G236&gt;0, H236&gt;0), "Observed Flaky Test", "Non-observed Flaky Test")</f>
        <v>Observed Flaky Test</v>
      </c>
      <c r="J236" s="18" t="n">
        <v>59.52</v>
      </c>
      <c r="K236" s="18" t="n">
        <v>0</v>
      </c>
      <c r="L236" s="19" t="n">
        <f aca="false">IFERROR(K236/J236*100,"N/A")</f>
        <v>0</v>
      </c>
      <c r="M236" s="53" t="n">
        <v>42.374286</v>
      </c>
      <c r="N236" s="53" t="n">
        <v>5.337666</v>
      </c>
      <c r="O236" s="20" t="n">
        <f aca="false">IFERROR(N236/M236*100,"N/A")</f>
        <v>12.5964741919191</v>
      </c>
      <c r="P236" s="67" t="str">
        <f aca="false">IF(AND(G236&gt;0, H236=0), IF(ROUND(K236,8)=0, "Group 9: Only Passed | Without variation (SD Passed = 0)", "Group 10: Only Passed | With variation (SD Passed &gt; 0)"), IF(AND(G236=0, H236&gt;0), IF(ROUND(N236,8)=0, "Group 11: Only Failed | Without variation (SD Failed = 0)", "Group 12: Only Failed | With variation (SD Failed &gt; 0)"), IF(AND(G236&gt;0, H236&gt;0), IF(ROUND(J236,5)&lt;&gt;ROUND(M236,5), IF(AND(ROUND(K236,8)=0, ROUND(N236,8)=0), "Group 1: Flaky | Passed (no variation) AND Failed (no variation) | Different Means", IF(AND(ROUND(K236,8)&gt;0, ROUND(N236,8)&gt;0), "Group 2: Flaky | Passed (with variation) AND Failed (with variation) | Different Means", IF(AND(ROUND(K236,8)=0, ROUND(N236,8)&gt;0), "Group 3: Flaky | Passed (no variation) AND Failed (with variation) | Different Means", "Group 4: Flaky | Passed (with variation) AND Failed (no variation) | Different Means"))), IF(AND(ROUND(K236,8)=0, ROUND(N236,8)=0), "Group 5: Flaky | Passed (no variation) AND Failed (no variation) | Equal Means", IF(AND(ROUND(K236,8)&gt;0, ROUND(N236,8)&gt;0), "Group 6: Flaky | Passed (with variation) AND Failed (with variation) | Equal Means", IF(AND(ROUND(K236,8)=0, ROUND(N236,8)&gt;0), "Group 7: Flaky | Passed (no variation) AND Failed (with variation) | Equal Means", "Group 8: Flaky | Passed (with variation) AND Failed (no variation) | Equal Means")))), "Invalid")))</f>
        <v>Group 3: Flaky | Passed (no variation) AND Failed (with variation) | Different Means</v>
      </c>
      <c r="Q236" s="22" t="n">
        <v>40</v>
      </c>
      <c r="R236" s="22" t="n">
        <v>60</v>
      </c>
      <c r="S236" s="43" t="str">
        <f aca="false">IF(AND(Q236&gt;0, R236&gt;0), "Observed Flaky Test", "Non-observed Flaky Test")</f>
        <v>Observed Flaky Test</v>
      </c>
      <c r="T236" s="58" t="n">
        <v>487378725</v>
      </c>
      <c r="U236" s="24" t="n">
        <v>79.765036</v>
      </c>
      <c r="V236" s="25" t="n">
        <f aca="false">IFERROR(U236/T236*100,"N/A")</f>
        <v>1.63661300562514E-005</v>
      </c>
      <c r="W236" s="24" t="n">
        <v>782433.366667</v>
      </c>
      <c r="X236" s="24" t="n">
        <v>1063.803664</v>
      </c>
      <c r="Y236" s="27" t="n">
        <f aca="false">IFERROR(X236/W236*100,"N/A")</f>
        <v>0.135960927705777</v>
      </c>
      <c r="Z236" s="68" t="str">
        <f aca="false">IF(AND(Q236&gt;0, R236=0), IF(IFERROR(ROUND(V236,8),0)=0, "Group 9: Only Passed | Without variation (no var CV = 0)", "Group 10: Only Passed | With variation (with var CV &gt; 0)"), IF(AND(Q236=0, R236&gt;0), IF(IFERROR(ROUND(Y236,8),0)=0, "Group 11: Only Failed | Without variation (no var CV = 0)", "Group 12: Only Failed | With variation (with var CV &gt; 0)"), IF(AND(Q236&gt;0, R236&gt;0), IF(ROUND(T236,5)&lt;&gt;ROUND(W236,5), IF(AND(IFERROR(ROUND(V236,8),0)=0, IFERROR(ROUND(Y236,8),0)=0), "Group 1: Flaky | Passed (no variation: CV = 0) AND Failed (no variation: CV = 0) | Different Means", IF(AND(IFERROR(ROUND(V236,8),0)&gt;0, IFERROR(ROUND(Y236,8),0)&gt;0), "Group 2: Flaky | Passed (with variation: CV &gt; 0) AND Failed (with variation: CV &gt; 0) | Different Means", IF(AND(IFERROR(ROUND(V236,8),0)=0, IFERROR(ROUND(Y236,8),0)&gt;0), "Group 3: Flaky | Passed (no variation: CV = 0) AND Failed (with variation: CV &gt; 0) | Different Means", "Group 4: Flaky | Passed (with variation: CV &gt; 0) AND Failed (no variation: CV = 0) | Different Means"))), IF(AND(IFERROR(ROUND(V236,8),0)=0, IFERROR(ROUND(Y236,8),0)=0), "Group 5: Flaky | Passed (no var CV = 0) AND Failed (no var CV = 0) | Equal Means", IF(AND(IFERROR(ROUND(V236,8),0)&gt;0, IFERROR(ROUND(Y236,8),0)&gt;0), "Group 6: Flaky | Passed (with var CV &gt; 0) AND Failed (with var CV &gt; 0) | Equal Means", IF(AND(IFERROR(ROUND(V236,8),0)=0, IFERROR(ROUND(Y236,8),0)&gt;0),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A236" s="29" t="n">
        <v>3.003194</v>
      </c>
      <c r="AB236" s="29" t="n">
        <v>0.477988</v>
      </c>
      <c r="AC236" s="29" t="n">
        <f aca="false">IFERROR(AB236/AA236*100,"N/A")</f>
        <v>15.9159881113241</v>
      </c>
      <c r="AD236" s="29" t="n">
        <v>1.376739</v>
      </c>
      <c r="AE236" s="29" t="n">
        <v>0.256847</v>
      </c>
      <c r="AF236" s="29" t="n">
        <f aca="false">IFERROR(AE236/AD236*100,"N/A")</f>
        <v>18.656186829893</v>
      </c>
      <c r="AG236" s="36" t="str">
        <f aca="false">IF(AND(Q236&gt;0, R236=0), IF(IFERROR(ROUND(AC236,8),0)=0, "Group 9: Only Passed | Without variation (no var CV = 0)", "Group 10: Only Passed | With variation (with var CV &gt; 0)"), IF(AND(Q236=0, R236&gt;0), IF(IFERROR(ROUND(AF236,8),0)=0, "Group 11: Only Failed | Without variation (no var CV = 0)", "Group 12: Only Failed | With variation (with var CV &gt; 0)"), IF(AND(Q236&gt;0, R236&gt;0), IF(ROUND(AA236,5)&lt;&gt;ROUND(AD236,5), IF(AND(IFERROR(ROUND(AC236,8),0)=0, IFERROR(ROUND(AF236,8),0)=0), "Group 1: Flaky | Passed (no variation: CV = 0) AND Failed (no variation: CV = 0) | Different Means", IF(AND(IFERROR(ROUND(AC236,8),0)&gt;0, IFERROR(ROUND(AF236,8),0)&gt;0), "Group 2: Flaky | Passed (with variation: CV &gt; 0) AND Failed (with variation: CV &gt; 0) | Different Means", IF(AND(IFERROR(ROUND(AC236,8),0)=0, IFERROR(ROUND(AF236,8),0)&gt;0), "Group 3: Flaky | Passed (no variation: CV = 0) AND Failed (with variation: CV &gt; 0) | Different Means", "Group 4: Flaky | Passed (with variation: CV &gt; 0) AND Failed (no variation: CV = 0) | Different Means"))), IF(AND(IFERROR(ROUND(AC236,8),0)=0, IFERROR(ROUND(AF236,8),0)=0), "Group 5: Flaky | Passed (no var CV = 0) AND Failed (no var CV = 0) | Equal Means", IF(AND(IFERROR(ROUND(AC236,8),0)&gt;0, IFERROR(ROUND(AF236,8),0)&gt;0), "Group 6: Flaky | Passed (with var CV &gt; 0) AND Failed (with var CV &gt; 0) | Equal Means", IF(AND(IFERROR(ROUND(AC236,8),0)=0, IFERROR(ROUND(AF236,8),0)&gt;0), "Group 7: Flaky | Passed (no var CV = 0) AND Failed (with var CV &gt; 0) | Equal Means", "Group 8: Flaky | Passed (with var CV &gt; 0) AND Failed (no var CV = 0) | Equal Means")))), "Invalid")))</f>
        <v>Group 2: Flaky | Passed (with variation: CV &gt; 0) AND Failed (with variation: CV &gt; 0) | Different Means</v>
      </c>
      <c r="AH236" s="22" t="n">
        <v>96</v>
      </c>
      <c r="AI236" s="17" t="n">
        <v>4</v>
      </c>
      <c r="AJ236" s="39" t="str">
        <f aca="false">IF(AND(AH236&gt;0, AI236&gt;0), "Observed Flaky Test", "Non-observed Flaky Test")</f>
        <v>Observed Flaky Test</v>
      </c>
      <c r="AK236" s="35" t="n">
        <v>872.177083333333</v>
      </c>
      <c r="AL236" s="99" t="n">
        <v>2.16184517516946</v>
      </c>
      <c r="AM236" s="33" t="n">
        <f aca="false">IFERROR(AL236/AK236*100,"N/A")</f>
        <v>0.247867688395022</v>
      </c>
      <c r="AN236" s="90" t="n">
        <v>407</v>
      </c>
      <c r="AO236" s="90" t="n">
        <v>0</v>
      </c>
      <c r="AP236" s="35" t="n">
        <f aca="false">IFERROR(AO236/AN236*100,"N/A")</f>
        <v>0</v>
      </c>
      <c r="AQ236" s="60" t="str">
        <f aca="false">IF(AND(AH236&gt;0, AI236&gt;0),
    IF(ROUND(N(AK236),5)&lt;&gt;ROUND(N(AN236),5),
        IF(AND(ROUND(N(AL236),8)=0, ROUND(N(AO236),8)=0), "Group 1: Flaky | Passed (no variation: SD = 0) AND Failed (no variation: SD = 0) | Different Means",
        IF(AND(ROUND(N(AL236),8)&gt;0, ROUND(N(AO236),8)&gt;0), "Group 2: Flaky | Passed (with variation: SD &gt; 0) AND Failed (with variation: SD &gt; 0) | Different Means",
        IF(AND(ROUND(N(AL236),8)=0, ROUND(N(AO236),8)&gt;0), "Group 3: Flaky | Passed (no variation: SD = 0) AND Failed (with variation: SD &gt; 0) | Different Means",
        "Group 4: Flaky | Passed (with variation: SD &gt; 0) AND Failed (no variation: SD = 0) | Different Means"))),
        IF(AND(ROUND(N(AL236),8)=0, ROUND(N(AO236),8)=0), "Group 5: Flaky | Passed (no var SD = 0) AND Failed (no var SD = 0) | Equal Means",
        IF(AND(ROUND(N(AL236),8)&gt;0, ROUND(N(AO236),8)&gt;0), "Group 6: Flaky | Passed (with var SD &gt; 0 ) AND Failed (with var SD &gt; 0) | Equal Means",
        IF(AND(ROUND(N(AL236),8)=0, ROUND(N(AO236),8)&gt;0), "Group 7: Flaky | Passed (no var SD = 0) AND Failed (with var SD &gt; 0) | Equal Means",
        "Group 8: Flaky | Passed (with var SD &gt; 0 ) AND Failed (no var SD = 0) | Equal Means")))
    ),
    IF(AH236&gt;0,
        IF(N(AL236)&gt;0, "Group 10: Only Passed | With variation (with var SD &gt; 0)", "Group 9: Only Passed | Without variation (no var SD = 0)"),
        IF(AI236&gt;0,
            IF(N(AO236)&gt;0, "Group 12: Only Failed | With variation (with var SD &gt; 0)", "Group 11: Only Failed | Without variation (no var SD = 0)"),
            "Invalid: No Executions (Y=0, Z=0)"
        )
    )
)</f>
        <v>Group 4: Flaky | Passed (with variation: SD &gt; 0) AND Failed (no variation: SD = 0) | Different Means</v>
      </c>
      <c r="AR236" s="42" t="str">
        <f aca="false">IF(OR(F236="Observed Flaky Test", I236="Observed Flaky Test", S236="Observed Flaky Test", AJ236="Observed Flaky Test"), "Observed Flaky Test", "Non-observed Flaky Test")</f>
        <v>Observed Flaky Test</v>
      </c>
    </row>
    <row r="237" customFormat="false" ht="15.75" hidden="false" customHeight="true" outlineLevel="0" collapsed="false">
      <c r="A237" s="104" t="s">
        <v>552</v>
      </c>
      <c r="B237" s="14" t="s">
        <v>553</v>
      </c>
      <c r="C237" s="14" t="s">
        <v>554</v>
      </c>
      <c r="D237" s="15" t="n">
        <v>0</v>
      </c>
      <c r="E237" s="15" t="n">
        <v>100</v>
      </c>
      <c r="F237" s="16" t="str">
        <f aca="false">IF(AND(D237&gt;0, E237&gt;0), "Observed Flaky Test", "Non-observed Flaky Test")</f>
        <v>Non-observed Flaky Test</v>
      </c>
      <c r="G237" s="22" t="n">
        <v>0</v>
      </c>
      <c r="H237" s="22" t="n">
        <v>100</v>
      </c>
      <c r="I237" s="16" t="str">
        <f aca="false">IF(AND(G237&gt;0, H237&gt;0), "Observed Flaky Test", "Non-observed Flaky Test")</f>
        <v>Non-observed Flaky Test</v>
      </c>
      <c r="J237" s="18" t="n">
        <v>0</v>
      </c>
      <c r="K237" s="18" t="n">
        <v>0</v>
      </c>
      <c r="L237" s="19" t="str">
        <f aca="false">IFERROR(K237/J237*100,"N/A")</f>
        <v>N/A</v>
      </c>
      <c r="M237" s="18" t="n">
        <v>22.83</v>
      </c>
      <c r="N237" s="18" t="n">
        <v>0</v>
      </c>
      <c r="O237" s="20" t="n">
        <f aca="false">IFERROR(N237/M237*100,"N/A")</f>
        <v>0</v>
      </c>
      <c r="P237" s="21" t="str">
        <f aca="false">IF(AND(G237&gt;0, H237=0), IF(ROUND(K237,8)=0, "Group 9: Only Passed | Without variation (SD Passed = 0)", "Group 10: Only Passed | With variation (SD Passed &gt; 0)"), IF(AND(G237=0, H237&gt;0), IF(ROUND(N237,8)=0, "Group 11: Only Failed | Without variation (SD Failed = 0)", "Group 12: Only Failed | With variation (SD Failed &gt; 0)"), IF(AND(G237&gt;0, H237&gt;0), IF(ROUND(J237,5)&lt;&gt;ROUND(M237,5), IF(AND(ROUND(K237,8)=0, ROUND(N237,8)=0), "Group 1: Flaky | Passed (no variation) AND Failed (no variation) | Different Means", IF(AND(ROUND(K237,8)&gt;0, ROUND(N237,8)&gt;0), "Group 2: Flaky | Passed (with variation) AND Failed (with variation) | Different Means", IF(AND(ROUND(K237,8)=0, ROUND(N237,8)&gt;0), "Group 3: Flaky | Passed (no variation) AND Failed (with variation) | Different Means", "Group 4: Flaky | Passed (with variation) AND Failed (no variation) | Different Means"))), IF(AND(ROUND(K237,8)=0, ROUND(N237,8)=0), "Group 5: Flaky | Passed (no variation) AND Failed (no variation) | Equal Means", IF(AND(ROUND(K237,8)&gt;0, ROUND(N237,8)&gt;0), "Group 6: Flaky | Passed (with variation) AND Failed (with variation) | Equal Means", IF(AND(ROUND(K237,8)=0, ROUND(N237,8)&gt;0), "Group 7: Flaky | Passed (no variation) AND Failed (with variation) | Equal Means", "Group 8: Flaky | Passed (with variation) AND Failed (no variation) | Equal Means")))), "Invalid")))</f>
        <v>Group 11: Only Failed | Without variation (SD Failed = 0)</v>
      </c>
      <c r="Q237" s="22" t="n">
        <v>0</v>
      </c>
      <c r="R237" s="22" t="n">
        <v>100</v>
      </c>
      <c r="S237" s="23" t="str">
        <f aca="false">IF(AND(Q237&gt;0, R237&gt;0), "Observed Flaky Test", "Non-observed Flaky Test")</f>
        <v>Non-observed Flaky Test</v>
      </c>
      <c r="T237" s="24" t="n">
        <v>0</v>
      </c>
      <c r="U237" s="24" t="n">
        <v>0</v>
      </c>
      <c r="V237" s="25" t="str">
        <f aca="false">IFERROR(U237/T237*100,"N/A")</f>
        <v>N/A</v>
      </c>
      <c r="W237" s="55" t="n">
        <v>1239087.3</v>
      </c>
      <c r="X237" s="24" t="n">
        <v>200.799085</v>
      </c>
      <c r="Y237" s="27" t="n">
        <f aca="false">IFERROR(X237/W237*100,"N/A")</f>
        <v>0.0162054025571887</v>
      </c>
      <c r="Z237" s="28" t="str">
        <f aca="false">IF(AND(Q237&gt;0, R237=0), IF(IFERROR(ROUND(V237,8),0)=0, "Group 9: Only Passed | Without variation (no var CV = 0)", "Group 10: Only Passed | With variation (with var CV &gt; 0)"), IF(AND(Q237=0, R237&gt;0), IF(IFERROR(ROUND(Y237,8),0)=0, "Group 11: Only Failed | Without variation (no var CV = 0)", "Group 12: Only Failed | With variation (with var CV &gt; 0)"), IF(AND(Q237&gt;0, R237&gt;0), IF(ROUND(T237,5)&lt;&gt;ROUND(W237,5), IF(AND(IFERROR(ROUND(V237,8),0)=0, IFERROR(ROUND(Y237,8),0)=0), "Group 1: Flaky | Passed (no variation: CV = 0) AND Failed (no variation: CV = 0) | Different Means", IF(AND(IFERROR(ROUND(V237,8),0)&gt;0, IFERROR(ROUND(Y237,8),0)&gt;0), "Group 2: Flaky | Passed (with variation: CV &gt; 0) AND Failed (with variation: CV &gt; 0) | Different Means", IF(AND(IFERROR(ROUND(V237,8),0)=0, IFERROR(ROUND(Y237,8),0)&gt;0), "Group 3: Flaky | Passed (no variation: CV = 0) AND Failed (with variation: CV &gt; 0) | Different Means", "Group 4: Flaky | Passed (with variation: CV &gt; 0) AND Failed (no variation: CV = 0) | Different Means"))), IF(AND(IFERROR(ROUND(V237,8),0)=0, IFERROR(ROUND(Y237,8),0)=0), "Group 5: Flaky | Passed (no var CV = 0) AND Failed (no var CV = 0) | Equal Means", IF(AND(IFERROR(ROUND(V237,8),0)&gt;0, IFERROR(ROUND(Y237,8),0)&gt;0), "Group 6: Flaky | Passed (with var CV &gt; 0) AND Failed (with var CV &gt; 0) | Equal Means", IF(AND(IFERROR(ROUND(V237,8),0)=0, IFERROR(ROUND(Y237,8),0)&gt;0),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A237" s="29" t="n">
        <v>0</v>
      </c>
      <c r="AB237" s="29" t="n">
        <v>0</v>
      </c>
      <c r="AC237" s="29" t="str">
        <f aca="false">IFERROR(AB237/AA237*100,"N/A")</f>
        <v>N/A</v>
      </c>
      <c r="AD237" s="29" t="n">
        <v>1.524618</v>
      </c>
      <c r="AE237" s="29" t="n">
        <v>0.177849</v>
      </c>
      <c r="AF237" s="29" t="n">
        <f aca="false">IFERROR(AE237/AD237*100,"N/A")</f>
        <v>11.6651515330398</v>
      </c>
      <c r="AG237" s="30" t="str">
        <f aca="false">IF(AND(Q237&gt;0, R237=0), IF(IFERROR(ROUND(AC237,8),0)=0, "Group 9: Only Passed | Without variation (no var CV = 0)", "Group 10: Only Passed | With variation (with var CV &gt; 0)"), IF(AND(Q237=0, R237&gt;0), IF(IFERROR(ROUND(AF237,8),0)=0, "Group 11: Only Failed | Without variation (no var CV = 0)", "Group 12: Only Failed | With variation (with var CV &gt; 0)"), IF(AND(Q237&gt;0, R237&gt;0), IF(ROUND(AA237,5)&lt;&gt;ROUND(AD237,5), IF(AND(IFERROR(ROUND(AC237,8),0)=0, IFERROR(ROUND(AF237,8),0)=0), "Group 1: Flaky | Passed (no variation: CV = 0) AND Failed (no variation: CV = 0) | Different Means", IF(AND(IFERROR(ROUND(AC237,8),0)&gt;0, IFERROR(ROUND(AF237,8),0)&gt;0), "Group 2: Flaky | Passed (with variation: CV &gt; 0) AND Failed (with variation: CV &gt; 0) | Different Means", IF(AND(IFERROR(ROUND(AC237,8),0)=0, IFERROR(ROUND(AF237,8),0)&gt;0), "Group 3: Flaky | Passed (no variation: CV = 0) AND Failed (with variation: CV &gt; 0) | Different Means", "Group 4: Flaky | Passed (with variation: CV &gt; 0) AND Failed (no variation: CV = 0) | Different Means"))), IF(AND(IFERROR(ROUND(AC237,8),0)=0, IFERROR(ROUND(AF237,8),0)=0), "Group 5: Flaky | Passed (no var CV = 0) AND Failed (no var CV = 0) | Equal Means", IF(AND(IFERROR(ROUND(AC237,8),0)&gt;0, IFERROR(ROUND(AF237,8),0)&gt;0), "Group 6: Flaky | Passed (with var CV &gt; 0) AND Failed (with var CV &gt; 0) | Equal Means", IF(AND(IFERROR(ROUND(AC237,8),0)=0, IFERROR(ROUND(AF237,8),0)&gt;0), "Group 7: Flaky | Passed (no var CV = 0) AND Failed (with var CV &gt; 0) | Equal Means", "Group 8: Flaky | Passed (with var CV &gt; 0) AND Failed (no var CV = 0) | Equal Means")))), "Invalid")))</f>
        <v>Group 12: Only Failed | With variation (with var CV &gt; 0)</v>
      </c>
      <c r="AH237" s="22" t="n">
        <v>0</v>
      </c>
      <c r="AI237" s="17" t="n">
        <v>100</v>
      </c>
      <c r="AJ237" s="31" t="str">
        <f aca="false">IF(AND(AH237&gt;0, AI237&gt;0), "Observed Flaky Test", "Non-observed Flaky Test")</f>
        <v>Non-observed Flaky Test</v>
      </c>
      <c r="AK237" s="90" t="n">
        <v>0</v>
      </c>
      <c r="AL237" s="90" t="n">
        <v>0</v>
      </c>
      <c r="AM237" s="33" t="str">
        <f aca="false">IFERROR(AL237/AK237*100,"N/A")</f>
        <v>N/A</v>
      </c>
      <c r="AN237" s="90" t="n">
        <v>651</v>
      </c>
      <c r="AO237" s="90" t="n">
        <v>0</v>
      </c>
      <c r="AP237" s="35" t="n">
        <f aca="false">IFERROR(AO237/AN237*100,"N/A")</f>
        <v>0</v>
      </c>
      <c r="AQ237" s="73" t="str">
        <f aca="false">IF(AND(AH237&gt;0, AI237&gt;0),
    IF(ROUND(N(AK237),5)&lt;&gt;ROUND(N(AN237),5),
        IF(AND(ROUND(N(AL237),8)=0, ROUND(N(AO237),8)=0), "Group 1: Flaky | Passed (no variation: SD = 0) AND Failed (no variation: SD = 0) | Different Means",
        IF(AND(ROUND(N(AL237),8)&gt;0, ROUND(N(AO237),8)&gt;0), "Group 2: Flaky | Passed (with variation: SD &gt; 0) AND Failed (with variation: SD &gt; 0) | Different Means",
        IF(AND(ROUND(N(AL237),8)=0, ROUND(N(AO237),8)&gt;0), "Group 3: Flaky | Passed (no variation: SD = 0) AND Failed (with variation: SD &gt; 0) | Different Means",
        "Group 4: Flaky | Passed (with variation: SD &gt; 0) AND Failed (no variation: SD = 0) | Different Means"))),
        IF(AND(ROUND(N(AL237),8)=0, ROUND(N(AO237),8)=0), "Group 5: Flaky | Passed (no var SD = 0) AND Failed (no var SD = 0) | Equal Means",
        IF(AND(ROUND(N(AL237),8)&gt;0, ROUND(N(AO237),8)&gt;0), "Group 6: Flaky | Passed (with var SD &gt; 0 ) AND Failed (with var SD &gt; 0) | Equal Means",
        IF(AND(ROUND(N(AL237),8)=0, ROUND(N(AO237),8)&gt;0), "Group 7: Flaky | Passed (no var SD = 0) AND Failed (with var SD &gt; 0) | Equal Means",
        "Group 8: Flaky | Passed (with var SD &gt; 0 ) AND Failed (no var SD = 0) | Equal Means")))
    ),
    IF(AH237&gt;0,
        IF(N(AL237)&gt;0, "Group 10: Only Passed | With variation (with var SD &gt; 0)", "Group 9: Only Passed | Without variation (no var SD = 0)"),
        IF(AI237&gt;0,
            IF(N(AO237)&gt;0, "Group 12: Only Failed | With variation (with var SD &gt; 0)", "Group 11: Only Failed | Without variation (no var SD = 0)"),
            "Invalid: No Executions (Y=0, Z=0)"
        )
    )
)</f>
        <v>Group 11: Only Failed | Without variation (no var SD = 0)</v>
      </c>
      <c r="AR237" s="37" t="str">
        <f aca="false">IF(OR(F237="Observed Flaky Test", I237="Observed Flaky Test", S237="Observed Flaky Test", AJ237="Observed Flaky Test"), "Observed Flaky Test", "Non-observed Flaky Test")</f>
        <v>Non-observed Flaky Test</v>
      </c>
    </row>
    <row r="238" customFormat="false" ht="15.75" hidden="false" customHeight="true" outlineLevel="0" collapsed="false">
      <c r="A238" s="104" t="s">
        <v>555</v>
      </c>
      <c r="B238" s="14" t="s">
        <v>556</v>
      </c>
      <c r="C238" s="14" t="s">
        <v>557</v>
      </c>
      <c r="D238" s="15" t="n">
        <v>100</v>
      </c>
      <c r="E238" s="15" t="n">
        <v>0</v>
      </c>
      <c r="F238" s="16" t="str">
        <f aca="false">IF(AND(D238&gt;0, E238&gt;0), "Observed Flaky Test", "Non-observed Flaky Test")</f>
        <v>Non-observed Flaky Test</v>
      </c>
      <c r="G238" s="22" t="n">
        <v>100</v>
      </c>
      <c r="H238" s="22" t="n">
        <v>0</v>
      </c>
      <c r="I238" s="16" t="str">
        <f aca="false">IF(AND(G238&gt;0, H238&gt;0), "Observed Flaky Test", "Non-observed Flaky Test")</f>
        <v>Non-observed Flaky Test</v>
      </c>
      <c r="J238" s="18" t="n">
        <v>26.9</v>
      </c>
      <c r="K238" s="18" t="n">
        <v>0</v>
      </c>
      <c r="L238" s="19" t="n">
        <f aca="false">IFERROR(K238/J238*100,"N/A")</f>
        <v>0</v>
      </c>
      <c r="M238" s="18" t="n">
        <v>0</v>
      </c>
      <c r="N238" s="18" t="n">
        <v>0</v>
      </c>
      <c r="O238" s="20" t="str">
        <f aca="false">IFERROR(N238/M238*100,"N/A")</f>
        <v>N/A</v>
      </c>
      <c r="P238" s="56" t="str">
        <f aca="false">IF(AND(G238&gt;0, H238=0), IF(ROUND(K238,8)=0, "Group 9: Only Passed | Without variation (SD Passed = 0)", "Group 10: Only Passed | With variation (SD Passed &gt; 0)"), IF(AND(G238=0, H238&gt;0), IF(ROUND(N238,8)=0, "Group 11: Only Failed | Without variation (SD Failed = 0)", "Group 12: Only Failed | With variation (SD Failed &gt; 0)"), IF(AND(G238&gt;0, H238&gt;0), IF(ROUND(J238,5)&lt;&gt;ROUND(M238,5), IF(AND(ROUND(K238,8)=0, ROUND(N238,8)=0), "Group 1: Flaky | Passed (no variation) AND Failed (no variation) | Different Means", IF(AND(ROUND(K238,8)&gt;0, ROUND(N238,8)&gt;0), "Group 2: Flaky | Passed (with variation) AND Failed (with variation) | Different Means", IF(AND(ROUND(K238,8)=0, ROUND(N238,8)&gt;0), "Group 3: Flaky | Passed (no variation) AND Failed (with variation) | Different Means", "Group 4: Flaky | Passed (with variation) AND Failed (no variation) | Different Means"))), IF(AND(ROUND(K238,8)=0, ROUND(N238,8)=0), "Group 5: Flaky | Passed (no variation) AND Failed (no variation) | Equal Means", IF(AND(ROUND(K238,8)&gt;0, ROUND(N238,8)&gt;0), "Group 6: Flaky | Passed (with variation) AND Failed (with variation) | Equal Means", IF(AND(ROUND(K238,8)=0, ROUND(N238,8)&gt;0),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38" s="22" t="n">
        <v>100</v>
      </c>
      <c r="R238" s="22" t="n">
        <v>0</v>
      </c>
      <c r="S238" s="23" t="str">
        <f aca="false">IF(AND(Q238&gt;0, R238&gt;0), "Observed Flaky Test", "Non-observed Flaky Test")</f>
        <v>Non-observed Flaky Test</v>
      </c>
      <c r="T238" s="22" t="n">
        <v>480527.92</v>
      </c>
      <c r="U238" s="24" t="n">
        <v>7.981899</v>
      </c>
      <c r="V238" s="25" t="n">
        <f aca="false">IFERROR(U238/T238*100,"N/A")</f>
        <v>0.00166106872624592</v>
      </c>
      <c r="W238" s="22" t="n">
        <v>0</v>
      </c>
      <c r="X238" s="22" t="n">
        <v>0</v>
      </c>
      <c r="Y238" s="27" t="str">
        <f aca="false">IFERROR(X238/W238*100,"N/A")</f>
        <v>N/A</v>
      </c>
      <c r="Z238" s="50" t="str">
        <f aca="false">IF(AND(Q238&gt;0, R238=0), IF(IFERROR(ROUND(V238,8),0)=0, "Group 9: Only Passed | Without variation (no var CV = 0)", "Group 10: Only Passed | With variation (with var CV &gt; 0)"), IF(AND(Q238=0, R238&gt;0), IF(IFERROR(ROUND(Y238,8),0)=0, "Group 11: Only Failed | Without variation (no var CV = 0)", "Group 12: Only Failed | With variation (with var CV &gt; 0)"), IF(AND(Q238&gt;0, R238&gt;0), IF(ROUND(T238,5)&lt;&gt;ROUND(W238,5), IF(AND(IFERROR(ROUND(V238,8),0)=0, IFERROR(ROUND(Y238,8),0)=0), "Group 1: Flaky | Passed (no variation: CV = 0) AND Failed (no variation: CV = 0) | Different Means", IF(AND(IFERROR(ROUND(V238,8),0)&gt;0, IFERROR(ROUND(Y238,8),0)&gt;0), "Group 2: Flaky | Passed (with variation: CV &gt; 0) AND Failed (with variation: CV &gt; 0) | Different Means", IF(AND(IFERROR(ROUND(V238,8),0)=0, IFERROR(ROUND(Y238,8),0)&gt;0), "Group 3: Flaky | Passed (no variation: CV = 0) AND Failed (with variation: CV &gt; 0) | Different Means", "Group 4: Flaky | Passed (with variation: CV &gt; 0) AND Failed (no variation: CV = 0) | Different Means"))), IF(AND(IFERROR(ROUND(V238,8),0)=0, IFERROR(ROUND(Y238,8),0)=0), "Group 5: Flaky | Passed (no var CV = 0) AND Failed (no var CV = 0) | Equal Means", IF(AND(IFERROR(ROUND(V238,8),0)&gt;0, IFERROR(ROUND(Y238,8),0)&gt;0), "Group 6: Flaky | Passed (with var CV &gt; 0) AND Failed (with var CV &gt; 0) | Equal Means", IF(AND(IFERROR(ROUND(V238,8),0)=0, IFERROR(ROUND(Y238,8),0)&gt;0),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8" s="29" t="n">
        <v>0.302366</v>
      </c>
      <c r="AB238" s="29" t="n">
        <v>0.015836</v>
      </c>
      <c r="AC238" s="29" t="n">
        <f aca="false">IFERROR(AB238/AA238*100,"N/A")</f>
        <v>5.2373613435373</v>
      </c>
      <c r="AD238" s="29" t="n">
        <v>0</v>
      </c>
      <c r="AE238" s="29" t="n">
        <v>0</v>
      </c>
      <c r="AF238" s="29" t="str">
        <f aca="false">IFERROR(AE238/AD238*100,"N/A")</f>
        <v>N/A</v>
      </c>
      <c r="AG238" s="51" t="str">
        <f aca="false">IF(AND(Q238&gt;0, R238=0), IF(IFERROR(ROUND(AC238,8),0)=0, "Group 9: Only Passed | Without variation (no var CV = 0)", "Group 10: Only Passed | With variation (with var CV &gt; 0)"), IF(AND(Q238=0, R238&gt;0), IF(IFERROR(ROUND(AF238,8),0)=0, "Group 11: Only Failed | Without variation (no var CV = 0)", "Group 12: Only Failed | With variation (with var CV &gt; 0)"), IF(AND(Q238&gt;0, R238&gt;0), IF(ROUND(AA238,5)&lt;&gt;ROUND(AD238,5), IF(AND(IFERROR(ROUND(AC238,8),0)=0, IFERROR(ROUND(AF238,8),0)=0), "Group 1: Flaky | Passed (no variation: CV = 0) AND Failed (no variation: CV = 0) | Different Means", IF(AND(IFERROR(ROUND(AC238,8),0)&gt;0, IFERROR(ROUND(AF238,8),0)&gt;0), "Group 2: Flaky | Passed (with variation: CV &gt; 0) AND Failed (with variation: CV &gt; 0) | Different Means", IF(AND(IFERROR(ROUND(AC238,8),0)=0, IFERROR(ROUND(AF238,8),0)&gt;0), "Group 3: Flaky | Passed (no variation: CV = 0) AND Failed (with variation: CV &gt; 0) | Different Means", "Group 4: Flaky | Passed (with variation: CV &gt; 0) AND Failed (no variation: CV = 0) | Different Means"))), IF(AND(IFERROR(ROUND(AC238,8),0)=0, IFERROR(ROUND(AF238,8),0)=0), "Group 5: Flaky | Passed (no var CV = 0) AND Failed (no var CV = 0) | Equal Means", IF(AND(IFERROR(ROUND(AC238,8),0)&gt;0, IFERROR(ROUND(AF238,8),0)&gt;0), "Group 6: Flaky | Passed (with var CV &gt; 0) AND Failed (with var CV &gt; 0) | Equal Means", IF(AND(IFERROR(ROUND(AC238,8),0)=0, IFERROR(ROUND(AF238,8),0)&gt;0),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8" s="22" t="n">
        <v>100</v>
      </c>
      <c r="AI238" s="17" t="n">
        <v>0</v>
      </c>
      <c r="AJ238" s="31" t="str">
        <f aca="false">IF(AND(AH238&gt;0, AI238&gt;0), "Observed Flaky Test", "Non-observed Flaky Test")</f>
        <v>Non-observed Flaky Test</v>
      </c>
      <c r="AK238" s="90" t="n">
        <v>1037</v>
      </c>
      <c r="AL238" s="90" t="n">
        <v>0</v>
      </c>
      <c r="AM238" s="33" t="n">
        <f aca="false">IFERROR(AL238/AK238*100,"N/A")</f>
        <v>0</v>
      </c>
      <c r="AN238" s="90" t="n">
        <v>0</v>
      </c>
      <c r="AO238" s="90" t="n">
        <v>0</v>
      </c>
      <c r="AP238" s="35" t="str">
        <f aca="false">IFERROR(AO238/AN238*100,"N/A")</f>
        <v>N/A</v>
      </c>
      <c r="AQ238" s="45" t="str">
        <f aca="false">IF(AND(AH238&gt;0, AI238&gt;0),
    IF(ROUND(N(AK238),5)&lt;&gt;ROUND(N(AN238),5),
        IF(AND(ROUND(N(AL238),8)=0, ROUND(N(AO238),8)=0), "Group 1: Flaky | Passed (no variation: SD = 0) AND Failed (no variation: SD = 0) | Different Means",
        IF(AND(ROUND(N(AL238),8)&gt;0, ROUND(N(AO238),8)&gt;0), "Group 2: Flaky | Passed (with variation: SD &gt; 0) AND Failed (with variation: SD &gt; 0) | Different Means",
        IF(AND(ROUND(N(AL238),8)=0, ROUND(N(AO238),8)&gt;0), "Group 3: Flaky | Passed (no variation: SD = 0) AND Failed (with variation: SD &gt; 0) | Different Means",
        "Group 4: Flaky | Passed (with variation: SD &gt; 0) AND Failed (no variation: SD = 0) | Different Means"))),
        IF(AND(ROUND(N(AL238),8)=0, ROUND(N(AO238),8)=0), "Group 5: Flaky | Passed (no var SD = 0) AND Failed (no var SD = 0) | Equal Means",
        IF(AND(ROUND(N(AL238),8)&gt;0, ROUND(N(AO238),8)&gt;0), "Group 6: Flaky | Passed (with var SD &gt; 0 ) AND Failed (with var SD &gt; 0) | Equal Means",
        IF(AND(ROUND(N(AL238),8)=0, ROUND(N(AO238),8)&gt;0), "Group 7: Flaky | Passed (no var SD = 0) AND Failed (with var SD &gt; 0) | Equal Means",
        "Group 8: Flaky | Passed (with var SD &gt; 0 ) AND Failed (no var SD = 0) | Equal Means")))
    ),
    IF(AH238&gt;0,
        IF(N(AL238)&gt;0, "Group 10: Only Passed | With variation (with var SD &gt; 0)", "Group 9: Only Passed | Without variation (no var SD = 0)"),
        IF(AI238&gt;0,
            IF(N(AO238)&gt;0,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38" s="37" t="str">
        <f aca="false">IF(OR(F238="Observed Flaky Test", I238="Observed Flaky Test", S238="Observed Flaky Test", AJ238="Observed Flaky Test"), "Observed Flaky Test", "Non-observed Flaky Test")</f>
        <v>Non-observed Flaky Test</v>
      </c>
    </row>
    <row r="239" customFormat="false" ht="15.75" hidden="false" customHeight="true" outlineLevel="0" collapsed="false">
      <c r="A239" s="104"/>
      <c r="B239" s="14" t="s">
        <v>558</v>
      </c>
      <c r="C239" s="14" t="s">
        <v>559</v>
      </c>
      <c r="D239" s="15" t="n">
        <v>100</v>
      </c>
      <c r="E239" s="15" t="n">
        <v>0</v>
      </c>
      <c r="F239" s="16" t="str">
        <f aca="false">IF(AND(D239&gt;0, E239&gt;0), "Observed Flaky Test", "Non-observed Flaky Test")</f>
        <v>Non-observed Flaky Test</v>
      </c>
      <c r="G239" s="22" t="n">
        <v>100</v>
      </c>
      <c r="H239" s="22" t="n">
        <v>0</v>
      </c>
      <c r="I239" s="16" t="str">
        <f aca="false">IF(AND(G239&gt;0, H239&gt;0), "Observed Flaky Test", "Non-observed Flaky Test")</f>
        <v>Non-observed Flaky Test</v>
      </c>
      <c r="J239" s="18" t="n">
        <v>26.53</v>
      </c>
      <c r="K239" s="18" t="n">
        <v>0</v>
      </c>
      <c r="L239" s="19" t="n">
        <f aca="false">IFERROR(K239/J239*100,"N/A")</f>
        <v>0</v>
      </c>
      <c r="M239" s="18" t="n">
        <v>0</v>
      </c>
      <c r="N239" s="18" t="n">
        <v>0</v>
      </c>
      <c r="O239" s="20" t="str">
        <f aca="false">IFERROR(N239/M239*100,"N/A")</f>
        <v>N/A</v>
      </c>
      <c r="P239" s="56" t="str">
        <f aca="false">IF(AND(G239&gt;0, H239=0), IF(ROUND(K239,8)=0, "Group 9: Only Passed | Without variation (SD Passed = 0)", "Group 10: Only Passed | With variation (SD Passed &gt; 0)"), IF(AND(G239=0, H239&gt;0), IF(ROUND(N239,8)=0, "Group 11: Only Failed | Without variation (SD Failed = 0)", "Group 12: Only Failed | With variation (SD Failed &gt; 0)"), IF(AND(G239&gt;0, H239&gt;0), IF(ROUND(J239,5)&lt;&gt;ROUND(M239,5), IF(AND(ROUND(K239,8)=0, ROUND(N239,8)=0), "Group 1: Flaky | Passed (no variation) AND Failed (no variation) | Different Means", IF(AND(ROUND(K239,8)&gt;0, ROUND(N239,8)&gt;0), "Group 2: Flaky | Passed (with variation) AND Failed (with variation) | Different Means", IF(AND(ROUND(K239,8)=0, ROUND(N239,8)&gt;0), "Group 3: Flaky | Passed (no variation) AND Failed (with variation) | Different Means", "Group 4: Flaky | Passed (with variation) AND Failed (no variation) | Different Means"))), IF(AND(ROUND(K239,8)=0, ROUND(N239,8)=0), "Group 5: Flaky | Passed (no variation) AND Failed (no variation) | Equal Means", IF(AND(ROUND(K239,8)&gt;0, ROUND(N239,8)&gt;0), "Group 6: Flaky | Passed (with variation) AND Failed (with variation) | Equal Means", IF(AND(ROUND(K239,8)=0, ROUND(N239,8)&gt;0),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39" s="22" t="n">
        <v>100</v>
      </c>
      <c r="R239" s="22" t="n">
        <v>0</v>
      </c>
      <c r="S239" s="23" t="str">
        <f aca="false">IF(AND(Q239&gt;0, R239&gt;0), "Observed Flaky Test", "Non-observed Flaky Test")</f>
        <v>Non-observed Flaky Test</v>
      </c>
      <c r="T239" s="24" t="n">
        <v>480527.91</v>
      </c>
      <c r="U239" s="24" t="n">
        <v>7.917625</v>
      </c>
      <c r="V239" s="25" t="n">
        <f aca="false">IFERROR(U239/T239*100,"N/A")</f>
        <v>0.00164769305491537</v>
      </c>
      <c r="W239" s="22" t="n">
        <v>0</v>
      </c>
      <c r="X239" s="22" t="n">
        <v>0</v>
      </c>
      <c r="Y239" s="27" t="str">
        <f aca="false">IFERROR(X239/W239*100,"N/A")</f>
        <v>N/A</v>
      </c>
      <c r="Z239" s="50" t="str">
        <f aca="false">IF(AND(Q239&gt;0, R239=0), IF(IFERROR(ROUND(V239,8),0)=0, "Group 9: Only Passed | Without variation (no var CV = 0)", "Group 10: Only Passed | With variation (with var CV &gt; 0)"), IF(AND(Q239=0, R239&gt;0), IF(IFERROR(ROUND(Y239,8),0)=0, "Group 11: Only Failed | Without variation (no var CV = 0)", "Group 12: Only Failed | With variation (with var CV &gt; 0)"), IF(AND(Q239&gt;0, R239&gt;0), IF(ROUND(T239,5)&lt;&gt;ROUND(W239,5), IF(AND(IFERROR(ROUND(V239,8),0)=0, IFERROR(ROUND(Y239,8),0)=0), "Group 1: Flaky | Passed (no variation: CV = 0) AND Failed (no variation: CV = 0) | Different Means", IF(AND(IFERROR(ROUND(V239,8),0)&gt;0, IFERROR(ROUND(Y239,8),0)&gt;0), "Group 2: Flaky | Passed (with variation: CV &gt; 0) AND Failed (with variation: CV &gt; 0) | Different Means", IF(AND(IFERROR(ROUND(V239,8),0)=0, IFERROR(ROUND(Y239,8),0)&gt;0), "Group 3: Flaky | Passed (no variation: CV = 0) AND Failed (with variation: CV &gt; 0) | Different Means", "Group 4: Flaky | Passed (with variation: CV &gt; 0) AND Failed (no variation: CV = 0) | Different Means"))), IF(AND(IFERROR(ROUND(V239,8),0)=0, IFERROR(ROUND(Y239,8),0)=0), "Group 5: Flaky | Passed (no var CV = 0) AND Failed (no var CV = 0) | Equal Means", IF(AND(IFERROR(ROUND(V239,8),0)&gt;0, IFERROR(ROUND(Y239,8),0)&gt;0), "Group 6: Flaky | Passed (with var CV &gt; 0) AND Failed (with var CV &gt; 0) | Equal Means", IF(AND(IFERROR(ROUND(V239,8),0)=0, IFERROR(ROUND(Y239,8),0)&gt;0),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39" s="29" t="n">
        <v>0.304777</v>
      </c>
      <c r="AB239" s="29" t="n">
        <v>0.019096</v>
      </c>
      <c r="AC239" s="29" t="n">
        <f aca="false">IFERROR(AB239/AA239*100,"N/A")</f>
        <v>6.2655646587505</v>
      </c>
      <c r="AD239" s="29" t="n">
        <v>0</v>
      </c>
      <c r="AE239" s="29" t="n">
        <v>0</v>
      </c>
      <c r="AF239" s="29" t="str">
        <f aca="false">IFERROR(AE239/AD239*100,"N/A")</f>
        <v>N/A</v>
      </c>
      <c r="AG239" s="51" t="str">
        <f aca="false">IF(AND(Q239&gt;0, R239=0), IF(IFERROR(ROUND(AC239,8),0)=0, "Group 9: Only Passed | Without variation (no var CV = 0)", "Group 10: Only Passed | With variation (with var CV &gt; 0)"), IF(AND(Q239=0, R239&gt;0), IF(IFERROR(ROUND(AF239,8),0)=0, "Group 11: Only Failed | Without variation (no var CV = 0)", "Group 12: Only Failed | With variation (with var CV &gt; 0)"), IF(AND(Q239&gt;0, R239&gt;0), IF(ROUND(AA239,5)&lt;&gt;ROUND(AD239,5), IF(AND(IFERROR(ROUND(AC239,8),0)=0, IFERROR(ROUND(AF239,8),0)=0), "Group 1: Flaky | Passed (no variation: CV = 0) AND Failed (no variation: CV = 0) | Different Means", IF(AND(IFERROR(ROUND(AC239,8),0)&gt;0, IFERROR(ROUND(AF239,8),0)&gt;0), "Group 2: Flaky | Passed (with variation: CV &gt; 0) AND Failed (with variation: CV &gt; 0) | Different Means", IF(AND(IFERROR(ROUND(AC239,8),0)=0, IFERROR(ROUND(AF239,8),0)&gt;0), "Group 3: Flaky | Passed (no variation: CV = 0) AND Failed (with variation: CV &gt; 0) | Different Means", "Group 4: Flaky | Passed (with variation: CV &gt; 0) AND Failed (no variation: CV = 0) | Different Means"))), IF(AND(IFERROR(ROUND(AC239,8),0)=0, IFERROR(ROUND(AF239,8),0)=0), "Group 5: Flaky | Passed (no var CV = 0) AND Failed (no var CV = 0) | Equal Means", IF(AND(IFERROR(ROUND(AC239,8),0)&gt;0, IFERROR(ROUND(AF239,8),0)&gt;0), "Group 6: Flaky | Passed (with var CV &gt; 0) AND Failed (with var CV &gt; 0) | Equal Means", IF(AND(IFERROR(ROUND(AC239,8),0)=0, IFERROR(ROUND(AF239,8),0)&gt;0),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39" s="22" t="n">
        <v>100</v>
      </c>
      <c r="AI239" s="17" t="n">
        <v>0</v>
      </c>
      <c r="AJ239" s="31" t="str">
        <f aca="false">IF(AND(AH239&gt;0, AI239&gt;0), "Observed Flaky Test", "Non-observed Flaky Test")</f>
        <v>Non-observed Flaky Test</v>
      </c>
      <c r="AK239" s="90" t="n">
        <v>1015</v>
      </c>
      <c r="AL239" s="90" t="n">
        <v>0</v>
      </c>
      <c r="AM239" s="33" t="n">
        <f aca="false">IFERROR(AL239/AK239*100,"N/A")</f>
        <v>0</v>
      </c>
      <c r="AN239" s="90" t="n">
        <v>0</v>
      </c>
      <c r="AO239" s="90" t="n">
        <v>0</v>
      </c>
      <c r="AP239" s="35" t="str">
        <f aca="false">IFERROR(AO239/AN239*100,"N/A")</f>
        <v>N/A</v>
      </c>
      <c r="AQ239" s="45" t="str">
        <f aca="false">IF(AND(AH239&gt;0, AI239&gt;0),
    IF(ROUND(N(AK239),5)&lt;&gt;ROUND(N(AN239),5),
        IF(AND(ROUND(N(AL239),8)=0, ROUND(N(AO239),8)=0), "Group 1: Flaky | Passed (no variation: SD = 0) AND Failed (no variation: SD = 0) | Different Means",
        IF(AND(ROUND(N(AL239),8)&gt;0, ROUND(N(AO239),8)&gt;0), "Group 2: Flaky | Passed (with variation: SD &gt; 0) AND Failed (with variation: SD &gt; 0) | Different Means",
        IF(AND(ROUND(N(AL239),8)=0, ROUND(N(AO239),8)&gt;0), "Group 3: Flaky | Passed (no variation: SD = 0) AND Failed (with variation: SD &gt; 0) | Different Means",
        "Group 4: Flaky | Passed (with variation: SD &gt; 0) AND Failed (no variation: SD = 0) | Different Means"))),
        IF(AND(ROUND(N(AL239),8)=0, ROUND(N(AO239),8)=0), "Group 5: Flaky | Passed (no var SD = 0) AND Failed (no var SD = 0) | Equal Means",
        IF(AND(ROUND(N(AL239),8)&gt;0, ROUND(N(AO239),8)&gt;0), "Group 6: Flaky | Passed (with var SD &gt; 0 ) AND Failed (with var SD &gt; 0) | Equal Means",
        IF(AND(ROUND(N(AL239),8)=0, ROUND(N(AO239),8)&gt;0), "Group 7: Flaky | Passed (no var SD = 0) AND Failed (with var SD &gt; 0) | Equal Means",
        "Group 8: Flaky | Passed (with var SD &gt; 0 ) AND Failed (no var SD = 0) | Equal Means")))
    ),
    IF(AH239&gt;0,
        IF(N(AL239)&gt;0, "Group 10: Only Passed | With variation (with var SD &gt; 0)", "Group 9: Only Passed | Without variation (no var SD = 0)"),
        IF(AI239&gt;0,
            IF(N(AO239)&gt;0,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39" s="37" t="str">
        <f aca="false">IF(OR(F239="Observed Flaky Test", I239="Observed Flaky Test", S239="Observed Flaky Test", AJ239="Observed Flaky Test"), "Observed Flaky Test", "Non-observed Flaky Test")</f>
        <v>Non-observed Flaky Test</v>
      </c>
    </row>
    <row r="240" customFormat="false" ht="15.75" hidden="false" customHeight="true" outlineLevel="0" collapsed="false">
      <c r="A240" s="104"/>
      <c r="B240" s="14" t="s">
        <v>560</v>
      </c>
      <c r="C240" s="14" t="s">
        <v>561</v>
      </c>
      <c r="D240" s="15" t="n">
        <v>100</v>
      </c>
      <c r="E240" s="15" t="n">
        <v>0</v>
      </c>
      <c r="F240" s="16" t="str">
        <f aca="false">IF(AND(D240&gt;0, E240&gt;0), "Observed Flaky Test", "Non-observed Flaky Test")</f>
        <v>Non-observed Flaky Test</v>
      </c>
      <c r="G240" s="22" t="n">
        <v>100</v>
      </c>
      <c r="H240" s="22" t="n">
        <v>0</v>
      </c>
      <c r="I240" s="16" t="str">
        <f aca="false">IF(AND(G240&gt;0, H240&gt;0), "Observed Flaky Test", "Non-observed Flaky Test")</f>
        <v>Non-observed Flaky Test</v>
      </c>
      <c r="J240" s="18" t="n">
        <v>27.08</v>
      </c>
      <c r="K240" s="18" t="n">
        <v>0</v>
      </c>
      <c r="L240" s="19" t="n">
        <f aca="false">IFERROR(K240/J240*100,"N/A")</f>
        <v>0</v>
      </c>
      <c r="M240" s="18" t="n">
        <v>0</v>
      </c>
      <c r="N240" s="18" t="n">
        <v>0</v>
      </c>
      <c r="O240" s="20" t="str">
        <f aca="false">IFERROR(N240/M240*100,"N/A")</f>
        <v>N/A</v>
      </c>
      <c r="P240" s="56" t="str">
        <f aca="false">IF(AND(G240&gt;0, H240=0), IF(ROUND(K240,8)=0, "Group 9: Only Passed | Without variation (SD Passed = 0)", "Group 10: Only Passed | With variation (SD Passed &gt; 0)"), IF(AND(G240=0, H240&gt;0), IF(ROUND(N240,8)=0, "Group 11: Only Failed | Without variation (SD Failed = 0)", "Group 12: Only Failed | With variation (SD Failed &gt; 0)"), IF(AND(G240&gt;0, H240&gt;0), IF(ROUND(J240,5)&lt;&gt;ROUND(M240,5), IF(AND(ROUND(K240,8)=0, ROUND(N240,8)=0), "Group 1: Flaky | Passed (no variation) AND Failed (no variation) | Different Means", IF(AND(ROUND(K240,8)&gt;0, ROUND(N240,8)&gt;0), "Group 2: Flaky | Passed (with variation) AND Failed (with variation) | Different Means", IF(AND(ROUND(K240,8)=0, ROUND(N240,8)&gt;0), "Group 3: Flaky | Passed (no variation) AND Failed (with variation) | Different Means", "Group 4: Flaky | Passed (with variation) AND Failed (no variation) | Different Means"))), IF(AND(ROUND(K240,8)=0, ROUND(N240,8)=0), "Group 5: Flaky | Passed (no variation) AND Failed (no variation) | Equal Means", IF(AND(ROUND(K240,8)&gt;0, ROUND(N240,8)&gt;0), "Group 6: Flaky | Passed (with variation) AND Failed (with variation) | Equal Means", IF(AND(ROUND(K240,8)=0, ROUND(N240,8)&gt;0),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0" s="22" t="n">
        <v>100</v>
      </c>
      <c r="R240" s="22" t="n">
        <v>0</v>
      </c>
      <c r="S240" s="23" t="str">
        <f aca="false">IF(AND(Q240&gt;0, R240&gt;0), "Observed Flaky Test", "Non-observed Flaky Test")</f>
        <v>Non-observed Flaky Test</v>
      </c>
      <c r="T240" s="22" t="n">
        <v>480517.74</v>
      </c>
      <c r="U240" s="24" t="n">
        <v>8.171915</v>
      </c>
      <c r="V240" s="25" t="n">
        <f aca="false">IFERROR(U240/T240*100,"N/A")</f>
        <v>0.00170064793029285</v>
      </c>
      <c r="W240" s="22" t="n">
        <v>0</v>
      </c>
      <c r="X240" s="22" t="n">
        <v>0</v>
      </c>
      <c r="Y240" s="27" t="str">
        <f aca="false">IFERROR(X240/W240*100,"N/A")</f>
        <v>N/A</v>
      </c>
      <c r="Z240" s="50" t="str">
        <f aca="false">IF(AND(Q240&gt;0, R240=0), IF(IFERROR(ROUND(V240,8),0)=0, "Group 9: Only Passed | Without variation (no var CV = 0)", "Group 10: Only Passed | With variation (with var CV &gt; 0)"), IF(AND(Q240=0, R240&gt;0), IF(IFERROR(ROUND(Y240,8),0)=0, "Group 11: Only Failed | Without variation (no var CV = 0)", "Group 12: Only Failed | With variation (with var CV &gt; 0)"), IF(AND(Q240&gt;0, R240&gt;0), IF(ROUND(T240,5)&lt;&gt;ROUND(W240,5), IF(AND(IFERROR(ROUND(V240,8),0)=0, IFERROR(ROUND(Y240,8),0)=0), "Group 1: Flaky | Passed (no variation: CV = 0) AND Failed (no variation: CV = 0) | Different Means", IF(AND(IFERROR(ROUND(V240,8),0)&gt;0, IFERROR(ROUND(Y240,8),0)&gt;0), "Group 2: Flaky | Passed (with variation: CV &gt; 0) AND Failed (with variation: CV &gt; 0) | Different Means", IF(AND(IFERROR(ROUND(V240,8),0)=0, IFERROR(ROUND(Y240,8),0)&gt;0), "Group 3: Flaky | Passed (no variation: CV = 0) AND Failed (with variation: CV &gt; 0) | Different Means", "Group 4: Flaky | Passed (with variation: CV &gt; 0) AND Failed (no variation: CV = 0) | Different Means"))), IF(AND(IFERROR(ROUND(V240,8),0)=0, IFERROR(ROUND(Y240,8),0)=0), "Group 5: Flaky | Passed (no var CV = 0) AND Failed (no var CV = 0) | Equal Means", IF(AND(IFERROR(ROUND(V240,8),0)&gt;0, IFERROR(ROUND(Y240,8),0)&gt;0), "Group 6: Flaky | Passed (with var CV &gt; 0) AND Failed (with var CV &gt; 0) | Equal Means", IF(AND(IFERROR(ROUND(V240,8),0)=0, IFERROR(ROUND(Y240,8),0)&gt;0),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0" s="29" t="n">
        <v>0.303329</v>
      </c>
      <c r="AB240" s="29" t="n">
        <v>0.00559</v>
      </c>
      <c r="AC240" s="29" t="n">
        <f aca="false">IFERROR(AB240/AA240*100,"N/A")</f>
        <v>1.84288346976385</v>
      </c>
      <c r="AD240" s="29" t="n">
        <v>0</v>
      </c>
      <c r="AE240" s="29" t="n">
        <v>0</v>
      </c>
      <c r="AF240" s="29" t="str">
        <f aca="false">IFERROR(AE240/AD240*100,"N/A")</f>
        <v>N/A</v>
      </c>
      <c r="AG240" s="51" t="str">
        <f aca="false">IF(AND(Q240&gt;0, R240=0), IF(IFERROR(ROUND(AC240,8),0)=0, "Group 9: Only Passed | Without variation (no var CV = 0)", "Group 10: Only Passed | With variation (with var CV &gt; 0)"), IF(AND(Q240=0, R240&gt;0), IF(IFERROR(ROUND(AF240,8),0)=0, "Group 11: Only Failed | Without variation (no var CV = 0)", "Group 12: Only Failed | With variation (with var CV &gt; 0)"), IF(AND(Q240&gt;0, R240&gt;0), IF(ROUND(AA240,5)&lt;&gt;ROUND(AD240,5), IF(AND(IFERROR(ROUND(AC240,8),0)=0, IFERROR(ROUND(AF240,8),0)=0), "Group 1: Flaky | Passed (no variation: CV = 0) AND Failed (no variation: CV = 0) | Different Means", IF(AND(IFERROR(ROUND(AC240,8),0)&gt;0, IFERROR(ROUND(AF240,8),0)&gt;0), "Group 2: Flaky | Passed (with variation: CV &gt; 0) AND Failed (with variation: CV &gt; 0) | Different Means", IF(AND(IFERROR(ROUND(AC240,8),0)=0, IFERROR(ROUND(AF240,8),0)&gt;0), "Group 3: Flaky | Passed (no variation: CV = 0) AND Failed (with variation: CV &gt; 0) | Different Means", "Group 4: Flaky | Passed (with variation: CV &gt; 0) AND Failed (no variation: CV = 0) | Different Means"))), IF(AND(IFERROR(ROUND(AC240,8),0)=0, IFERROR(ROUND(AF240,8),0)=0), "Group 5: Flaky | Passed (no var CV = 0) AND Failed (no var CV = 0) | Equal Means", IF(AND(IFERROR(ROUND(AC240,8),0)&gt;0, IFERROR(ROUND(AF240,8),0)&gt;0), "Group 6: Flaky | Passed (with var CV &gt; 0) AND Failed (with var CV &gt; 0) | Equal Means", IF(AND(IFERROR(ROUND(AC240,8),0)=0, IFERROR(ROUND(AF240,8),0)&gt;0),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0" s="22" t="n">
        <v>100</v>
      </c>
      <c r="AI240" s="17" t="n">
        <v>0</v>
      </c>
      <c r="AJ240" s="31" t="str">
        <f aca="false">IF(AND(AH240&gt;0, AI240&gt;0), "Observed Flaky Test", "Non-observed Flaky Test")</f>
        <v>Non-observed Flaky Test</v>
      </c>
      <c r="AK240" s="90" t="n">
        <v>1043</v>
      </c>
      <c r="AL240" s="90" t="n">
        <v>0</v>
      </c>
      <c r="AM240" s="33" t="n">
        <f aca="false">IFERROR(AL240/AK240*100,"N/A")</f>
        <v>0</v>
      </c>
      <c r="AN240" s="90" t="n">
        <v>0</v>
      </c>
      <c r="AO240" s="90" t="n">
        <v>0</v>
      </c>
      <c r="AP240" s="35" t="str">
        <f aca="false">IFERROR(AO240/AN240*100,"N/A")</f>
        <v>N/A</v>
      </c>
      <c r="AQ240" s="45" t="str">
        <f aca="false">IF(AND(AH240&gt;0, AI240&gt;0),
    IF(ROUND(N(AK240),5)&lt;&gt;ROUND(N(AN240),5),
        IF(AND(ROUND(N(AL240),8)=0, ROUND(N(AO240),8)=0), "Group 1: Flaky | Passed (no variation: SD = 0) AND Failed (no variation: SD = 0) | Different Means",
        IF(AND(ROUND(N(AL240),8)&gt;0, ROUND(N(AO240),8)&gt;0), "Group 2: Flaky | Passed (with variation: SD &gt; 0) AND Failed (with variation: SD &gt; 0) | Different Means",
        IF(AND(ROUND(N(AL240),8)=0, ROUND(N(AO240),8)&gt;0), "Group 3: Flaky | Passed (no variation: SD = 0) AND Failed (with variation: SD &gt; 0) | Different Means",
        "Group 4: Flaky | Passed (with variation: SD &gt; 0) AND Failed (no variation: SD = 0) | Different Means"))),
        IF(AND(ROUND(N(AL240),8)=0, ROUND(N(AO240),8)=0), "Group 5: Flaky | Passed (no var SD = 0) AND Failed (no var SD = 0) | Equal Means",
        IF(AND(ROUND(N(AL240),8)&gt;0, ROUND(N(AO240),8)&gt;0), "Group 6: Flaky | Passed (with var SD &gt; 0 ) AND Failed (with var SD &gt; 0) | Equal Means",
        IF(AND(ROUND(N(AL240),8)=0, ROUND(N(AO240),8)&gt;0), "Group 7: Flaky | Passed (no var SD = 0) AND Failed (with var SD &gt; 0) | Equal Means",
        "Group 8: Flaky | Passed (with var SD &gt; 0 ) AND Failed (no var SD = 0) | Equal Means")))
    ),
    IF(AH240&gt;0,
        IF(N(AL240)&gt;0, "Group 10: Only Passed | With variation (with var SD &gt; 0)", "Group 9: Only Passed | Without variation (no var SD = 0)"),
        IF(AI240&gt;0,
            IF(N(AO240)&gt;0,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0" s="37" t="str">
        <f aca="false">IF(OR(F240="Observed Flaky Test", I240="Observed Flaky Test", S240="Observed Flaky Test", AJ240="Observed Flaky Test"), "Observed Flaky Test", "Non-observed Flaky Test")</f>
        <v>Non-observed Flaky Test</v>
      </c>
    </row>
    <row r="241" customFormat="false" ht="15.75" hidden="false" customHeight="true" outlineLevel="0" collapsed="false">
      <c r="A241" s="104"/>
      <c r="B241" s="14" t="s">
        <v>562</v>
      </c>
      <c r="C241" s="14" t="s">
        <v>563</v>
      </c>
      <c r="D241" s="15" t="n">
        <v>100</v>
      </c>
      <c r="E241" s="15" t="n">
        <v>0</v>
      </c>
      <c r="F241" s="16" t="str">
        <f aca="false">IF(AND(D241&gt;0, E241&gt;0), "Observed Flaky Test", "Non-observed Flaky Test")</f>
        <v>Non-observed Flaky Test</v>
      </c>
      <c r="G241" s="22" t="n">
        <v>100</v>
      </c>
      <c r="H241" s="22" t="n">
        <v>0</v>
      </c>
      <c r="I241" s="16" t="str">
        <f aca="false">IF(AND(G241&gt;0, H241&gt;0), "Observed Flaky Test", "Non-observed Flaky Test")</f>
        <v>Non-observed Flaky Test</v>
      </c>
      <c r="J241" s="18" t="n">
        <v>26.71</v>
      </c>
      <c r="K241" s="18" t="n">
        <v>0</v>
      </c>
      <c r="L241" s="19" t="n">
        <f aca="false">IFERROR(K241/J241*100,"N/A")</f>
        <v>0</v>
      </c>
      <c r="M241" s="18" t="n">
        <v>0</v>
      </c>
      <c r="N241" s="18" t="n">
        <v>0</v>
      </c>
      <c r="O241" s="20" t="str">
        <f aca="false">IFERROR(N241/M241*100,"N/A")</f>
        <v>N/A</v>
      </c>
      <c r="P241" s="56" t="str">
        <f aca="false">IF(AND(G241&gt;0, H241=0), IF(ROUND(K241,8)=0, "Group 9: Only Passed | Without variation (SD Passed = 0)", "Group 10: Only Passed | With variation (SD Passed &gt; 0)"), IF(AND(G241=0, H241&gt;0), IF(ROUND(N241,8)=0, "Group 11: Only Failed | Without variation (SD Failed = 0)", "Group 12: Only Failed | With variation (SD Failed &gt; 0)"), IF(AND(G241&gt;0, H241&gt;0), IF(ROUND(J241,5)&lt;&gt;ROUND(M241,5), IF(AND(ROUND(K241,8)=0, ROUND(N241,8)=0), "Group 1: Flaky | Passed (no variation) AND Failed (no variation) | Different Means", IF(AND(ROUND(K241,8)&gt;0, ROUND(N241,8)&gt;0), "Group 2: Flaky | Passed (with variation) AND Failed (with variation) | Different Means", IF(AND(ROUND(K241,8)=0, ROUND(N241,8)&gt;0), "Group 3: Flaky | Passed (no variation) AND Failed (with variation) | Different Means", "Group 4: Flaky | Passed (with variation) AND Failed (no variation) | Different Means"))), IF(AND(ROUND(K241,8)=0, ROUND(N241,8)=0), "Group 5: Flaky | Passed (no variation) AND Failed (no variation) | Equal Means", IF(AND(ROUND(K241,8)&gt;0, ROUND(N241,8)&gt;0), "Group 6: Flaky | Passed (with variation) AND Failed (with variation) | Equal Means", IF(AND(ROUND(K241,8)=0, ROUND(N241,8)&gt;0),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1" s="22" t="n">
        <v>100</v>
      </c>
      <c r="R241" s="22" t="n">
        <v>0</v>
      </c>
      <c r="S241" s="23" t="str">
        <f aca="false">IF(AND(Q241&gt;0, R241&gt;0), "Observed Flaky Test", "Non-observed Flaky Test")</f>
        <v>Non-observed Flaky Test</v>
      </c>
      <c r="T241" s="22" t="n">
        <v>478417.27</v>
      </c>
      <c r="U241" s="24" t="n">
        <v>7.867405</v>
      </c>
      <c r="V241" s="25" t="n">
        <f aca="false">IFERROR(U241/T241*100,"N/A")</f>
        <v>0.00164446509215689</v>
      </c>
      <c r="W241" s="22" t="n">
        <v>0</v>
      </c>
      <c r="X241" s="22" t="n">
        <v>0</v>
      </c>
      <c r="Y241" s="27" t="str">
        <f aca="false">IFERROR(X241/W241*100,"N/A")</f>
        <v>N/A</v>
      </c>
      <c r="Z241" s="50" t="str">
        <f aca="false">IF(AND(Q241&gt;0, R241=0), IF(IFERROR(ROUND(V241,8),0)=0, "Group 9: Only Passed | Without variation (no var CV = 0)", "Group 10: Only Passed | With variation (with var CV &gt; 0)"), IF(AND(Q241=0, R241&gt;0), IF(IFERROR(ROUND(Y241,8),0)=0, "Group 11: Only Failed | Without variation (no var CV = 0)", "Group 12: Only Failed | With variation (with var CV &gt; 0)"), IF(AND(Q241&gt;0, R241&gt;0), IF(ROUND(T241,5)&lt;&gt;ROUND(W241,5), IF(AND(IFERROR(ROUND(V241,8),0)=0, IFERROR(ROUND(Y241,8),0)=0), "Group 1: Flaky | Passed (no variation: CV = 0) AND Failed (no variation: CV = 0) | Different Means", IF(AND(IFERROR(ROUND(V241,8),0)&gt;0, IFERROR(ROUND(Y241,8),0)&gt;0), "Group 2: Flaky | Passed (with variation: CV &gt; 0) AND Failed (with variation: CV &gt; 0) | Different Means", IF(AND(IFERROR(ROUND(V241,8),0)=0, IFERROR(ROUND(Y241,8),0)&gt;0), "Group 3: Flaky | Passed (no variation: CV = 0) AND Failed (with variation: CV &gt; 0) | Different Means", "Group 4: Flaky | Passed (with variation: CV &gt; 0) AND Failed (no variation: CV = 0) | Different Means"))), IF(AND(IFERROR(ROUND(V241,8),0)=0, IFERROR(ROUND(Y241,8),0)=0), "Group 5: Flaky | Passed (no var CV = 0) AND Failed (no var CV = 0) | Equal Means", IF(AND(IFERROR(ROUND(V241,8),0)&gt;0, IFERROR(ROUND(Y241,8),0)&gt;0), "Group 6: Flaky | Passed (with var CV &gt; 0) AND Failed (with var CV &gt; 0) | Equal Means", IF(AND(IFERROR(ROUND(V241,8),0)=0, IFERROR(ROUND(Y241,8),0)&gt;0),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1" s="29" t="n">
        <v>0.303872</v>
      </c>
      <c r="AB241" s="29" t="n">
        <v>0.007822</v>
      </c>
      <c r="AC241" s="29" t="n">
        <f aca="false">IFERROR(AB241/AA241*100,"N/A")</f>
        <v>2.5741101516428</v>
      </c>
      <c r="AD241" s="29" t="n">
        <v>0</v>
      </c>
      <c r="AE241" s="29" t="n">
        <v>0</v>
      </c>
      <c r="AF241" s="29" t="str">
        <f aca="false">IFERROR(AE241/AD241*100,"N/A")</f>
        <v>N/A</v>
      </c>
      <c r="AG241" s="51" t="str">
        <f aca="false">IF(AND(Q241&gt;0, R241=0), IF(IFERROR(ROUND(AC241,8),0)=0, "Group 9: Only Passed | Without variation (no var CV = 0)", "Group 10: Only Passed | With variation (with var CV &gt; 0)"), IF(AND(Q241=0, R241&gt;0), IF(IFERROR(ROUND(AF241,8),0)=0, "Group 11: Only Failed | Without variation (no var CV = 0)", "Group 12: Only Failed | With variation (with var CV &gt; 0)"), IF(AND(Q241&gt;0, R241&gt;0), IF(ROUND(AA241,5)&lt;&gt;ROUND(AD241,5), IF(AND(IFERROR(ROUND(AC241,8),0)=0, IFERROR(ROUND(AF241,8),0)=0), "Group 1: Flaky | Passed (no variation: CV = 0) AND Failed (no variation: CV = 0) | Different Means", IF(AND(IFERROR(ROUND(AC241,8),0)&gt;0, IFERROR(ROUND(AF241,8),0)&gt;0), "Group 2: Flaky | Passed (with variation: CV &gt; 0) AND Failed (with variation: CV &gt; 0) | Different Means", IF(AND(IFERROR(ROUND(AC241,8),0)=0, IFERROR(ROUND(AF241,8),0)&gt;0), "Group 3: Flaky | Passed (no variation: CV = 0) AND Failed (with variation: CV &gt; 0) | Different Means", "Group 4: Flaky | Passed (with variation: CV &gt; 0) AND Failed (no variation: CV = 0) | Different Means"))), IF(AND(IFERROR(ROUND(AC241,8),0)=0, IFERROR(ROUND(AF241,8),0)=0), "Group 5: Flaky | Passed (no var CV = 0) AND Failed (no var CV = 0) | Equal Means", IF(AND(IFERROR(ROUND(AC241,8),0)&gt;0, IFERROR(ROUND(AF241,8),0)&gt;0), "Group 6: Flaky | Passed (with var CV &gt; 0) AND Failed (with var CV &gt; 0) | Equal Means", IF(AND(IFERROR(ROUND(AC241,8),0)=0, IFERROR(ROUND(AF241,8),0)&gt;0),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1" s="22" t="n">
        <v>100</v>
      </c>
      <c r="AI241" s="17" t="n">
        <v>0</v>
      </c>
      <c r="AJ241" s="31" t="str">
        <f aca="false">IF(AND(AH241&gt;0, AI241&gt;0), "Observed Flaky Test", "Non-observed Flaky Test")</f>
        <v>Non-observed Flaky Test</v>
      </c>
      <c r="AK241" s="90" t="n">
        <v>791</v>
      </c>
      <c r="AL241" s="90" t="n">
        <v>0</v>
      </c>
      <c r="AM241" s="33" t="n">
        <f aca="false">IFERROR(AL241/AK241*100,"N/A")</f>
        <v>0</v>
      </c>
      <c r="AN241" s="90" t="n">
        <v>0</v>
      </c>
      <c r="AO241" s="90" t="n">
        <v>0</v>
      </c>
      <c r="AP241" s="35" t="str">
        <f aca="false">IFERROR(AO241/AN241*100,"N/A")</f>
        <v>N/A</v>
      </c>
      <c r="AQ241" s="45" t="str">
        <f aca="false">IF(AND(AH241&gt;0, AI241&gt;0),
    IF(ROUND(N(AK241),5)&lt;&gt;ROUND(N(AN241),5),
        IF(AND(ROUND(N(AL241),8)=0, ROUND(N(AO241),8)=0), "Group 1: Flaky | Passed (no variation: SD = 0) AND Failed (no variation: SD = 0) | Different Means",
        IF(AND(ROUND(N(AL241),8)&gt;0, ROUND(N(AO241),8)&gt;0), "Group 2: Flaky | Passed (with variation: SD &gt; 0) AND Failed (with variation: SD &gt; 0) | Different Means",
        IF(AND(ROUND(N(AL241),8)=0, ROUND(N(AO241),8)&gt;0), "Group 3: Flaky | Passed (no variation: SD = 0) AND Failed (with variation: SD &gt; 0) | Different Means",
        "Group 4: Flaky | Passed (with variation: SD &gt; 0) AND Failed (no variation: SD = 0) | Different Means"))),
        IF(AND(ROUND(N(AL241),8)=0, ROUND(N(AO241),8)=0), "Group 5: Flaky | Passed (no var SD = 0) AND Failed (no var SD = 0) | Equal Means",
        IF(AND(ROUND(N(AL241),8)&gt;0, ROUND(N(AO241),8)&gt;0), "Group 6: Flaky | Passed (with var SD &gt; 0 ) AND Failed (with var SD &gt; 0) | Equal Means",
        IF(AND(ROUND(N(AL241),8)=0, ROUND(N(AO241),8)&gt;0), "Group 7: Flaky | Passed (no var SD = 0) AND Failed (with var SD &gt; 0) | Equal Means",
        "Group 8: Flaky | Passed (with var SD &gt; 0 ) AND Failed (no var SD = 0) | Equal Means")))
    ),
    IF(AH241&gt;0,
        IF(N(AL241)&gt;0, "Group 10: Only Passed | With variation (with var SD &gt; 0)", "Group 9: Only Passed | Without variation (no var SD = 0)"),
        IF(AI241&gt;0,
            IF(N(AO241)&gt;0,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1" s="37" t="str">
        <f aca="false">IF(OR(F241="Observed Flaky Test", I241="Observed Flaky Test", S241="Observed Flaky Test", AJ241="Observed Flaky Test"), "Observed Flaky Test", "Non-observed Flaky Test")</f>
        <v>Non-observed Flaky Test</v>
      </c>
    </row>
    <row r="242" customFormat="false" ht="15.75" hidden="false" customHeight="true" outlineLevel="0" collapsed="false">
      <c r="A242" s="104"/>
      <c r="B242" s="14" t="s">
        <v>564</v>
      </c>
      <c r="C242" s="14" t="s">
        <v>565</v>
      </c>
      <c r="D242" s="15" t="n">
        <v>100</v>
      </c>
      <c r="E242" s="15" t="n">
        <v>0</v>
      </c>
      <c r="F242" s="16" t="str">
        <f aca="false">IF(AND(D242&gt;0, E242&gt;0), "Observed Flaky Test", "Non-observed Flaky Test")</f>
        <v>Non-observed Flaky Test</v>
      </c>
      <c r="G242" s="22" t="n">
        <v>100</v>
      </c>
      <c r="H242" s="22" t="n">
        <v>0</v>
      </c>
      <c r="I242" s="16" t="str">
        <f aca="false">IF(AND(G242&gt;0, H242&gt;0), "Observed Flaky Test", "Non-observed Flaky Test")</f>
        <v>Non-observed Flaky Test</v>
      </c>
      <c r="J242" s="18" t="n">
        <v>26.35</v>
      </c>
      <c r="K242" s="18" t="n">
        <v>0</v>
      </c>
      <c r="L242" s="19" t="n">
        <f aca="false">IFERROR(K242/J242*100,"N/A")</f>
        <v>0</v>
      </c>
      <c r="M242" s="18" t="n">
        <v>0</v>
      </c>
      <c r="N242" s="18" t="n">
        <v>0</v>
      </c>
      <c r="O242" s="20" t="str">
        <f aca="false">IFERROR(N242/M242*100,"N/A")</f>
        <v>N/A</v>
      </c>
      <c r="P242" s="56" t="str">
        <f aca="false">IF(AND(G242&gt;0, H242=0), IF(ROUND(K242,8)=0, "Group 9: Only Passed | Without variation (SD Passed = 0)", "Group 10: Only Passed | With variation (SD Passed &gt; 0)"), IF(AND(G242=0, H242&gt;0), IF(ROUND(N242,8)=0, "Group 11: Only Failed | Without variation (SD Failed = 0)", "Group 12: Only Failed | With variation (SD Failed &gt; 0)"), IF(AND(G242&gt;0, H242&gt;0), IF(ROUND(J242,5)&lt;&gt;ROUND(M242,5), IF(AND(ROUND(K242,8)=0, ROUND(N242,8)=0), "Group 1: Flaky | Passed (no variation) AND Failed (no variation) | Different Means", IF(AND(ROUND(K242,8)&gt;0, ROUND(N242,8)&gt;0), "Group 2: Flaky | Passed (with variation) AND Failed (with variation) | Different Means", IF(AND(ROUND(K242,8)=0, ROUND(N242,8)&gt;0), "Group 3: Flaky | Passed (no variation) AND Failed (with variation) | Different Means", "Group 4: Flaky | Passed (with variation) AND Failed (no variation) | Different Means"))), IF(AND(ROUND(K242,8)=0, ROUND(N242,8)=0), "Group 5: Flaky | Passed (no variation) AND Failed (no variation) | Equal Means", IF(AND(ROUND(K242,8)&gt;0, ROUND(N242,8)&gt;0), "Group 6: Flaky | Passed (with variation) AND Failed (with variation) | Equal Means", IF(AND(ROUND(K242,8)=0, ROUND(N242,8)&gt;0),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2" s="22" t="n">
        <v>100</v>
      </c>
      <c r="R242" s="22" t="n">
        <v>0</v>
      </c>
      <c r="S242" s="23" t="str">
        <f aca="false">IF(AND(Q242&gt;0, R242&gt;0), "Observed Flaky Test", "Non-observed Flaky Test")</f>
        <v>Non-observed Flaky Test</v>
      </c>
      <c r="T242" s="22" t="n">
        <v>478412.81</v>
      </c>
      <c r="U242" s="24" t="n">
        <v>10.801884</v>
      </c>
      <c r="V242" s="25" t="n">
        <f aca="false">IFERROR(U242/T242*100,"N/A")</f>
        <v>0.00225785843819692</v>
      </c>
      <c r="W242" s="22" t="n">
        <v>0</v>
      </c>
      <c r="X242" s="22" t="n">
        <v>0</v>
      </c>
      <c r="Y242" s="27" t="str">
        <f aca="false">IFERROR(X242/W242*100,"N/A")</f>
        <v>N/A</v>
      </c>
      <c r="Z242" s="50" t="str">
        <f aca="false">IF(AND(Q242&gt;0, R242=0), IF(IFERROR(ROUND(V242,8),0)=0, "Group 9: Only Passed | Without variation (no var CV = 0)", "Group 10: Only Passed | With variation (with var CV &gt; 0)"), IF(AND(Q242=0, R242&gt;0), IF(IFERROR(ROUND(Y242,8),0)=0, "Group 11: Only Failed | Without variation (no var CV = 0)", "Group 12: Only Failed | With variation (with var CV &gt; 0)"), IF(AND(Q242&gt;0, R242&gt;0), IF(ROUND(T242,5)&lt;&gt;ROUND(W242,5), IF(AND(IFERROR(ROUND(V242,8),0)=0, IFERROR(ROUND(Y242,8),0)=0), "Group 1: Flaky | Passed (no variation: CV = 0) AND Failed (no variation: CV = 0) | Different Means", IF(AND(IFERROR(ROUND(V242,8),0)&gt;0, IFERROR(ROUND(Y242,8),0)&gt;0), "Group 2: Flaky | Passed (with variation: CV &gt; 0) AND Failed (with variation: CV &gt; 0) | Different Means", IF(AND(IFERROR(ROUND(V242,8),0)=0, IFERROR(ROUND(Y242,8),0)&gt;0), "Group 3: Flaky | Passed (no variation: CV = 0) AND Failed (with variation: CV &gt; 0) | Different Means", "Group 4: Flaky | Passed (with variation: CV &gt; 0) AND Failed (no variation: CV = 0) | Different Means"))), IF(AND(IFERROR(ROUND(V242,8),0)=0, IFERROR(ROUND(Y242,8),0)=0), "Group 5: Flaky | Passed (no var CV = 0) AND Failed (no var CV = 0) | Equal Means", IF(AND(IFERROR(ROUND(V242,8),0)&gt;0, IFERROR(ROUND(Y242,8),0)&gt;0), "Group 6: Flaky | Passed (with var CV &gt; 0) AND Failed (with var CV &gt; 0) | Equal Means", IF(AND(IFERROR(ROUND(V242,8),0)=0, IFERROR(ROUND(Y242,8),0)&gt;0),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2" s="29" t="n">
        <v>0.307512</v>
      </c>
      <c r="AB242" s="29" t="n">
        <v>0.055152</v>
      </c>
      <c r="AC242" s="29" t="n">
        <f aca="false">IFERROR(AB242/AA242*100,"N/A")</f>
        <v>17.9349098571763</v>
      </c>
      <c r="AD242" s="29" t="n">
        <v>0</v>
      </c>
      <c r="AE242" s="29" t="n">
        <v>0</v>
      </c>
      <c r="AF242" s="29" t="str">
        <f aca="false">IFERROR(AE242/AD242*100,"N/A")</f>
        <v>N/A</v>
      </c>
      <c r="AG242" s="51" t="str">
        <f aca="false">IF(AND(Q242&gt;0, R242=0), IF(IFERROR(ROUND(AC242,8),0)=0, "Group 9: Only Passed | Without variation (no var CV = 0)", "Group 10: Only Passed | With variation (with var CV &gt; 0)"), IF(AND(Q242=0, R242&gt;0), IF(IFERROR(ROUND(AF242,8),0)=0, "Group 11: Only Failed | Without variation (no var CV = 0)", "Group 12: Only Failed | With variation (with var CV &gt; 0)"), IF(AND(Q242&gt;0, R242&gt;0), IF(ROUND(AA242,5)&lt;&gt;ROUND(AD242,5), IF(AND(IFERROR(ROUND(AC242,8),0)=0, IFERROR(ROUND(AF242,8),0)=0), "Group 1: Flaky | Passed (no variation: CV = 0) AND Failed (no variation: CV = 0) | Different Means", IF(AND(IFERROR(ROUND(AC242,8),0)&gt;0, IFERROR(ROUND(AF242,8),0)&gt;0), "Group 2: Flaky | Passed (with variation: CV &gt; 0) AND Failed (with variation: CV &gt; 0) | Different Means", IF(AND(IFERROR(ROUND(AC242,8),0)=0, IFERROR(ROUND(AF242,8),0)&gt;0), "Group 3: Flaky | Passed (no variation: CV = 0) AND Failed (with variation: CV &gt; 0) | Different Means", "Group 4: Flaky | Passed (with variation: CV &gt; 0) AND Failed (no variation: CV = 0) | Different Means"))), IF(AND(IFERROR(ROUND(AC242,8),0)=0, IFERROR(ROUND(AF242,8),0)=0), "Group 5: Flaky | Passed (no var CV = 0) AND Failed (no var CV = 0) | Equal Means", IF(AND(IFERROR(ROUND(AC242,8),0)&gt;0, IFERROR(ROUND(AF242,8),0)&gt;0), "Group 6: Flaky | Passed (with var CV &gt; 0) AND Failed (with var CV &gt; 0) | Equal Means", IF(AND(IFERROR(ROUND(AC242,8),0)=0, IFERROR(ROUND(AF242,8),0)&gt;0),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2" s="22" t="n">
        <v>100</v>
      </c>
      <c r="AI242" s="17" t="n">
        <v>0</v>
      </c>
      <c r="AJ242" s="31" t="str">
        <f aca="false">IF(AND(AH242&gt;0, AI242&gt;0), "Observed Flaky Test", "Non-observed Flaky Test")</f>
        <v>Non-observed Flaky Test</v>
      </c>
      <c r="AK242" s="90" t="n">
        <v>777</v>
      </c>
      <c r="AL242" s="90" t="n">
        <v>0</v>
      </c>
      <c r="AM242" s="33" t="n">
        <f aca="false">IFERROR(AL242/AK242*100,"N/A")</f>
        <v>0</v>
      </c>
      <c r="AN242" s="90" t="n">
        <v>0</v>
      </c>
      <c r="AO242" s="90" t="n">
        <v>0</v>
      </c>
      <c r="AP242" s="35" t="str">
        <f aca="false">IFERROR(AO242/AN242*100,"N/A")</f>
        <v>N/A</v>
      </c>
      <c r="AQ242" s="45" t="str">
        <f aca="false">IF(AND(AH242&gt;0, AI242&gt;0),
    IF(ROUND(N(AK242),5)&lt;&gt;ROUND(N(AN242),5),
        IF(AND(ROUND(N(AL242),8)=0, ROUND(N(AO242),8)=0), "Group 1: Flaky | Passed (no variation: SD = 0) AND Failed (no variation: SD = 0) | Different Means",
        IF(AND(ROUND(N(AL242),8)&gt;0, ROUND(N(AO242),8)&gt;0), "Group 2: Flaky | Passed (with variation: SD &gt; 0) AND Failed (with variation: SD &gt; 0) | Different Means",
        IF(AND(ROUND(N(AL242),8)=0, ROUND(N(AO242),8)&gt;0), "Group 3: Flaky | Passed (no variation: SD = 0) AND Failed (with variation: SD &gt; 0) | Different Means",
        "Group 4: Flaky | Passed (with variation: SD &gt; 0) AND Failed (no variation: SD = 0) | Different Means"))),
        IF(AND(ROUND(N(AL242),8)=0, ROUND(N(AO242),8)=0), "Group 5: Flaky | Passed (no var SD = 0) AND Failed (no var SD = 0) | Equal Means",
        IF(AND(ROUND(N(AL242),8)&gt;0, ROUND(N(AO242),8)&gt;0), "Group 6: Flaky | Passed (with var SD &gt; 0 ) AND Failed (with var SD &gt; 0) | Equal Means",
        IF(AND(ROUND(N(AL242),8)=0, ROUND(N(AO242),8)&gt;0), "Group 7: Flaky | Passed (no var SD = 0) AND Failed (with var SD &gt; 0) | Equal Means",
        "Group 8: Flaky | Passed (with var SD &gt; 0 ) AND Failed (no var SD = 0) | Equal Means")))
    ),
    IF(AH242&gt;0,
        IF(N(AL242)&gt;0, "Group 10: Only Passed | With variation (with var SD &gt; 0)", "Group 9: Only Passed | Without variation (no var SD = 0)"),
        IF(AI242&gt;0,
            IF(N(AO242)&gt;0,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2" s="37" t="str">
        <f aca="false">IF(OR(F242="Observed Flaky Test", I242="Observed Flaky Test", S242="Observed Flaky Test", AJ242="Observed Flaky Test"), "Observed Flaky Test", "Non-observed Flaky Test")</f>
        <v>Non-observed Flaky Test</v>
      </c>
    </row>
    <row r="243" customFormat="false" ht="15.75" hidden="false" customHeight="true" outlineLevel="0" collapsed="false">
      <c r="A243" s="104"/>
      <c r="B243" s="14" t="s">
        <v>566</v>
      </c>
      <c r="C243" s="14" t="s">
        <v>567</v>
      </c>
      <c r="D243" s="15" t="n">
        <v>100</v>
      </c>
      <c r="E243" s="15" t="n">
        <v>0</v>
      </c>
      <c r="F243" s="16" t="str">
        <f aca="false">IF(AND(D243&gt;0, E243&gt;0), "Observed Flaky Test", "Non-observed Flaky Test")</f>
        <v>Non-observed Flaky Test</v>
      </c>
      <c r="G243" s="22" t="n">
        <v>100</v>
      </c>
      <c r="H243" s="22" t="n">
        <v>0</v>
      </c>
      <c r="I243" s="16" t="str">
        <f aca="false">IF(AND(G243&gt;0, H243&gt;0), "Observed Flaky Test", "Non-observed Flaky Test")</f>
        <v>Non-observed Flaky Test</v>
      </c>
      <c r="J243" s="18" t="n">
        <v>27.8</v>
      </c>
      <c r="K243" s="18" t="n">
        <v>0</v>
      </c>
      <c r="L243" s="19" t="n">
        <f aca="false">IFERROR(K243/J243*100,"N/A")</f>
        <v>0</v>
      </c>
      <c r="M243" s="18" t="n">
        <v>0</v>
      </c>
      <c r="N243" s="18" t="n">
        <v>0</v>
      </c>
      <c r="O243" s="20" t="str">
        <f aca="false">IFERROR(N243/M243*100,"N/A")</f>
        <v>N/A</v>
      </c>
      <c r="P243" s="56" t="str">
        <f aca="false">IF(AND(G243&gt;0, H243=0), IF(ROUND(K243,8)=0, "Group 9: Only Passed | Without variation (SD Passed = 0)", "Group 10: Only Passed | With variation (SD Passed &gt; 0)"), IF(AND(G243=0, H243&gt;0), IF(ROUND(N243,8)=0, "Group 11: Only Failed | Without variation (SD Failed = 0)", "Group 12: Only Failed | With variation (SD Failed &gt; 0)"), IF(AND(G243&gt;0, H243&gt;0), IF(ROUND(J243,5)&lt;&gt;ROUND(M243,5), IF(AND(ROUND(K243,8)=0, ROUND(N243,8)=0), "Group 1: Flaky | Passed (no variation) AND Failed (no variation) | Different Means", IF(AND(ROUND(K243,8)&gt;0, ROUND(N243,8)&gt;0), "Group 2: Flaky | Passed (with variation) AND Failed (with variation) | Different Means", IF(AND(ROUND(K243,8)=0, ROUND(N243,8)&gt;0), "Group 3: Flaky | Passed (no variation) AND Failed (with variation) | Different Means", "Group 4: Flaky | Passed (with variation) AND Failed (no variation) | Different Means"))), IF(AND(ROUND(K243,8)=0, ROUND(N243,8)=0), "Group 5: Flaky | Passed (no variation) AND Failed (no variation) | Equal Means", IF(AND(ROUND(K243,8)&gt;0, ROUND(N243,8)&gt;0), "Group 6: Flaky | Passed (with variation) AND Failed (with variation) | Equal Means", IF(AND(ROUND(K243,8)=0, ROUND(N243,8)&gt;0),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3" s="17" t="n">
        <v>100</v>
      </c>
      <c r="R243" s="17" t="n">
        <v>0</v>
      </c>
      <c r="S243" s="23" t="str">
        <f aca="false">IF(AND(Q243&gt;0, R243&gt;0), "Observed Flaky Test", "Non-observed Flaky Test")</f>
        <v>Non-observed Flaky Test</v>
      </c>
      <c r="T243" s="22" t="n">
        <v>478446.79</v>
      </c>
      <c r="U243" s="24" t="n">
        <v>12.056513</v>
      </c>
      <c r="V243" s="25" t="n">
        <f aca="false">IFERROR(U243/T243*100,"N/A")</f>
        <v>0.00251992766008525</v>
      </c>
      <c r="W243" s="22" t="n">
        <v>0</v>
      </c>
      <c r="X243" s="22" t="n">
        <v>0</v>
      </c>
      <c r="Y243" s="27" t="str">
        <f aca="false">IFERROR(X243/W243*100,"N/A")</f>
        <v>N/A</v>
      </c>
      <c r="Z243" s="50" t="str">
        <f aca="false">IF(AND(Q243&gt;0, R243=0), IF(IFERROR(ROUND(V243,8),0)=0, "Group 9: Only Passed | Without variation (no var CV = 0)", "Group 10: Only Passed | With variation (with var CV &gt; 0)"), IF(AND(Q243=0, R243&gt;0), IF(IFERROR(ROUND(Y243,8),0)=0, "Group 11: Only Failed | Without variation (no var CV = 0)", "Group 12: Only Failed | With variation (with var CV &gt; 0)"), IF(AND(Q243&gt;0, R243&gt;0), IF(ROUND(T243,5)&lt;&gt;ROUND(W243,5), IF(AND(IFERROR(ROUND(V243,8),0)=0, IFERROR(ROUND(Y243,8),0)=0), "Group 1: Flaky | Passed (no variation: CV = 0) AND Failed (no variation: CV = 0) | Different Means", IF(AND(IFERROR(ROUND(V243,8),0)&gt;0, IFERROR(ROUND(Y243,8),0)&gt;0), "Group 2: Flaky | Passed (with variation: CV &gt; 0) AND Failed (with variation: CV &gt; 0) | Different Means", IF(AND(IFERROR(ROUND(V243,8),0)=0, IFERROR(ROUND(Y243,8),0)&gt;0), "Group 3: Flaky | Passed (no variation: CV = 0) AND Failed (with variation: CV &gt; 0) | Different Means", "Group 4: Flaky | Passed (with variation: CV &gt; 0) AND Failed (no variation: CV = 0) | Different Means"))), IF(AND(IFERROR(ROUND(V243,8),0)=0, IFERROR(ROUND(Y243,8),0)=0), "Group 5: Flaky | Passed (no var CV = 0) AND Failed (no var CV = 0) | Equal Means", IF(AND(IFERROR(ROUND(V243,8),0)&gt;0, IFERROR(ROUND(Y243,8),0)&gt;0), "Group 6: Flaky | Passed (with var CV &gt; 0) AND Failed (with var CV &gt; 0) | Equal Means", IF(AND(IFERROR(ROUND(V243,8),0)=0, IFERROR(ROUND(Y243,8),0)&gt;0),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3" s="29" t="n">
        <v>0.456729</v>
      </c>
      <c r="AB243" s="29" t="n">
        <v>0.703208</v>
      </c>
      <c r="AC243" s="29" t="n">
        <f aca="false">IFERROR(AB243/AA243*100,"N/A")</f>
        <v>153.966137468827</v>
      </c>
      <c r="AD243" s="29" t="n">
        <v>0</v>
      </c>
      <c r="AE243" s="29" t="n">
        <v>0</v>
      </c>
      <c r="AF243" s="29" t="str">
        <f aca="false">IFERROR(AE243/AD243*100,"N/A")</f>
        <v>N/A</v>
      </c>
      <c r="AG243" s="51" t="str">
        <f aca="false">IF(AND(Q243&gt;0, R243=0), IF(IFERROR(ROUND(AC243,8),0)=0, "Group 9: Only Passed | Without variation (no var CV = 0)", "Group 10: Only Passed | With variation (with var CV &gt; 0)"), IF(AND(Q243=0, R243&gt;0), IF(IFERROR(ROUND(AF243,8),0)=0, "Group 11: Only Failed | Without variation (no var CV = 0)", "Group 12: Only Failed | With variation (with var CV &gt; 0)"), IF(AND(Q243&gt;0, R243&gt;0), IF(ROUND(AA243,5)&lt;&gt;ROUND(AD243,5), IF(AND(IFERROR(ROUND(AC243,8),0)=0, IFERROR(ROUND(AF243,8),0)=0), "Group 1: Flaky | Passed (no variation: CV = 0) AND Failed (no variation: CV = 0) | Different Means", IF(AND(IFERROR(ROUND(AC243,8),0)&gt;0, IFERROR(ROUND(AF243,8),0)&gt;0), "Group 2: Flaky | Passed (with variation: CV &gt; 0) AND Failed (with variation: CV &gt; 0) | Different Means", IF(AND(IFERROR(ROUND(AC243,8),0)=0, IFERROR(ROUND(AF243,8),0)&gt;0), "Group 3: Flaky | Passed (no variation: CV = 0) AND Failed (with variation: CV &gt; 0) | Different Means", "Group 4: Flaky | Passed (with variation: CV &gt; 0) AND Failed (no variation: CV = 0) | Different Means"))), IF(AND(IFERROR(ROUND(AC243,8),0)=0, IFERROR(ROUND(AF243,8),0)=0), "Group 5: Flaky | Passed (no var CV = 0) AND Failed (no var CV = 0) | Equal Means", IF(AND(IFERROR(ROUND(AC243,8),0)&gt;0, IFERROR(ROUND(AF243,8),0)&gt;0), "Group 6: Flaky | Passed (with var CV &gt; 0) AND Failed (with var CV &gt; 0) | Equal Means", IF(AND(IFERROR(ROUND(AC243,8),0)=0, IFERROR(ROUND(AF243,8),0)&gt;0),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3" s="22" t="n">
        <v>100</v>
      </c>
      <c r="AI243" s="17" t="n">
        <v>0</v>
      </c>
      <c r="AJ243" s="31" t="str">
        <f aca="false">IF(AND(AH243&gt;0, AI243&gt;0), "Observed Flaky Test", "Non-observed Flaky Test")</f>
        <v>Non-observed Flaky Test</v>
      </c>
      <c r="AK243" s="90" t="n">
        <v>776</v>
      </c>
      <c r="AL243" s="90" t="n">
        <v>0</v>
      </c>
      <c r="AM243" s="33" t="n">
        <f aca="false">IFERROR(AL243/AK243*100,"N/A")</f>
        <v>0</v>
      </c>
      <c r="AN243" s="90" t="n">
        <v>0</v>
      </c>
      <c r="AO243" s="90" t="n">
        <v>0</v>
      </c>
      <c r="AP243" s="35" t="str">
        <f aca="false">IFERROR(AO243/AN243*100,"N/A")</f>
        <v>N/A</v>
      </c>
      <c r="AQ243" s="45" t="str">
        <f aca="false">IF(AND(AH243&gt;0, AI243&gt;0),
    IF(ROUND(N(AK243),5)&lt;&gt;ROUND(N(AN243),5),
        IF(AND(ROUND(N(AL243),8)=0, ROUND(N(AO243),8)=0), "Group 1: Flaky | Passed (no variation: SD = 0) AND Failed (no variation: SD = 0) | Different Means",
        IF(AND(ROUND(N(AL243),8)&gt;0, ROUND(N(AO243),8)&gt;0), "Group 2: Flaky | Passed (with variation: SD &gt; 0) AND Failed (with variation: SD &gt; 0) | Different Means",
        IF(AND(ROUND(N(AL243),8)=0, ROUND(N(AO243),8)&gt;0), "Group 3: Flaky | Passed (no variation: SD = 0) AND Failed (with variation: SD &gt; 0) | Different Means",
        "Group 4: Flaky | Passed (with variation: SD &gt; 0) AND Failed (no variation: SD = 0) | Different Means"))),
        IF(AND(ROUND(N(AL243),8)=0, ROUND(N(AO243),8)=0), "Group 5: Flaky | Passed (no var SD = 0) AND Failed (no var SD = 0) | Equal Means",
        IF(AND(ROUND(N(AL243),8)&gt;0, ROUND(N(AO243),8)&gt;0), "Group 6: Flaky | Passed (with var SD &gt; 0 ) AND Failed (with var SD &gt; 0) | Equal Means",
        IF(AND(ROUND(N(AL243),8)=0, ROUND(N(AO243),8)&gt;0), "Group 7: Flaky | Passed (no var SD = 0) AND Failed (with var SD &gt; 0) | Equal Means",
        "Group 8: Flaky | Passed (with var SD &gt; 0 ) AND Failed (no var SD = 0) | Equal Means")))
    ),
    IF(AH243&gt;0,
        IF(N(AL243)&gt;0, "Group 10: Only Passed | With variation (with var SD &gt; 0)", "Group 9: Only Passed | Without variation (no var SD = 0)"),
        IF(AI243&gt;0,
            IF(N(AO243)&gt;0,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3" s="37" t="str">
        <f aca="false">IF(OR(F243="Observed Flaky Test", I243="Observed Flaky Test", S243="Observed Flaky Test", AJ243="Observed Flaky Test"), "Observed Flaky Test", "Non-observed Flaky Test")</f>
        <v>Non-observed Flaky Test</v>
      </c>
    </row>
    <row r="244" customFormat="false" ht="15.75" hidden="false" customHeight="true" outlineLevel="0" collapsed="false">
      <c r="A244" s="104"/>
      <c r="B244" s="14" t="s">
        <v>568</v>
      </c>
      <c r="C244" s="14" t="s">
        <v>569</v>
      </c>
      <c r="D244" s="15" t="n">
        <v>100</v>
      </c>
      <c r="E244" s="15" t="n">
        <v>0</v>
      </c>
      <c r="F244" s="16" t="str">
        <f aca="false">IF(AND(D244&gt;0, E244&gt;0), "Observed Flaky Test", "Non-observed Flaky Test")</f>
        <v>Non-observed Flaky Test</v>
      </c>
      <c r="G244" s="22" t="n">
        <v>100</v>
      </c>
      <c r="H244" s="22" t="n">
        <v>0</v>
      </c>
      <c r="I244" s="16" t="str">
        <f aca="false">IF(AND(G244&gt;0, H244&gt;0), "Observed Flaky Test", "Non-observed Flaky Test")</f>
        <v>Non-observed Flaky Test</v>
      </c>
      <c r="J244" s="18" t="n">
        <v>26.9</v>
      </c>
      <c r="K244" s="18" t="n">
        <v>0</v>
      </c>
      <c r="L244" s="19" t="n">
        <f aca="false">IFERROR(K244/J244*100,"N/A")</f>
        <v>0</v>
      </c>
      <c r="M244" s="18" t="n">
        <v>0</v>
      </c>
      <c r="N244" s="18" t="n">
        <v>0</v>
      </c>
      <c r="O244" s="20" t="str">
        <f aca="false">IFERROR(N244/M244*100,"N/A")</f>
        <v>N/A</v>
      </c>
      <c r="P244" s="56" t="str">
        <f aca="false">IF(AND(G244&gt;0, H244=0), IF(ROUND(K244,8)=0, "Group 9: Only Passed | Without variation (SD Passed = 0)", "Group 10: Only Passed | With variation (SD Passed &gt; 0)"), IF(AND(G244=0, H244&gt;0), IF(ROUND(N244,8)=0, "Group 11: Only Failed | Without variation (SD Failed = 0)", "Group 12: Only Failed | With variation (SD Failed &gt; 0)"), IF(AND(G244&gt;0, H244&gt;0), IF(ROUND(J244,5)&lt;&gt;ROUND(M244,5), IF(AND(ROUND(K244,8)=0, ROUND(N244,8)=0), "Group 1: Flaky | Passed (no variation) AND Failed (no variation) | Different Means", IF(AND(ROUND(K244,8)&gt;0, ROUND(N244,8)&gt;0), "Group 2: Flaky | Passed (with variation) AND Failed (with variation) | Different Means", IF(AND(ROUND(K244,8)=0, ROUND(N244,8)&gt;0), "Group 3: Flaky | Passed (no variation) AND Failed (with variation) | Different Means", "Group 4: Flaky | Passed (with variation) AND Failed (no variation) | Different Means"))), IF(AND(ROUND(K244,8)=0, ROUND(N244,8)=0), "Group 5: Flaky | Passed (no variation) AND Failed (no variation) | Equal Means", IF(AND(ROUND(K244,8)&gt;0, ROUND(N244,8)&gt;0), "Group 6: Flaky | Passed (with variation) AND Failed (with variation) | Equal Means", IF(AND(ROUND(K244,8)=0, ROUND(N244,8)&gt;0),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4" s="22" t="n">
        <v>100</v>
      </c>
      <c r="R244" s="22" t="n">
        <v>0</v>
      </c>
      <c r="S244" s="23" t="str">
        <f aca="false">IF(AND(Q244&gt;0, R244&gt;0), "Observed Flaky Test", "Non-observed Flaky Test")</f>
        <v>Non-observed Flaky Test</v>
      </c>
      <c r="T244" s="22" t="n">
        <v>478388.44</v>
      </c>
      <c r="U244" s="24" t="n">
        <v>9.793133</v>
      </c>
      <c r="V244" s="25" t="n">
        <f aca="false">IFERROR(U244/T244*100,"N/A")</f>
        <v>0.00204710903967496</v>
      </c>
      <c r="W244" s="22" t="n">
        <v>0</v>
      </c>
      <c r="X244" s="22" t="n">
        <v>0</v>
      </c>
      <c r="Y244" s="27" t="str">
        <f aca="false">IFERROR(X244/W244*100,"N/A")</f>
        <v>N/A</v>
      </c>
      <c r="Z244" s="50" t="str">
        <f aca="false">IF(AND(Q244&gt;0, R244=0), IF(IFERROR(ROUND(V244,8),0)=0, "Group 9: Only Passed | Without variation (no var CV = 0)", "Group 10: Only Passed | With variation (with var CV &gt; 0)"), IF(AND(Q244=0, R244&gt;0), IF(IFERROR(ROUND(Y244,8),0)=0, "Group 11: Only Failed | Without variation (no var CV = 0)", "Group 12: Only Failed | With variation (with var CV &gt; 0)"), IF(AND(Q244&gt;0, R244&gt;0), IF(ROUND(T244,5)&lt;&gt;ROUND(W244,5), IF(AND(IFERROR(ROUND(V244,8),0)=0, IFERROR(ROUND(Y244,8),0)=0), "Group 1: Flaky | Passed (no variation: CV = 0) AND Failed (no variation: CV = 0) | Different Means", IF(AND(IFERROR(ROUND(V244,8),0)&gt;0, IFERROR(ROUND(Y244,8),0)&gt;0), "Group 2: Flaky | Passed (with variation: CV &gt; 0) AND Failed (with variation: CV &gt; 0) | Different Means", IF(AND(IFERROR(ROUND(V244,8),0)=0, IFERROR(ROUND(Y244,8),0)&gt;0), "Group 3: Flaky | Passed (no variation: CV = 0) AND Failed (with variation: CV &gt; 0) | Different Means", "Group 4: Flaky | Passed (with variation: CV &gt; 0) AND Failed (no variation: CV = 0) | Different Means"))), IF(AND(IFERROR(ROUND(V244,8),0)=0, IFERROR(ROUND(Y244,8),0)=0), "Group 5: Flaky | Passed (no var CV = 0) AND Failed (no var CV = 0) | Equal Means", IF(AND(IFERROR(ROUND(V244,8),0)&gt;0, IFERROR(ROUND(Y244,8),0)&gt;0), "Group 6: Flaky | Passed (with var CV &gt; 0) AND Failed (with var CV &gt; 0) | Equal Means", IF(AND(IFERROR(ROUND(V244,8),0)=0, IFERROR(ROUND(Y244,8),0)&gt;0),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4" s="29" t="n">
        <v>0.468825</v>
      </c>
      <c r="AB244" s="29" t="n">
        <v>0.74656</v>
      </c>
      <c r="AC244" s="29" t="n">
        <f aca="false">IFERROR(AB244/AA244*100,"N/A")</f>
        <v>159.240654828561</v>
      </c>
      <c r="AD244" s="29" t="n">
        <v>0</v>
      </c>
      <c r="AE244" s="29" t="n">
        <v>0</v>
      </c>
      <c r="AF244" s="29" t="str">
        <f aca="false">IFERROR(AE244/AD244*100,"N/A")</f>
        <v>N/A</v>
      </c>
      <c r="AG244" s="51" t="str">
        <f aca="false">IF(AND(Q244&gt;0, R244=0), IF(IFERROR(ROUND(AC244,8),0)=0, "Group 9: Only Passed | Without variation (no var CV = 0)", "Group 10: Only Passed | With variation (with var CV &gt; 0)"), IF(AND(Q244=0, R244&gt;0), IF(IFERROR(ROUND(AF244,8),0)=0, "Group 11: Only Failed | Without variation (no var CV = 0)", "Group 12: Only Failed | With variation (with var CV &gt; 0)"), IF(AND(Q244&gt;0, R244&gt;0), IF(ROUND(AA244,5)&lt;&gt;ROUND(AD244,5), IF(AND(IFERROR(ROUND(AC244,8),0)=0, IFERROR(ROUND(AF244,8),0)=0), "Group 1: Flaky | Passed (no variation: CV = 0) AND Failed (no variation: CV = 0) | Different Means", IF(AND(IFERROR(ROUND(AC244,8),0)&gt;0, IFERROR(ROUND(AF244,8),0)&gt;0), "Group 2: Flaky | Passed (with variation: CV &gt; 0) AND Failed (with variation: CV &gt; 0) | Different Means", IF(AND(IFERROR(ROUND(AC244,8),0)=0, IFERROR(ROUND(AF244,8),0)&gt;0), "Group 3: Flaky | Passed (no variation: CV = 0) AND Failed (with variation: CV &gt; 0) | Different Means", "Group 4: Flaky | Passed (with variation: CV &gt; 0) AND Failed (no variation: CV = 0) | Different Means"))), IF(AND(IFERROR(ROUND(AC244,8),0)=0, IFERROR(ROUND(AF244,8),0)=0), "Group 5: Flaky | Passed (no var CV = 0) AND Failed (no var CV = 0) | Equal Means", IF(AND(IFERROR(ROUND(AC244,8),0)&gt;0, IFERROR(ROUND(AF244,8),0)&gt;0), "Group 6: Flaky | Passed (with var CV &gt; 0) AND Failed (with var CV &gt; 0) | Equal Means", IF(AND(IFERROR(ROUND(AC244,8),0)=0, IFERROR(ROUND(AF244,8),0)&gt;0),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4" s="22" t="n">
        <v>100</v>
      </c>
      <c r="AI244" s="17" t="n">
        <v>0</v>
      </c>
      <c r="AJ244" s="31" t="str">
        <f aca="false">IF(AND(AH244&gt;0, AI244&gt;0), "Observed Flaky Test", "Non-observed Flaky Test")</f>
        <v>Non-observed Flaky Test</v>
      </c>
      <c r="AK244" s="90" t="n">
        <v>805</v>
      </c>
      <c r="AL244" s="90" t="n">
        <v>0</v>
      </c>
      <c r="AM244" s="33" t="n">
        <f aca="false">IFERROR(AL244/AK244*100,"N/A")</f>
        <v>0</v>
      </c>
      <c r="AN244" s="90" t="n">
        <v>0</v>
      </c>
      <c r="AO244" s="90" t="n">
        <v>0</v>
      </c>
      <c r="AP244" s="35" t="str">
        <f aca="false">IFERROR(AO244/AN244*100,"N/A")</f>
        <v>N/A</v>
      </c>
      <c r="AQ244" s="45" t="str">
        <f aca="false">IF(AND(AH244&gt;0, AI244&gt;0),
    IF(ROUND(N(AK244),5)&lt;&gt;ROUND(N(AN244),5),
        IF(AND(ROUND(N(AL244),8)=0, ROUND(N(AO244),8)=0), "Group 1: Flaky | Passed (no variation: SD = 0) AND Failed (no variation: SD = 0) | Different Means",
        IF(AND(ROUND(N(AL244),8)&gt;0, ROUND(N(AO244),8)&gt;0), "Group 2: Flaky | Passed (with variation: SD &gt; 0) AND Failed (with variation: SD &gt; 0) | Different Means",
        IF(AND(ROUND(N(AL244),8)=0, ROUND(N(AO244),8)&gt;0), "Group 3: Flaky | Passed (no variation: SD = 0) AND Failed (with variation: SD &gt; 0) | Different Means",
        "Group 4: Flaky | Passed (with variation: SD &gt; 0) AND Failed (no variation: SD = 0) | Different Means"))),
        IF(AND(ROUND(N(AL244),8)=0, ROUND(N(AO244),8)=0), "Group 5: Flaky | Passed (no var SD = 0) AND Failed (no var SD = 0) | Equal Means",
        IF(AND(ROUND(N(AL244),8)&gt;0, ROUND(N(AO244),8)&gt;0), "Group 6: Flaky | Passed (with var SD &gt; 0 ) AND Failed (with var SD &gt; 0) | Equal Means",
        IF(AND(ROUND(N(AL244),8)=0, ROUND(N(AO244),8)&gt;0), "Group 7: Flaky | Passed (no var SD = 0) AND Failed (with var SD &gt; 0) | Equal Means",
        "Group 8: Flaky | Passed (with var SD &gt; 0 ) AND Failed (no var SD = 0) | Equal Means")))
    ),
    IF(AH244&gt;0,
        IF(N(AL244)&gt;0, "Group 10: Only Passed | With variation (with var SD &gt; 0)", "Group 9: Only Passed | Without variation (no var SD = 0)"),
        IF(AI244&gt;0,
            IF(N(AO244)&gt;0,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4" s="37" t="str">
        <f aca="false">IF(OR(F244="Observed Flaky Test", I244="Observed Flaky Test", S244="Observed Flaky Test", AJ244="Observed Flaky Test"), "Observed Flaky Test", "Non-observed Flaky Test")</f>
        <v>Non-observed Flaky Test</v>
      </c>
    </row>
    <row r="245" customFormat="false" ht="15.75" hidden="false" customHeight="true" outlineLevel="0" collapsed="false">
      <c r="A245" s="104" t="s">
        <v>570</v>
      </c>
      <c r="B245" s="14" t="s">
        <v>571</v>
      </c>
      <c r="C245" s="14" t="s">
        <v>572</v>
      </c>
      <c r="D245" s="15" t="n">
        <v>100</v>
      </c>
      <c r="E245" s="15" t="n">
        <v>0</v>
      </c>
      <c r="F245" s="16" t="str">
        <f aca="false">IF(AND(D245&gt;0, E245&gt;0), "Observed Flaky Test", "Non-observed Flaky Test")</f>
        <v>Non-observed Flaky Test</v>
      </c>
      <c r="G245" s="17" t="n">
        <v>100</v>
      </c>
      <c r="H245" s="17" t="n">
        <v>0</v>
      </c>
      <c r="I245" s="16" t="str">
        <f aca="false">IF(AND(G245&gt;0, H245&gt;0), "Observed Flaky Test", "Non-observed Flaky Test")</f>
        <v>Non-observed Flaky Test</v>
      </c>
      <c r="J245" s="83" t="n">
        <v>27.2395</v>
      </c>
      <c r="K245" s="84" t="n">
        <v>0.004975</v>
      </c>
      <c r="L245" s="19" t="n">
        <f aca="false">IFERROR(K245/J245*100,"N/A")</f>
        <v>0.0182639182070155</v>
      </c>
      <c r="M245" s="74" t="n">
        <v>0</v>
      </c>
      <c r="N245" s="74" t="n">
        <v>0</v>
      </c>
      <c r="O245" s="20" t="str">
        <f aca="false">IFERROR(N245/M245*100,"N/A")</f>
        <v>N/A</v>
      </c>
      <c r="P245" s="48" t="str">
        <f aca="false">IF(AND(G245&gt;0, H245=0), IF(ROUND(K245,8)=0, "Group 9: Only Passed | Without variation (SD Passed = 0)", "Group 10: Only Passed | With variation (SD Passed &gt; 0)"), IF(AND(G245=0, H245&gt;0), IF(ROUND(N245,8)=0, "Group 11: Only Failed | Without variation (SD Failed = 0)", "Group 12: Only Failed | With variation (SD Failed &gt; 0)"), IF(AND(G245&gt;0, H245&gt;0), IF(ROUND(J245,5)&lt;&gt;ROUND(M245,5), IF(AND(ROUND(K245,8)=0, ROUND(N245,8)=0), "Group 1: Flaky | Passed (no variation) AND Failed (no variation) | Different Means", IF(AND(ROUND(K245,8)&gt;0, ROUND(N245,8)&gt;0), "Group 2: Flaky | Passed (with variation) AND Failed (with variation) | Different Means", IF(AND(ROUND(K245,8)=0, ROUND(N245,8)&gt;0), "Group 3: Flaky | Passed (no variation) AND Failed (with variation) | Different Means", "Group 4: Flaky | Passed (with variation) AND Failed (no variation) | Different Means"))), IF(AND(ROUND(K245,8)=0, ROUND(N245,8)=0), "Group 5: Flaky | Passed (no variation) AND Failed (no variation) | Equal Means", IF(AND(ROUND(K245,8)&gt;0, ROUND(N245,8)&gt;0), "Group 6: Flaky | Passed (with variation) AND Failed (with variation) | Equal Means", IF(AND(ROUND(K245,8)=0, ROUND(N245,8)&gt;0),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45" s="22" t="n">
        <v>100</v>
      </c>
      <c r="R245" s="22" t="n">
        <v>0</v>
      </c>
      <c r="S245" s="23" t="str">
        <f aca="false">IF(AND(Q245&gt;0, R245&gt;0), "Observed Flaky Test", "Non-observed Flaky Test")</f>
        <v>Non-observed Flaky Test</v>
      </c>
      <c r="T245" s="22" t="n">
        <v>1174732.58</v>
      </c>
      <c r="U245" s="24" t="n">
        <v>34518.143023</v>
      </c>
      <c r="V245" s="25" t="n">
        <f aca="false">IFERROR(U245/T245*100,"N/A")</f>
        <v>2.93838305080463</v>
      </c>
      <c r="W245" s="22" t="n">
        <v>0</v>
      </c>
      <c r="X245" s="22" t="n">
        <v>0</v>
      </c>
      <c r="Y245" s="27" t="str">
        <f aca="false">IFERROR(X245/W245*100,"N/A")</f>
        <v>N/A</v>
      </c>
      <c r="Z245" s="50" t="str">
        <f aca="false">IF(AND(Q245&gt;0, R245=0), IF(IFERROR(ROUND(V245,8),0)=0, "Group 9: Only Passed | Without variation (no var CV = 0)", "Group 10: Only Passed | With variation (with var CV &gt; 0)"), IF(AND(Q245=0, R245&gt;0), IF(IFERROR(ROUND(Y245,8),0)=0, "Group 11: Only Failed | Without variation (no var CV = 0)", "Group 12: Only Failed | With variation (with var CV &gt; 0)"), IF(AND(Q245&gt;0, R245&gt;0), IF(ROUND(T245,5)&lt;&gt;ROUND(W245,5), IF(AND(IFERROR(ROUND(V245,8),0)=0, IFERROR(ROUND(Y245,8),0)=0), "Group 1: Flaky | Passed (no variation: CV = 0) AND Failed (no variation: CV = 0) | Different Means", IF(AND(IFERROR(ROUND(V245,8),0)&gt;0, IFERROR(ROUND(Y245,8),0)&gt;0), "Group 2: Flaky | Passed (with variation: CV &gt; 0) AND Failed (with variation: CV &gt; 0) | Different Means", IF(AND(IFERROR(ROUND(V245,8),0)=0, IFERROR(ROUND(Y245,8),0)&gt;0), "Group 3: Flaky | Passed (no variation: CV = 0) AND Failed (with variation: CV &gt; 0) | Different Means", "Group 4: Flaky | Passed (with variation: CV &gt; 0) AND Failed (no variation: CV = 0) | Different Means"))), IF(AND(IFERROR(ROUND(V245,8),0)=0, IFERROR(ROUND(Y245,8),0)=0), "Group 5: Flaky | Passed (no var CV = 0) AND Failed (no var CV = 0) | Equal Means", IF(AND(IFERROR(ROUND(V245,8),0)&gt;0, IFERROR(ROUND(Y245,8),0)&gt;0), "Group 6: Flaky | Passed (with var CV &gt; 0) AND Failed (with var CV &gt; 0) | Equal Means", IF(AND(IFERROR(ROUND(V245,8),0)=0, IFERROR(ROUND(Y245,8),0)&gt;0),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5" s="29" t="n">
        <v>0.717153</v>
      </c>
      <c r="AB245" s="29" t="n">
        <v>0.063141</v>
      </c>
      <c r="AC245" s="29" t="n">
        <f aca="false">IFERROR(AB245/AA245*100,"N/A")</f>
        <v>8.80439738800507</v>
      </c>
      <c r="AD245" s="29" t="n">
        <v>0</v>
      </c>
      <c r="AE245" s="29" t="n">
        <v>0</v>
      </c>
      <c r="AF245" s="29" t="str">
        <f aca="false">IFERROR(AE245/AD245*100,"N/A")</f>
        <v>N/A</v>
      </c>
      <c r="AG245" s="51" t="str">
        <f aca="false">IF(AND(Q245&gt;0, R245=0), IF(IFERROR(ROUND(AC245,8),0)=0, "Group 9: Only Passed | Without variation (no var CV = 0)", "Group 10: Only Passed | With variation (with var CV &gt; 0)"), IF(AND(Q245=0, R245&gt;0), IF(IFERROR(ROUND(AF245,8),0)=0, "Group 11: Only Failed | Without variation (no var CV = 0)", "Group 12: Only Failed | With variation (with var CV &gt; 0)"), IF(AND(Q245&gt;0, R245&gt;0), IF(ROUND(AA245,5)&lt;&gt;ROUND(AD245,5), IF(AND(IFERROR(ROUND(AC245,8),0)=0, IFERROR(ROUND(AF245,8),0)=0), "Group 1: Flaky | Passed (no variation: CV = 0) AND Failed (no variation: CV = 0) | Different Means", IF(AND(IFERROR(ROUND(AC245,8),0)&gt;0, IFERROR(ROUND(AF245,8),0)&gt;0), "Group 2: Flaky | Passed (with variation: CV &gt; 0) AND Failed (with variation: CV &gt; 0) | Different Means", IF(AND(IFERROR(ROUND(AC245,8),0)=0, IFERROR(ROUND(AF245,8),0)&gt;0), "Group 3: Flaky | Passed (no variation: CV = 0) AND Failed (with variation: CV &gt; 0) | Different Means", "Group 4: Flaky | Passed (with variation: CV &gt; 0) AND Failed (no variation: CV = 0) | Different Means"))), IF(AND(IFERROR(ROUND(AC245,8),0)=0, IFERROR(ROUND(AF245,8),0)=0), "Group 5: Flaky | Passed (no var CV = 0) AND Failed (no var CV = 0) | Equal Means", IF(AND(IFERROR(ROUND(AC245,8),0)&gt;0, IFERROR(ROUND(AF245,8),0)&gt;0), "Group 6: Flaky | Passed (with var CV &gt; 0) AND Failed (with var CV &gt; 0) | Equal Means", IF(AND(IFERROR(ROUND(AC245,8),0)=0, IFERROR(ROUND(AF245,8),0)&gt;0),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5" s="22" t="n">
        <v>100</v>
      </c>
      <c r="AI245" s="17" t="n">
        <v>0</v>
      </c>
      <c r="AJ245" s="31" t="str">
        <f aca="false">IF(AND(AH245&gt;0, AI245&gt;0), "Observed Flaky Test", "Non-observed Flaky Test")</f>
        <v>Non-observed Flaky Test</v>
      </c>
      <c r="AK245" s="102" t="n">
        <v>385139.04</v>
      </c>
      <c r="AL245" s="100" t="n">
        <v>8576.12696828595</v>
      </c>
      <c r="AM245" s="33" t="n">
        <f aca="false">IFERROR(AL245/AK245*100,"N/A")</f>
        <v>2.22676126738176</v>
      </c>
      <c r="AN245" s="90" t="n">
        <v>0</v>
      </c>
      <c r="AO245" s="90" t="n">
        <v>0</v>
      </c>
      <c r="AP245" s="35" t="str">
        <f aca="false">IFERROR(AO245/AN245*100,"N/A")</f>
        <v>N/A</v>
      </c>
      <c r="AQ245" s="52" t="str">
        <f aca="false">IF(AND(AH245&gt;0, AI245&gt;0),
    IF(ROUND(N(AK245),5)&lt;&gt;ROUND(N(AN245),5),
        IF(AND(ROUND(N(AL245),8)=0, ROUND(N(AO245),8)=0), "Group 1: Flaky | Passed (no variation: SD = 0) AND Failed (no variation: SD = 0) | Different Means",
        IF(AND(ROUND(N(AL245),8)&gt;0, ROUND(N(AO245),8)&gt;0), "Group 2: Flaky | Passed (with variation: SD &gt; 0) AND Failed (with variation: SD &gt; 0) | Different Means",
        IF(AND(ROUND(N(AL245),8)=0, ROUND(N(AO245),8)&gt;0), "Group 3: Flaky | Passed (no variation: SD = 0) AND Failed (with variation: SD &gt; 0) | Different Means",
        "Group 4: Flaky | Passed (with variation: SD &gt; 0) AND Failed (no variation: SD = 0) | Different Means"))),
        IF(AND(ROUND(N(AL245),8)=0, ROUND(N(AO245),8)=0), "Group 5: Flaky | Passed (no var SD = 0) AND Failed (no var SD = 0) | Equal Means",
        IF(AND(ROUND(N(AL245),8)&gt;0, ROUND(N(AO245),8)&gt;0), "Group 6: Flaky | Passed (with var SD &gt; 0 ) AND Failed (with var SD &gt; 0) | Equal Means",
        IF(AND(ROUND(N(AL245),8)=0, ROUND(N(AO245),8)&gt;0), "Group 7: Flaky | Passed (no var SD = 0) AND Failed (with var SD &gt; 0) | Equal Means",
        "Group 8: Flaky | Passed (with var SD &gt; 0 ) AND Failed (no var SD = 0) | Equal Means")))
    ),
    IF(AH245&gt;0,
        IF(N(AL245)&gt;0, "Group 10: Only Passed | With variation (with var SD &gt; 0)", "Group 9: Only Passed | Without variation (no var SD = 0)"),
        IF(AI245&gt;0,
            IF(N(AO245)&gt;0,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45" s="37" t="str">
        <f aca="false">IF(OR(F245="Observed Flaky Test", I245="Observed Flaky Test", S245="Observed Flaky Test", AJ245="Observed Flaky Test"), "Observed Flaky Test", "Non-observed Flaky Test")</f>
        <v>Non-observed Flaky Test</v>
      </c>
    </row>
    <row r="246" customFormat="false" ht="15.75" hidden="false" customHeight="true" outlineLevel="0" collapsed="false">
      <c r="A246" s="104"/>
      <c r="B246" s="14" t="s">
        <v>573</v>
      </c>
      <c r="C246" s="14" t="s">
        <v>574</v>
      </c>
      <c r="D246" s="15" t="n">
        <v>100</v>
      </c>
      <c r="E246" s="15" t="n">
        <v>0</v>
      </c>
      <c r="F246" s="16" t="str">
        <f aca="false">IF(AND(D246&gt;0, E246&gt;0), "Observed Flaky Test", "Non-observed Flaky Test")</f>
        <v>Non-observed Flaky Test</v>
      </c>
      <c r="G246" s="22" t="n">
        <v>100</v>
      </c>
      <c r="H246" s="22" t="n">
        <v>0</v>
      </c>
      <c r="I246" s="16" t="str">
        <f aca="false">IF(AND(G246&gt;0, H246&gt;0), "Observed Flaky Test", "Non-observed Flaky Test")</f>
        <v>Non-observed Flaky Test</v>
      </c>
      <c r="J246" s="18" t="n">
        <v>27.14</v>
      </c>
      <c r="K246" s="18" t="n">
        <v>0</v>
      </c>
      <c r="L246" s="19" t="n">
        <f aca="false">IFERROR(K246/J246*100,"N/A")</f>
        <v>0</v>
      </c>
      <c r="M246" s="18" t="n">
        <v>0</v>
      </c>
      <c r="N246" s="18" t="n">
        <v>0</v>
      </c>
      <c r="O246" s="20" t="str">
        <f aca="false">IFERROR(N246/M246*100,"N/A")</f>
        <v>N/A</v>
      </c>
      <c r="P246" s="56" t="str">
        <f aca="false">IF(AND(G246&gt;0, H246=0), IF(ROUND(K246,8)=0, "Group 9: Only Passed | Without variation (SD Passed = 0)", "Group 10: Only Passed | With variation (SD Passed &gt; 0)"), IF(AND(G246=0, H246&gt;0), IF(ROUND(N246,8)=0, "Group 11: Only Failed | Without variation (SD Failed = 0)", "Group 12: Only Failed | With variation (SD Failed &gt; 0)"), IF(AND(G246&gt;0, H246&gt;0), IF(ROUND(J246,5)&lt;&gt;ROUND(M246,5), IF(AND(ROUND(K246,8)=0, ROUND(N246,8)=0), "Group 1: Flaky | Passed (no variation) AND Failed (no variation) | Different Means", IF(AND(ROUND(K246,8)&gt;0, ROUND(N246,8)&gt;0), "Group 2: Flaky | Passed (with variation) AND Failed (with variation) | Different Means", IF(AND(ROUND(K246,8)=0, ROUND(N246,8)&gt;0), "Group 3: Flaky | Passed (no variation) AND Failed (with variation) | Different Means", "Group 4: Flaky | Passed (with variation) AND Failed (no variation) | Different Means"))), IF(AND(ROUND(K246,8)=0, ROUND(N246,8)=0), "Group 5: Flaky | Passed (no variation) AND Failed (no variation) | Equal Means", IF(AND(ROUND(K246,8)&gt;0, ROUND(N246,8)&gt;0), "Group 6: Flaky | Passed (with variation) AND Failed (with variation) | Equal Means", IF(AND(ROUND(K246,8)=0, ROUND(N246,8)&gt;0),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6" s="22" t="n">
        <v>100</v>
      </c>
      <c r="R246" s="22" t="n">
        <v>0</v>
      </c>
      <c r="S246" s="23" t="str">
        <f aca="false">IF(AND(Q246&gt;0, R246&gt;0), "Observed Flaky Test", "Non-observed Flaky Test")</f>
        <v>Non-observed Flaky Test</v>
      </c>
      <c r="T246" s="22" t="n">
        <v>776107.84</v>
      </c>
      <c r="U246" s="24" t="n">
        <v>30798.073666</v>
      </c>
      <c r="V246" s="25" t="n">
        <f aca="false">IFERROR(U246/T246*100,"N/A")</f>
        <v>3.96827245888922</v>
      </c>
      <c r="W246" s="22" t="n">
        <v>0</v>
      </c>
      <c r="X246" s="22" t="n">
        <v>0</v>
      </c>
      <c r="Y246" s="27" t="str">
        <f aca="false">IFERROR(X246/W246*100,"N/A")</f>
        <v>N/A</v>
      </c>
      <c r="Z246" s="50" t="str">
        <f aca="false">IF(AND(Q246&gt;0, R246=0), IF(IFERROR(ROUND(V246,8),0)=0, "Group 9: Only Passed | Without variation (no var CV = 0)", "Group 10: Only Passed | With variation (with var CV &gt; 0)"), IF(AND(Q246=0, R246&gt;0), IF(IFERROR(ROUND(Y246,8),0)=0, "Group 11: Only Failed | Without variation (no var CV = 0)", "Group 12: Only Failed | With variation (with var CV &gt; 0)"), IF(AND(Q246&gt;0, R246&gt;0), IF(ROUND(T246,5)&lt;&gt;ROUND(W246,5), IF(AND(IFERROR(ROUND(V246,8),0)=0, IFERROR(ROUND(Y246,8),0)=0), "Group 1: Flaky | Passed (no variation: CV = 0) AND Failed (no variation: CV = 0) | Different Means", IF(AND(IFERROR(ROUND(V246,8),0)&gt;0, IFERROR(ROUND(Y246,8),0)&gt;0), "Group 2: Flaky | Passed (with variation: CV &gt; 0) AND Failed (with variation: CV &gt; 0) | Different Means", IF(AND(IFERROR(ROUND(V246,8),0)=0, IFERROR(ROUND(Y246,8),0)&gt;0), "Group 3: Flaky | Passed (no variation: CV = 0) AND Failed (with variation: CV &gt; 0) | Different Means", "Group 4: Flaky | Passed (with variation: CV &gt; 0) AND Failed (no variation: CV = 0) | Different Means"))), IF(AND(IFERROR(ROUND(V246,8),0)=0, IFERROR(ROUND(Y246,8),0)=0), "Group 5: Flaky | Passed (no var CV = 0) AND Failed (no var CV = 0) | Equal Means", IF(AND(IFERROR(ROUND(V246,8),0)&gt;0, IFERROR(ROUND(Y246,8),0)&gt;0), "Group 6: Flaky | Passed (with var CV &gt; 0) AND Failed (with var CV &gt; 0) | Equal Means", IF(AND(IFERROR(ROUND(V246,8),0)=0, IFERROR(ROUND(Y246,8),0)&gt;0),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6" s="29" t="n">
        <v>0.469912</v>
      </c>
      <c r="AB246" s="29" t="n">
        <v>0.027664</v>
      </c>
      <c r="AC246" s="29" t="n">
        <f aca="false">IFERROR(AB246/AA246*100,"N/A")</f>
        <v>5.88705970479579</v>
      </c>
      <c r="AD246" s="29" t="n">
        <v>0</v>
      </c>
      <c r="AE246" s="29" t="n">
        <v>0</v>
      </c>
      <c r="AF246" s="29" t="str">
        <f aca="false">IFERROR(AE246/AD246*100,"N/A")</f>
        <v>N/A</v>
      </c>
      <c r="AG246" s="51" t="str">
        <f aca="false">IF(AND(Q246&gt;0, R246=0), IF(IFERROR(ROUND(AC246,8),0)=0, "Group 9: Only Passed | Without variation (no var CV = 0)", "Group 10: Only Passed | With variation (with var CV &gt; 0)"), IF(AND(Q246=0, R246&gt;0), IF(IFERROR(ROUND(AF246,8),0)=0, "Group 11: Only Failed | Without variation (no var CV = 0)", "Group 12: Only Failed | With variation (with var CV &gt; 0)"), IF(AND(Q246&gt;0, R246&gt;0), IF(ROUND(AA246,5)&lt;&gt;ROUND(AD246,5), IF(AND(IFERROR(ROUND(AC246,8),0)=0, IFERROR(ROUND(AF246,8),0)=0), "Group 1: Flaky | Passed (no variation: CV = 0) AND Failed (no variation: CV = 0) | Different Means", IF(AND(IFERROR(ROUND(AC246,8),0)&gt;0, IFERROR(ROUND(AF246,8),0)&gt;0), "Group 2: Flaky | Passed (with variation: CV &gt; 0) AND Failed (with variation: CV &gt; 0) | Different Means", IF(AND(IFERROR(ROUND(AC246,8),0)=0, IFERROR(ROUND(AF246,8),0)&gt;0), "Group 3: Flaky | Passed (no variation: CV = 0) AND Failed (with variation: CV &gt; 0) | Different Means", "Group 4: Flaky | Passed (with variation: CV &gt; 0) AND Failed (no variation: CV = 0) | Different Means"))), IF(AND(IFERROR(ROUND(AC246,8),0)=0, IFERROR(ROUND(AF246,8),0)=0), "Group 5: Flaky | Passed (no var CV = 0) AND Failed (no var CV = 0) | Equal Means", IF(AND(IFERROR(ROUND(AC246,8),0)&gt;0, IFERROR(ROUND(AF246,8),0)&gt;0), "Group 6: Flaky | Passed (with var CV &gt; 0) AND Failed (with var CV &gt; 0) | Equal Means", IF(AND(IFERROR(ROUND(AC246,8),0)=0, IFERROR(ROUND(AF246,8),0)&gt;0),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6" s="22" t="n">
        <v>100</v>
      </c>
      <c r="AI246" s="17" t="n">
        <v>0</v>
      </c>
      <c r="AJ246" s="31" t="str">
        <f aca="false">IF(AND(AH246&gt;0, AI246&gt;0), "Observed Flaky Test", "Non-observed Flaky Test")</f>
        <v>Non-observed Flaky Test</v>
      </c>
      <c r="AK246" s="102" t="n">
        <v>234224.01</v>
      </c>
      <c r="AL246" s="100" t="n">
        <v>2546.36183918558</v>
      </c>
      <c r="AM246" s="33" t="n">
        <f aca="false">IFERROR(AL246/AK246*100,"N/A")</f>
        <v>1.08714808494039</v>
      </c>
      <c r="AN246" s="90" t="n">
        <v>0</v>
      </c>
      <c r="AO246" s="90" t="n">
        <v>0</v>
      </c>
      <c r="AP246" s="35" t="str">
        <f aca="false">IFERROR(AO246/AN246*100,"N/A")</f>
        <v>N/A</v>
      </c>
      <c r="AQ246" s="52" t="str">
        <f aca="false">IF(AND(AH246&gt;0, AI246&gt;0),
    IF(ROUND(N(AK246),5)&lt;&gt;ROUND(N(AN246),5),
        IF(AND(ROUND(N(AL246),8)=0, ROUND(N(AO246),8)=0), "Group 1: Flaky | Passed (no variation: SD = 0) AND Failed (no variation: SD = 0) | Different Means",
        IF(AND(ROUND(N(AL246),8)&gt;0, ROUND(N(AO246),8)&gt;0), "Group 2: Flaky | Passed (with variation: SD &gt; 0) AND Failed (with variation: SD &gt; 0) | Different Means",
        IF(AND(ROUND(N(AL246),8)=0, ROUND(N(AO246),8)&gt;0), "Group 3: Flaky | Passed (no variation: SD = 0) AND Failed (with variation: SD &gt; 0) | Different Means",
        "Group 4: Flaky | Passed (with variation: SD &gt; 0) AND Failed (no variation: SD = 0) | Different Means"))),
        IF(AND(ROUND(N(AL246),8)=0, ROUND(N(AO246),8)=0), "Group 5: Flaky | Passed (no var SD = 0) AND Failed (no var SD = 0) | Equal Means",
        IF(AND(ROUND(N(AL246),8)&gt;0, ROUND(N(AO246),8)&gt;0), "Group 6: Flaky | Passed (with var SD &gt; 0 ) AND Failed (with var SD &gt; 0) | Equal Means",
        IF(AND(ROUND(N(AL246),8)=0, ROUND(N(AO246),8)&gt;0), "Group 7: Flaky | Passed (no var SD = 0) AND Failed (with var SD &gt; 0) | Equal Means",
        "Group 8: Flaky | Passed (with var SD &gt; 0 ) AND Failed (no var SD = 0) | Equal Means")))
    ),
    IF(AH246&gt;0,
        IF(N(AL246)&gt;0, "Group 10: Only Passed | With variation (with var SD &gt; 0)", "Group 9: Only Passed | Without variation (no var SD = 0)"),
        IF(AI246&gt;0,
            IF(N(AO246)&gt;0,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46" s="37" t="str">
        <f aca="false">IF(OR(F246="Observed Flaky Test", I246="Observed Flaky Test", S246="Observed Flaky Test", AJ246="Observed Flaky Test"), "Observed Flaky Test", "Non-observed Flaky Test")</f>
        <v>Non-observed Flaky Test</v>
      </c>
    </row>
    <row r="247" customFormat="false" ht="15.75" hidden="false" customHeight="true" outlineLevel="0" collapsed="false">
      <c r="A247" s="104"/>
      <c r="B247" s="14" t="s">
        <v>575</v>
      </c>
      <c r="C247" s="14" t="s">
        <v>576</v>
      </c>
      <c r="D247" s="15" t="n">
        <v>100</v>
      </c>
      <c r="E247" s="15" t="n">
        <v>0</v>
      </c>
      <c r="F247" s="16" t="str">
        <f aca="false">IF(AND(D247&gt;0, E247&gt;0), "Observed Flaky Test", "Non-observed Flaky Test")</f>
        <v>Non-observed Flaky Test</v>
      </c>
      <c r="G247" s="22" t="n">
        <v>100</v>
      </c>
      <c r="H247" s="22" t="n">
        <v>0</v>
      </c>
      <c r="I247" s="16" t="str">
        <f aca="false">IF(AND(G247&gt;0, H247&gt;0), "Observed Flaky Test", "Non-observed Flaky Test")</f>
        <v>Non-observed Flaky Test</v>
      </c>
      <c r="J247" s="18" t="n">
        <v>27.24</v>
      </c>
      <c r="K247" s="18" t="n">
        <v>0</v>
      </c>
      <c r="L247" s="19" t="n">
        <f aca="false">IFERROR(K247/J247*100,"N/A")</f>
        <v>0</v>
      </c>
      <c r="M247" s="18" t="n">
        <v>0</v>
      </c>
      <c r="N247" s="18" t="n">
        <v>0</v>
      </c>
      <c r="O247" s="20" t="str">
        <f aca="false">IFERROR(N247/M247*100,"N/A")</f>
        <v>N/A</v>
      </c>
      <c r="P247" s="56" t="str">
        <f aca="false">IF(AND(G247&gt;0, H247=0), IF(ROUND(K247,8)=0, "Group 9: Only Passed | Without variation (SD Passed = 0)", "Group 10: Only Passed | With variation (SD Passed &gt; 0)"), IF(AND(G247=0, H247&gt;0), IF(ROUND(N247,8)=0, "Group 11: Only Failed | Without variation (SD Failed = 0)", "Group 12: Only Failed | With variation (SD Failed &gt; 0)"), IF(AND(G247&gt;0, H247&gt;0), IF(ROUND(J247,5)&lt;&gt;ROUND(M247,5), IF(AND(ROUND(K247,8)=0, ROUND(N247,8)=0), "Group 1: Flaky | Passed (no variation) AND Failed (no variation) | Different Means", IF(AND(ROUND(K247,8)&gt;0, ROUND(N247,8)&gt;0), "Group 2: Flaky | Passed (with variation) AND Failed (with variation) | Different Means", IF(AND(ROUND(K247,8)=0, ROUND(N247,8)&gt;0), "Group 3: Flaky | Passed (no variation) AND Failed (with variation) | Different Means", "Group 4: Flaky | Passed (with variation) AND Failed (no variation) | Different Means"))), IF(AND(ROUND(K247,8)=0, ROUND(N247,8)=0), "Group 5: Flaky | Passed (no variation) AND Failed (no variation) | Equal Means", IF(AND(ROUND(K247,8)&gt;0, ROUND(N247,8)&gt;0), "Group 6: Flaky | Passed (with variation) AND Failed (with variation) | Equal Means", IF(AND(ROUND(K247,8)=0, ROUND(N247,8)&gt;0),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7" s="22" t="n">
        <v>100</v>
      </c>
      <c r="R247" s="22" t="n">
        <v>0</v>
      </c>
      <c r="S247" s="23" t="str">
        <f aca="false">IF(AND(Q247&gt;0, R247&gt;0), "Observed Flaky Test", "Non-observed Flaky Test")</f>
        <v>Non-observed Flaky Test</v>
      </c>
      <c r="T247" s="22" t="n">
        <v>876185.41</v>
      </c>
      <c r="U247" s="24" t="n">
        <v>79940.906721</v>
      </c>
      <c r="V247" s="25" t="n">
        <f aca="false">IFERROR(U247/T247*100,"N/A")</f>
        <v>9.12374319506188</v>
      </c>
      <c r="W247" s="22" t="n">
        <v>0</v>
      </c>
      <c r="X247" s="22" t="n">
        <v>0</v>
      </c>
      <c r="Y247" s="27" t="str">
        <f aca="false">IFERROR(X247/W247*100,"N/A")</f>
        <v>N/A</v>
      </c>
      <c r="Z247" s="50" t="str">
        <f aca="false">IF(AND(Q247&gt;0, R247=0), IF(IFERROR(ROUND(V247,8),0)=0, "Group 9: Only Passed | Without variation (no var CV = 0)", "Group 10: Only Passed | With variation (with var CV &gt; 0)"), IF(AND(Q247=0, R247&gt;0), IF(IFERROR(ROUND(Y247,8),0)=0, "Group 11: Only Failed | Without variation (no var CV = 0)", "Group 12: Only Failed | With variation (with var CV &gt; 0)"), IF(AND(Q247&gt;0, R247&gt;0), IF(ROUND(T247,5)&lt;&gt;ROUND(W247,5), IF(AND(IFERROR(ROUND(V247,8),0)=0, IFERROR(ROUND(Y247,8),0)=0), "Group 1: Flaky | Passed (no variation: CV = 0) AND Failed (no variation: CV = 0) | Different Means", IF(AND(IFERROR(ROUND(V247,8),0)&gt;0, IFERROR(ROUND(Y247,8),0)&gt;0), "Group 2: Flaky | Passed (with variation: CV &gt; 0) AND Failed (with variation: CV &gt; 0) | Different Means", IF(AND(IFERROR(ROUND(V247,8),0)=0, IFERROR(ROUND(Y247,8),0)&gt;0), "Group 3: Flaky | Passed (no variation: CV = 0) AND Failed (with variation: CV &gt; 0) | Different Means", "Group 4: Flaky | Passed (with variation: CV &gt; 0) AND Failed (no variation: CV = 0) | Different Means"))), IF(AND(IFERROR(ROUND(V247,8),0)=0, IFERROR(ROUND(Y247,8),0)=0), "Group 5: Flaky | Passed (no var CV = 0) AND Failed (no var CV = 0) | Equal Means", IF(AND(IFERROR(ROUND(V247,8),0)&gt;0, IFERROR(ROUND(Y247,8),0)&gt;0), "Group 6: Flaky | Passed (with var CV &gt; 0) AND Failed (with var CV &gt; 0) | Equal Means", IF(AND(IFERROR(ROUND(V247,8),0)=0, IFERROR(ROUND(Y247,8),0)&gt;0),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7" s="29" t="n">
        <v>0.53015</v>
      </c>
      <c r="AB247" s="29" t="n">
        <v>0.0463</v>
      </c>
      <c r="AC247" s="29" t="n">
        <f aca="false">IFERROR(AB247/AA247*100,"N/A")</f>
        <v>8.73337734603414</v>
      </c>
      <c r="AD247" s="29" t="n">
        <v>0</v>
      </c>
      <c r="AE247" s="29" t="n">
        <v>0</v>
      </c>
      <c r="AF247" s="29" t="str">
        <f aca="false">IFERROR(AE247/AD247*100,"N/A")</f>
        <v>N/A</v>
      </c>
      <c r="AG247" s="51" t="str">
        <f aca="false">IF(AND(Q247&gt;0, R247=0), IF(IFERROR(ROUND(AC247,8),0)=0, "Group 9: Only Passed | Without variation (no var CV = 0)", "Group 10: Only Passed | With variation (with var CV &gt; 0)"), IF(AND(Q247=0, R247&gt;0), IF(IFERROR(ROUND(AF247,8),0)=0, "Group 11: Only Failed | Without variation (no var CV = 0)", "Group 12: Only Failed | With variation (with var CV &gt; 0)"), IF(AND(Q247&gt;0, R247&gt;0), IF(ROUND(AA247,5)&lt;&gt;ROUND(AD247,5), IF(AND(IFERROR(ROUND(AC247,8),0)=0, IFERROR(ROUND(AF247,8),0)=0), "Group 1: Flaky | Passed (no variation: CV = 0) AND Failed (no variation: CV = 0) | Different Means", IF(AND(IFERROR(ROUND(AC247,8),0)&gt;0, IFERROR(ROUND(AF247,8),0)&gt;0), "Group 2: Flaky | Passed (with variation: CV &gt; 0) AND Failed (with variation: CV &gt; 0) | Different Means", IF(AND(IFERROR(ROUND(AC247,8),0)=0, IFERROR(ROUND(AF247,8),0)&gt;0), "Group 3: Flaky | Passed (no variation: CV = 0) AND Failed (with variation: CV &gt; 0) | Different Means", "Group 4: Flaky | Passed (with variation: CV &gt; 0) AND Failed (no variation: CV = 0) | Different Means"))), IF(AND(IFERROR(ROUND(AC247,8),0)=0, IFERROR(ROUND(AF247,8),0)=0), "Group 5: Flaky | Passed (no var CV = 0) AND Failed (no var CV = 0) | Equal Means", IF(AND(IFERROR(ROUND(AC247,8),0)&gt;0, IFERROR(ROUND(AF247,8),0)&gt;0), "Group 6: Flaky | Passed (with var CV &gt; 0) AND Failed (with var CV &gt; 0) | Equal Means", IF(AND(IFERROR(ROUND(AC247,8),0)=0, IFERROR(ROUND(AF247,8),0)&gt;0),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7" s="22" t="n">
        <v>100</v>
      </c>
      <c r="AI247" s="17" t="n">
        <v>0</v>
      </c>
      <c r="AJ247" s="31" t="str">
        <f aca="false">IF(AND(AH247&gt;0, AI247&gt;0), "Observed Flaky Test", "Non-observed Flaky Test")</f>
        <v>Non-observed Flaky Test</v>
      </c>
      <c r="AK247" s="90" t="n">
        <v>642713</v>
      </c>
      <c r="AL247" s="100" t="n">
        <v>5618.82994038704</v>
      </c>
      <c r="AM247" s="33" t="n">
        <f aca="false">IFERROR(AL247/AK247*100,"N/A")</f>
        <v>0.87423623614071</v>
      </c>
      <c r="AN247" s="90" t="n">
        <v>0</v>
      </c>
      <c r="AO247" s="90" t="n">
        <v>0</v>
      </c>
      <c r="AP247" s="35" t="str">
        <f aca="false">IFERROR(AO247/AN247*100,"N/A")</f>
        <v>N/A</v>
      </c>
      <c r="AQ247" s="52" t="str">
        <f aca="false">IF(AND(AH247&gt;0, AI247&gt;0),
    IF(ROUND(N(AK247),5)&lt;&gt;ROUND(N(AN247),5),
        IF(AND(ROUND(N(AL247),8)=0, ROUND(N(AO247),8)=0), "Group 1: Flaky | Passed (no variation: SD = 0) AND Failed (no variation: SD = 0) | Different Means",
        IF(AND(ROUND(N(AL247),8)&gt;0, ROUND(N(AO247),8)&gt;0), "Group 2: Flaky | Passed (with variation: SD &gt; 0) AND Failed (with variation: SD &gt; 0) | Different Means",
        IF(AND(ROUND(N(AL247),8)=0, ROUND(N(AO247),8)&gt;0), "Group 3: Flaky | Passed (no variation: SD = 0) AND Failed (with variation: SD &gt; 0) | Different Means",
        "Group 4: Flaky | Passed (with variation: SD &gt; 0) AND Failed (no variation: SD = 0) | Different Means"))),
        IF(AND(ROUND(N(AL247),8)=0, ROUND(N(AO247),8)=0), "Group 5: Flaky | Passed (no var SD = 0) AND Failed (no var SD = 0) | Equal Means",
        IF(AND(ROUND(N(AL247),8)&gt;0, ROUND(N(AO247),8)&gt;0), "Group 6: Flaky | Passed (with var SD &gt; 0 ) AND Failed (with var SD &gt; 0) | Equal Means",
        IF(AND(ROUND(N(AL247),8)=0, ROUND(N(AO247),8)&gt;0), "Group 7: Flaky | Passed (no var SD = 0) AND Failed (with var SD &gt; 0) | Equal Means",
        "Group 8: Flaky | Passed (with var SD &gt; 0 ) AND Failed (no var SD = 0) | Equal Means")))
    ),
    IF(AH247&gt;0,
        IF(N(AL247)&gt;0, "Group 10: Only Passed | With variation (with var SD &gt; 0)", "Group 9: Only Passed | Without variation (no var SD = 0)"),
        IF(AI247&gt;0,
            IF(N(AO247)&gt;0,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47" s="37" t="str">
        <f aca="false">IF(OR(F247="Observed Flaky Test", I247="Observed Flaky Test", S247="Observed Flaky Test", AJ247="Observed Flaky Test"), "Observed Flaky Test", "Non-observed Flaky Test")</f>
        <v>Non-observed Flaky Test</v>
      </c>
    </row>
    <row r="248" customFormat="false" ht="15.75" hidden="false" customHeight="true" outlineLevel="0" collapsed="false">
      <c r="A248" s="104"/>
      <c r="B248" s="14" t="s">
        <v>577</v>
      </c>
      <c r="C248" s="14" t="s">
        <v>578</v>
      </c>
      <c r="D248" s="15" t="n">
        <v>100</v>
      </c>
      <c r="E248" s="15" t="n">
        <v>0</v>
      </c>
      <c r="F248" s="16" t="str">
        <f aca="false">IF(AND(D248&gt;0, E248&gt;0), "Observed Flaky Test", "Non-observed Flaky Test")</f>
        <v>Non-observed Flaky Test</v>
      </c>
      <c r="G248" s="22" t="n">
        <v>100</v>
      </c>
      <c r="H248" s="22" t="n">
        <v>0</v>
      </c>
      <c r="I248" s="16" t="str">
        <f aca="false">IF(AND(G248&gt;0, H248&gt;0), "Observed Flaky Test", "Non-observed Flaky Test")</f>
        <v>Non-observed Flaky Test</v>
      </c>
      <c r="J248" s="18" t="n">
        <v>27.14</v>
      </c>
      <c r="K248" s="18" t="n">
        <v>0</v>
      </c>
      <c r="L248" s="19" t="n">
        <f aca="false">IFERROR(K248/J248*100,"N/A")</f>
        <v>0</v>
      </c>
      <c r="M248" s="18" t="n">
        <v>0</v>
      </c>
      <c r="N248" s="18" t="n">
        <v>0</v>
      </c>
      <c r="O248" s="20" t="str">
        <f aca="false">IFERROR(N248/M248*100,"N/A")</f>
        <v>N/A</v>
      </c>
      <c r="P248" s="56" t="str">
        <f aca="false">IF(AND(G248&gt;0, H248=0), IF(ROUND(K248,8)=0, "Group 9: Only Passed | Without variation (SD Passed = 0)", "Group 10: Only Passed | With variation (SD Passed &gt; 0)"), IF(AND(G248=0, H248&gt;0), IF(ROUND(N248,8)=0, "Group 11: Only Failed | Without variation (SD Failed = 0)", "Group 12: Only Failed | With variation (SD Failed &gt; 0)"), IF(AND(G248&gt;0, H248&gt;0), IF(ROUND(J248,5)&lt;&gt;ROUND(M248,5), IF(AND(ROUND(K248,8)=0, ROUND(N248,8)=0), "Group 1: Flaky | Passed (no variation) AND Failed (no variation) | Different Means", IF(AND(ROUND(K248,8)&gt;0, ROUND(N248,8)&gt;0), "Group 2: Flaky | Passed (with variation) AND Failed (with variation) | Different Means", IF(AND(ROUND(K248,8)=0, ROUND(N248,8)&gt;0), "Group 3: Flaky | Passed (no variation) AND Failed (with variation) | Different Means", "Group 4: Flaky | Passed (with variation) AND Failed (no variation) | Different Means"))), IF(AND(ROUND(K248,8)=0, ROUND(N248,8)=0), "Group 5: Flaky | Passed (no variation) AND Failed (no variation) | Equal Means", IF(AND(ROUND(K248,8)&gt;0, ROUND(N248,8)&gt;0), "Group 6: Flaky | Passed (with variation) AND Failed (with variation) | Equal Means", IF(AND(ROUND(K248,8)=0, ROUND(N248,8)&gt;0), "Group 7: Flaky | Passed (no variation) AND Failed (with variation) | Equal Means", "Group 8: Flaky | Passed (with variation) AND Failed (no variation) | Equal Means")))), "Invalid")))</f>
        <v>Group 9: Only Passed | Without variation (SD Passed = 0)</v>
      </c>
      <c r="Q248" s="22" t="n">
        <v>100</v>
      </c>
      <c r="R248" s="22" t="n">
        <v>0</v>
      </c>
      <c r="S248" s="23" t="str">
        <f aca="false">IF(AND(Q248&gt;0, R248&gt;0), "Observed Flaky Test", "Non-observed Flaky Test")</f>
        <v>Non-observed Flaky Test</v>
      </c>
      <c r="T248" s="55" t="n">
        <v>757981.7</v>
      </c>
      <c r="U248" s="26" t="n">
        <v>25104.10832</v>
      </c>
      <c r="V248" s="25" t="n">
        <f aca="false">IFERROR(U248/T248*100,"N/A")</f>
        <v>3.3119676002732</v>
      </c>
      <c r="W248" s="22" t="n">
        <v>0</v>
      </c>
      <c r="X248" s="22" t="n">
        <v>0</v>
      </c>
      <c r="Y248" s="27" t="str">
        <f aca="false">IFERROR(X248/W248*100,"N/A")</f>
        <v>N/A</v>
      </c>
      <c r="Z248" s="50" t="str">
        <f aca="false">IF(AND(Q248&gt;0, R248=0), IF(IFERROR(ROUND(V248,8),0)=0, "Group 9: Only Passed | Without variation (no var CV = 0)", "Group 10: Only Passed | With variation (with var CV &gt; 0)"), IF(AND(Q248=0, R248&gt;0), IF(IFERROR(ROUND(Y248,8),0)=0, "Group 11: Only Failed | Without variation (no var CV = 0)", "Group 12: Only Failed | With variation (with var CV &gt; 0)"), IF(AND(Q248&gt;0, R248&gt;0), IF(ROUND(T248,5)&lt;&gt;ROUND(W248,5), IF(AND(IFERROR(ROUND(V248,8),0)=0, IFERROR(ROUND(Y248,8),0)=0), "Group 1: Flaky | Passed (no variation: CV = 0) AND Failed (no variation: CV = 0) | Different Means", IF(AND(IFERROR(ROUND(V248,8),0)&gt;0, IFERROR(ROUND(Y248,8),0)&gt;0), "Group 2: Flaky | Passed (with variation: CV &gt; 0) AND Failed (with variation: CV &gt; 0) | Different Means", IF(AND(IFERROR(ROUND(V248,8),0)=0, IFERROR(ROUND(Y248,8),0)&gt;0), "Group 3: Flaky | Passed (no variation: CV = 0) AND Failed (with variation: CV &gt; 0) | Different Means", "Group 4: Flaky | Passed (with variation: CV &gt; 0) AND Failed (no variation: CV = 0) | Different Means"))), IF(AND(IFERROR(ROUND(V248,8),0)=0, IFERROR(ROUND(Y248,8),0)=0), "Group 5: Flaky | Passed (no var CV = 0) AND Failed (no var CV = 0) | Equal Means", IF(AND(IFERROR(ROUND(V248,8),0)&gt;0, IFERROR(ROUND(Y248,8),0)&gt;0), "Group 6: Flaky | Passed (with var CV &gt; 0) AND Failed (with var CV &gt; 0) | Equal Means", IF(AND(IFERROR(ROUND(V248,8),0)=0, IFERROR(ROUND(Y248,8),0)&gt;0),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8" s="29" t="n">
        <v>0.469464</v>
      </c>
      <c r="AB248" s="29" t="n">
        <v>0.034263</v>
      </c>
      <c r="AC248" s="29" t="n">
        <f aca="false">IFERROR(AB248/AA248*100,"N/A")</f>
        <v>7.29832319411073</v>
      </c>
      <c r="AD248" s="29" t="n">
        <v>0</v>
      </c>
      <c r="AE248" s="29" t="n">
        <v>0</v>
      </c>
      <c r="AF248" s="29" t="str">
        <f aca="false">IFERROR(AE248/AD248*100,"N/A")</f>
        <v>N/A</v>
      </c>
      <c r="AG248" s="51" t="str">
        <f aca="false">IF(AND(Q248&gt;0, R248=0), IF(IFERROR(ROUND(AC248,8),0)=0, "Group 9: Only Passed | Without variation (no var CV = 0)", "Group 10: Only Passed | With variation (with var CV &gt; 0)"), IF(AND(Q248=0, R248&gt;0), IF(IFERROR(ROUND(AF248,8),0)=0, "Group 11: Only Failed | Without variation (no var CV = 0)", "Group 12: Only Failed | With variation (with var CV &gt; 0)"), IF(AND(Q248&gt;0, R248&gt;0), IF(ROUND(AA248,5)&lt;&gt;ROUND(AD248,5), IF(AND(IFERROR(ROUND(AC248,8),0)=0, IFERROR(ROUND(AF248,8),0)=0), "Group 1: Flaky | Passed (no variation: CV = 0) AND Failed (no variation: CV = 0) | Different Means", IF(AND(IFERROR(ROUND(AC248,8),0)&gt;0, IFERROR(ROUND(AF248,8),0)&gt;0), "Group 2: Flaky | Passed (with variation: CV &gt; 0) AND Failed (with variation: CV &gt; 0) | Different Means", IF(AND(IFERROR(ROUND(AC248,8),0)=0, IFERROR(ROUND(AF248,8),0)&gt;0), "Group 3: Flaky | Passed (no variation: CV = 0) AND Failed (with variation: CV &gt; 0) | Different Means", "Group 4: Flaky | Passed (with variation: CV &gt; 0) AND Failed (no variation: CV = 0) | Different Means"))), IF(AND(IFERROR(ROUND(AC248,8),0)=0, IFERROR(ROUND(AF248,8),0)=0), "Group 5: Flaky | Passed (no var CV = 0) AND Failed (no var CV = 0) | Equal Means", IF(AND(IFERROR(ROUND(AC248,8),0)&gt;0, IFERROR(ROUND(AF248,8),0)&gt;0), "Group 6: Flaky | Passed (with var CV &gt; 0) AND Failed (with var CV &gt; 0) | Equal Means", IF(AND(IFERROR(ROUND(AC248,8),0)=0, IFERROR(ROUND(AF248,8),0)&gt;0),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8" s="22" t="n">
        <v>100</v>
      </c>
      <c r="AI248" s="17" t="n">
        <v>0</v>
      </c>
      <c r="AJ248" s="31" t="str">
        <f aca="false">IF(AND(AH248&gt;0, AI248&gt;0), "Observed Flaky Test", "Non-observed Flaky Test")</f>
        <v>Non-observed Flaky Test</v>
      </c>
      <c r="AK248" s="90" t="n">
        <v>166701</v>
      </c>
      <c r="AL248" s="100" t="n">
        <v>1400.23929412371</v>
      </c>
      <c r="AM248" s="33" t="n">
        <f aca="false">IFERROR(AL248/AK248*100,"N/A")</f>
        <v>0.839970542542462</v>
      </c>
      <c r="AN248" s="90" t="n">
        <v>0</v>
      </c>
      <c r="AO248" s="90" t="n">
        <v>0</v>
      </c>
      <c r="AP248" s="35" t="str">
        <f aca="false">IFERROR(AO248/AN248*100,"N/A")</f>
        <v>N/A</v>
      </c>
      <c r="AQ248" s="52" t="str">
        <f aca="false">IF(AND(AH248&gt;0, AI248&gt;0),
    IF(ROUND(N(AK248),5)&lt;&gt;ROUND(N(AN248),5),
        IF(AND(ROUND(N(AL248),8)=0, ROUND(N(AO248),8)=0), "Group 1: Flaky | Passed (no variation: SD = 0) AND Failed (no variation: SD = 0) | Different Means",
        IF(AND(ROUND(N(AL248),8)&gt;0, ROUND(N(AO248),8)&gt;0), "Group 2: Flaky | Passed (with variation: SD &gt; 0) AND Failed (with variation: SD &gt; 0) | Different Means",
        IF(AND(ROUND(N(AL248),8)=0, ROUND(N(AO248),8)&gt;0), "Group 3: Flaky | Passed (no variation: SD = 0) AND Failed (with variation: SD &gt; 0) | Different Means",
        "Group 4: Flaky | Passed (with variation: SD &gt; 0) AND Failed (no variation: SD = 0) | Different Means"))),
        IF(AND(ROUND(N(AL248),8)=0, ROUND(N(AO248),8)=0), "Group 5: Flaky | Passed (no var SD = 0) AND Failed (no var SD = 0) | Equal Means",
        IF(AND(ROUND(N(AL248),8)&gt;0, ROUND(N(AO248),8)&gt;0), "Group 6: Flaky | Passed (with var SD &gt; 0 ) AND Failed (with var SD &gt; 0) | Equal Means",
        IF(AND(ROUND(N(AL248),8)=0, ROUND(N(AO248),8)&gt;0), "Group 7: Flaky | Passed (no var SD = 0) AND Failed (with var SD &gt; 0) | Equal Means",
        "Group 8: Flaky | Passed (with var SD &gt; 0 ) AND Failed (no var SD = 0) | Equal Means")))
    ),
    IF(AH248&gt;0,
        IF(N(AL248)&gt;0, "Group 10: Only Passed | With variation (with var SD &gt; 0)", "Group 9: Only Passed | Without variation (no var SD = 0)"),
        IF(AI248&gt;0,
            IF(N(AO248)&gt;0,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48" s="37" t="str">
        <f aca="false">IF(OR(F248="Observed Flaky Test", I248="Observed Flaky Test", S248="Observed Flaky Test", AJ248="Observed Flaky Test"), "Observed Flaky Test", "Non-observed Flaky Test")</f>
        <v>Non-observed Flaky Test</v>
      </c>
    </row>
    <row r="249" customFormat="false" ht="15.75" hidden="false" customHeight="true" outlineLevel="0" collapsed="false">
      <c r="A249" s="104" t="s">
        <v>579</v>
      </c>
      <c r="B249" s="14" t="s">
        <v>580</v>
      </c>
      <c r="C249" s="14" t="s">
        <v>581</v>
      </c>
      <c r="D249" s="15" t="n">
        <v>100</v>
      </c>
      <c r="E249" s="15" t="n">
        <v>0</v>
      </c>
      <c r="F249" s="16" t="str">
        <f aca="false">IF(AND(D249&gt;0, E249&gt;0), "Observed Flaky Test", "Non-observed Flaky Test")</f>
        <v>Non-observed Flaky Test</v>
      </c>
      <c r="G249" s="22" t="n">
        <v>100</v>
      </c>
      <c r="H249" s="22" t="n">
        <v>0</v>
      </c>
      <c r="I249" s="16" t="str">
        <f aca="false">IF(AND(G249&gt;0, H249&gt;0), "Observed Flaky Test", "Non-observed Flaky Test")</f>
        <v>Non-observed Flaky Test</v>
      </c>
      <c r="J249" s="46" t="n">
        <v>34.9067</v>
      </c>
      <c r="K249" s="53" t="n">
        <v>0.433913</v>
      </c>
      <c r="L249" s="19" t="n">
        <f aca="false">IFERROR(K249/J249*100,"N/A")</f>
        <v>1.24306508492639</v>
      </c>
      <c r="M249" s="18" t="n">
        <v>0</v>
      </c>
      <c r="N249" s="18" t="n">
        <v>0</v>
      </c>
      <c r="O249" s="20" t="str">
        <f aca="false">IFERROR(N249/M249*100,"N/A")</f>
        <v>N/A</v>
      </c>
      <c r="P249" s="48" t="str">
        <f aca="false">IF(AND(G249&gt;0, H249=0), IF(ROUND(K249,8)=0, "Group 9: Only Passed | Without variation (SD Passed = 0)", "Group 10: Only Passed | With variation (SD Passed &gt; 0)"), IF(AND(G249=0, H249&gt;0), IF(ROUND(N249,8)=0, "Group 11: Only Failed | Without variation (SD Failed = 0)", "Group 12: Only Failed | With variation (SD Failed &gt; 0)"), IF(AND(G249&gt;0, H249&gt;0), IF(ROUND(J249,5)&lt;&gt;ROUND(M249,5), IF(AND(ROUND(K249,8)=0, ROUND(N249,8)=0), "Group 1: Flaky | Passed (no variation) AND Failed (no variation) | Different Means", IF(AND(ROUND(K249,8)&gt;0, ROUND(N249,8)&gt;0), "Group 2: Flaky | Passed (with variation) AND Failed (with variation) | Different Means", IF(AND(ROUND(K249,8)=0, ROUND(N249,8)&gt;0), "Group 3: Flaky | Passed (no variation) AND Failed (with variation) | Different Means", "Group 4: Flaky | Passed (with variation) AND Failed (no variation) | Different Means"))), IF(AND(ROUND(K249,8)=0, ROUND(N249,8)=0), "Group 5: Flaky | Passed (no variation) AND Failed (no variation) | Equal Means", IF(AND(ROUND(K249,8)&gt;0, ROUND(N249,8)&gt;0), "Group 6: Flaky | Passed (with variation) AND Failed (with variation) | Equal Means", IF(AND(ROUND(K249,8)=0, ROUND(N249,8)&gt;0), "Group 7: Flaky | Passed (no variation) AND Failed (with variation) | Equal Means", "Group 8: Flaky | Passed (with variation) AND Failed (no variation) | Equal Means")))), "Invalid")))</f>
        <v>Group 10: Only Passed | With variation (SD Passed &gt; 0)</v>
      </c>
      <c r="Q249" s="22" t="n">
        <v>100</v>
      </c>
      <c r="R249" s="22" t="n">
        <v>0</v>
      </c>
      <c r="S249" s="23" t="str">
        <f aca="false">IF(AND(Q249&gt;0, R249&gt;0), "Observed Flaky Test", "Non-observed Flaky Test")</f>
        <v>Non-observed Flaky Test</v>
      </c>
      <c r="T249" s="22" t="n">
        <v>4282970.85</v>
      </c>
      <c r="U249" s="24" t="n">
        <v>80025.532591</v>
      </c>
      <c r="V249" s="25" t="n">
        <f aca="false">IFERROR(U249/T249*100,"N/A")</f>
        <v>1.86845849280062</v>
      </c>
      <c r="W249" s="22" t="n">
        <v>0</v>
      </c>
      <c r="X249" s="22" t="n">
        <v>0</v>
      </c>
      <c r="Y249" s="27" t="str">
        <f aca="false">IFERROR(X249/W249*100,"N/A")</f>
        <v>N/A</v>
      </c>
      <c r="Z249" s="50" t="str">
        <f aca="false">IF(AND(Q249&gt;0, R249=0), IF(IFERROR(ROUND(V249,8),0)=0, "Group 9: Only Passed | Without variation (no var CV = 0)", "Group 10: Only Passed | With variation (with var CV &gt; 0)"), IF(AND(Q249=0, R249&gt;0), IF(IFERROR(ROUND(Y249,8),0)=0, "Group 11: Only Failed | Without variation (no var CV = 0)", "Group 12: Only Failed | With variation (with var CV &gt; 0)"), IF(AND(Q249&gt;0, R249&gt;0), IF(ROUND(T249,5)&lt;&gt;ROUND(W249,5), IF(AND(IFERROR(ROUND(V249,8),0)=0, IFERROR(ROUND(Y249,8),0)=0), "Group 1: Flaky | Passed (no variation: CV = 0) AND Failed (no variation: CV = 0) | Different Means", IF(AND(IFERROR(ROUND(V249,8),0)&gt;0, IFERROR(ROUND(Y249,8),0)&gt;0), "Group 2: Flaky | Passed (with variation: CV &gt; 0) AND Failed (with variation: CV &gt; 0) | Different Means", IF(AND(IFERROR(ROUND(V249,8),0)=0, IFERROR(ROUND(Y249,8),0)&gt;0), "Group 3: Flaky | Passed (no variation: CV = 0) AND Failed (with variation: CV &gt; 0) | Different Means", "Group 4: Flaky | Passed (with variation: CV &gt; 0) AND Failed (no variation: CV = 0) | Different Means"))), IF(AND(IFERROR(ROUND(V249,8),0)=0, IFERROR(ROUND(Y249,8),0)=0), "Group 5: Flaky | Passed (no var CV = 0) AND Failed (no var CV = 0) | Equal Means", IF(AND(IFERROR(ROUND(V249,8),0)&gt;0, IFERROR(ROUND(Y249,8),0)&gt;0), "Group 6: Flaky | Passed (with var CV &gt; 0) AND Failed (with var CV &gt; 0) | Equal Means", IF(AND(IFERROR(ROUND(V249,8),0)=0, IFERROR(ROUND(Y249,8),0)&gt;0),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49" s="29" t="n">
        <v>1.662611</v>
      </c>
      <c r="AB249" s="29" t="n">
        <v>0.071199</v>
      </c>
      <c r="AC249" s="29" t="n">
        <f aca="false">IFERROR(AB249/AA249*100,"N/A")</f>
        <v>4.28236069651891</v>
      </c>
      <c r="AD249" s="29" t="n">
        <v>0</v>
      </c>
      <c r="AE249" s="29" t="n">
        <v>0</v>
      </c>
      <c r="AF249" s="29" t="str">
        <f aca="false">IFERROR(AE249/AD249*100,"N/A")</f>
        <v>N/A</v>
      </c>
      <c r="AG249" s="51" t="str">
        <f aca="false">IF(AND(Q249&gt;0, R249=0), IF(IFERROR(ROUND(AC249,8),0)=0, "Group 9: Only Passed | Without variation (no var CV = 0)", "Group 10: Only Passed | With variation (with var CV &gt; 0)"), IF(AND(Q249=0, R249&gt;0), IF(IFERROR(ROUND(AF249,8),0)=0, "Group 11: Only Failed | Without variation (no var CV = 0)", "Group 12: Only Failed | With variation (with var CV &gt; 0)"), IF(AND(Q249&gt;0, R249&gt;0), IF(ROUND(AA249,5)&lt;&gt;ROUND(AD249,5), IF(AND(IFERROR(ROUND(AC249,8),0)=0, IFERROR(ROUND(AF249,8),0)=0), "Group 1: Flaky | Passed (no variation: CV = 0) AND Failed (no variation: CV = 0) | Different Means", IF(AND(IFERROR(ROUND(AC249,8),0)&gt;0, IFERROR(ROUND(AF249,8),0)&gt;0), "Group 2: Flaky | Passed (with variation: CV &gt; 0) AND Failed (with variation: CV &gt; 0) | Different Means", IF(AND(IFERROR(ROUND(AC249,8),0)=0, IFERROR(ROUND(AF249,8),0)&gt;0), "Group 3: Flaky | Passed (no variation: CV = 0) AND Failed (with variation: CV &gt; 0) | Different Means", "Group 4: Flaky | Passed (with variation: CV &gt; 0) AND Failed (no variation: CV = 0) | Different Means"))), IF(AND(IFERROR(ROUND(AC249,8),0)=0, IFERROR(ROUND(AF249,8),0)=0), "Group 5: Flaky | Passed (no var CV = 0) AND Failed (no var CV = 0) | Equal Means", IF(AND(IFERROR(ROUND(AC249,8),0)&gt;0, IFERROR(ROUND(AF249,8),0)&gt;0), "Group 6: Flaky | Passed (with var CV &gt; 0) AND Failed (with var CV &gt; 0) | Equal Means", IF(AND(IFERROR(ROUND(AC249,8),0)=0, IFERROR(ROUND(AF249,8),0)&gt;0),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49" s="22" t="n">
        <v>100</v>
      </c>
      <c r="AI249" s="17" t="n">
        <v>0</v>
      </c>
      <c r="AJ249" s="31" t="str">
        <f aca="false">IF(AND(AH249&gt;0, AI249&gt;0), "Observed Flaky Test", "Non-observed Flaky Test")</f>
        <v>Non-observed Flaky Test</v>
      </c>
      <c r="AK249" s="102" t="n">
        <v>59651</v>
      </c>
      <c r="AL249" s="90" t="n">
        <v>0</v>
      </c>
      <c r="AM249" s="33" t="n">
        <f aca="false">IFERROR(AL249/AK249*100,"N/A")</f>
        <v>0</v>
      </c>
      <c r="AN249" s="90" t="n">
        <v>0</v>
      </c>
      <c r="AO249" s="90" t="n">
        <v>0</v>
      </c>
      <c r="AP249" s="35" t="str">
        <f aca="false">IFERROR(AO249/AN249*100,"N/A")</f>
        <v>N/A</v>
      </c>
      <c r="AQ249" s="45" t="str">
        <f aca="false">IF(AND(AH249&gt;0, AI249&gt;0),
    IF(ROUND(N(AK249),5)&lt;&gt;ROUND(N(AN249),5),
        IF(AND(ROUND(N(AL249),8)=0, ROUND(N(AO249),8)=0), "Group 1: Flaky | Passed (no variation: SD = 0) AND Failed (no variation: SD = 0) | Different Means",
        IF(AND(ROUND(N(AL249),8)&gt;0, ROUND(N(AO249),8)&gt;0), "Group 2: Flaky | Passed (with variation: SD &gt; 0) AND Failed (with variation: SD &gt; 0) | Different Means",
        IF(AND(ROUND(N(AL249),8)=0, ROUND(N(AO249),8)&gt;0), "Group 3: Flaky | Passed (no variation: SD = 0) AND Failed (with variation: SD &gt; 0) | Different Means",
        "Group 4: Flaky | Passed (with variation: SD &gt; 0) AND Failed (no variation: SD = 0) | Different Means"))),
        IF(AND(ROUND(N(AL249),8)=0, ROUND(N(AO249),8)=0), "Group 5: Flaky | Passed (no var SD = 0) AND Failed (no var SD = 0) | Equal Means",
        IF(AND(ROUND(N(AL249),8)&gt;0, ROUND(N(AO249),8)&gt;0), "Group 6: Flaky | Passed (with var SD &gt; 0 ) AND Failed (with var SD &gt; 0) | Equal Means",
        IF(AND(ROUND(N(AL249),8)=0, ROUND(N(AO249),8)&gt;0), "Group 7: Flaky | Passed (no var SD = 0) AND Failed (with var SD &gt; 0) | Equal Means",
        "Group 8: Flaky | Passed (with var SD &gt; 0 ) AND Failed (no var SD = 0) | Equal Means")))
    ),
    IF(AH249&gt;0,
        IF(N(AL249)&gt;0, "Group 10: Only Passed | With variation (with var SD &gt; 0)", "Group 9: Only Passed | Without variation (no var SD = 0)"),
        IF(AI249&gt;0,
            IF(N(AO249)&gt;0, "Group 12: Only Failed | With variation (with var SD &gt; 0)", "Group 11: Only Failed | Without variation (no var SD = 0)"),
            "Invalid: No Executions (Y=0, Z=0)"
        )
    )
)</f>
        <v>Group 9: Only Passed | Without variation (no var SD = 0)</v>
      </c>
      <c r="AR249" s="37" t="str">
        <f aca="false">IF(OR(F249="Observed Flaky Test", I249="Observed Flaky Test", S249="Observed Flaky Test", AJ249="Observed Flaky Test"), "Observed Flaky Test", "Non-observed Flaky Test")</f>
        <v>Non-observed Flaky Test</v>
      </c>
    </row>
    <row r="250" customFormat="false" ht="15.75" hidden="false" customHeight="true" outlineLevel="0" collapsed="false">
      <c r="A250" s="104"/>
      <c r="B250" s="14" t="s">
        <v>582</v>
      </c>
      <c r="C250" s="14" t="s">
        <v>583</v>
      </c>
      <c r="D250" s="15" t="n">
        <v>100</v>
      </c>
      <c r="E250" s="15" t="n">
        <v>0</v>
      </c>
      <c r="F250" s="16" t="str">
        <f aca="false">IF(AND(D250&gt;0, E250&gt;0), "Observed Flaky Test", "Non-observed Flaky Test")</f>
        <v>Non-observed Flaky Test</v>
      </c>
      <c r="G250" s="22" t="n">
        <v>97</v>
      </c>
      <c r="H250" s="18" t="n">
        <v>3</v>
      </c>
      <c r="I250" s="61" t="str">
        <f aca="false">IF(AND(G250&gt;0, H250&gt;0), "Observed Flaky Test", "Non-observed Flaky Test")</f>
        <v>Observed Flaky Test</v>
      </c>
      <c r="J250" s="53" t="n">
        <v>26.323093</v>
      </c>
      <c r="K250" s="53" t="n">
        <v>0.018184</v>
      </c>
      <c r="L250" s="19" t="n">
        <f aca="false">IFERROR(K250/J250*100,"N/A")</f>
        <v>0.0690800279435247</v>
      </c>
      <c r="M250" s="53" t="n">
        <v>27.573333</v>
      </c>
      <c r="N250" s="53" t="n">
        <v>0.477935</v>
      </c>
      <c r="O250" s="20" t="n">
        <f aca="false">IFERROR(N250/M250*100,"N/A")</f>
        <v>1.73332328014172</v>
      </c>
      <c r="P250" s="62" t="str">
        <f aca="false">IF(AND(G250&gt;0, H250=0), IF(ROUND(K250,8)=0, "Group 9: Only Passed | Without variation (SD Passed = 0)", "Group 10: Only Passed | With variation (SD Passed &gt; 0)"), IF(AND(G250=0, H250&gt;0), IF(ROUND(N250,8)=0, "Group 11: Only Failed | Without variation (SD Failed = 0)", "Group 12: Only Failed | With variation (SD Failed &gt; 0)"), IF(AND(G250&gt;0, H250&gt;0), IF(ROUND(J250,5)&lt;&gt;ROUND(M250,5), IF(AND(ROUND(K250,8)=0, ROUND(N250,8)=0), "Group 1: Flaky | Passed (no variation) AND Failed (no variation) | Different Means", IF(AND(ROUND(K250,8)&gt;0, ROUND(N250,8)&gt;0), "Group 2: Flaky | Passed (with variation) AND Failed (with variation) | Different Means", IF(AND(ROUND(K250,8)=0, ROUND(N250,8)&gt;0), "Group 3: Flaky | Passed (no variation) AND Failed (with variation) | Different Means", "Group 4: Flaky | Passed (with variation) AND Failed (no variation) | Different Means"))), IF(AND(ROUND(K250,8)=0, ROUND(N250,8)=0), "Group 5: Flaky | Passed (no variation) AND Failed (no variation) | Equal Means", IF(AND(ROUND(K250,8)&gt;0, ROUND(N250,8)&gt;0), "Group 6: Flaky | Passed (with variation) AND Failed (with variation) | Equal Means", IF(AND(ROUND(K250,8)=0, ROUND(N250,8)&gt;0), "Group 7: Flaky | Passed (no variation) AND Failed (with variation) | Equal Means", "Group 8: Flaky | Passed (with variation) AND Failed (no variation) | Equal Means")))), "Invalid")))</f>
        <v>Group 2: Flaky | Passed (with variation) AND Failed (with variation) | Different Means</v>
      </c>
      <c r="Q250" s="22" t="n">
        <v>100</v>
      </c>
      <c r="R250" s="22" t="n">
        <v>0</v>
      </c>
      <c r="S250" s="23" t="str">
        <f aca="false">IF(AND(Q250&gt;0, R250&gt;0), "Observed Flaky Test", "Non-observed Flaky Test")</f>
        <v>Non-observed Flaky Test</v>
      </c>
      <c r="T250" s="55" t="n">
        <v>18650057.7</v>
      </c>
      <c r="U250" s="24" t="n">
        <v>668016.580469</v>
      </c>
      <c r="V250" s="25" t="n">
        <f aca="false">IFERROR(U250/T250*100,"N/A")</f>
        <v>3.58184725867631</v>
      </c>
      <c r="W250" s="22" t="n">
        <v>0</v>
      </c>
      <c r="X250" s="22" t="n">
        <v>0</v>
      </c>
      <c r="Y250" s="27" t="str">
        <f aca="false">IFERROR(X250/W250*100,"N/A")</f>
        <v>N/A</v>
      </c>
      <c r="Z250" s="50" t="str">
        <f aca="false">IF(AND(Q250&gt;0, R250=0), IF(IFERROR(ROUND(V250,8),0)=0, "Group 9: Only Passed | Without variation (no var CV = 0)", "Group 10: Only Passed | With variation (with var CV &gt; 0)"), IF(AND(Q250=0, R250&gt;0), IF(IFERROR(ROUND(Y250,8),0)=0, "Group 11: Only Failed | Without variation (no var CV = 0)", "Group 12: Only Failed | With variation (with var CV &gt; 0)"), IF(AND(Q250&gt;0, R250&gt;0), IF(ROUND(T250,5)&lt;&gt;ROUND(W250,5), IF(AND(IFERROR(ROUND(V250,8),0)=0, IFERROR(ROUND(Y250,8),0)=0), "Group 1: Flaky | Passed (no variation: CV = 0) AND Failed (no variation: CV = 0) | Different Means", IF(AND(IFERROR(ROUND(V250,8),0)&gt;0, IFERROR(ROUND(Y250,8),0)&gt;0), "Group 2: Flaky | Passed (with variation: CV &gt; 0) AND Failed (with variation: CV &gt; 0) | Different Means", IF(AND(IFERROR(ROUND(V250,8),0)=0, IFERROR(ROUND(Y250,8),0)&gt;0), "Group 3: Flaky | Passed (no variation: CV = 0) AND Failed (with variation: CV &gt; 0) | Different Means", "Group 4: Flaky | Passed (with variation: CV &gt; 0) AND Failed (no variation: CV = 0) | Different Means"))), IF(AND(IFERROR(ROUND(V250,8),0)=0, IFERROR(ROUND(Y250,8),0)=0), "Group 5: Flaky | Passed (no var CV = 0) AND Failed (no var CV = 0) | Equal Means", IF(AND(IFERROR(ROUND(V250,8),0)&gt;0, IFERROR(ROUND(Y250,8),0)&gt;0), "Group 6: Flaky | Passed (with var CV &gt; 0) AND Failed (with var CV &gt; 0) | Equal Means", IF(AND(IFERROR(ROUND(V250,8),0)=0, IFERROR(ROUND(Y250,8),0)&gt;0),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A250" s="29" t="n">
        <v>5.587259</v>
      </c>
      <c r="AB250" s="29" t="n">
        <v>0.290918</v>
      </c>
      <c r="AC250" s="29" t="n">
        <f aca="false">IFERROR(AB250/AA250*100,"N/A")</f>
        <v>5.20681070986686</v>
      </c>
      <c r="AD250" s="29" t="n">
        <v>0</v>
      </c>
      <c r="AE250" s="29" t="n">
        <v>0</v>
      </c>
      <c r="AF250" s="29" t="str">
        <f aca="false">IFERROR(AE250/AD250*100,"N/A")</f>
        <v>N/A</v>
      </c>
      <c r="AG250" s="51" t="str">
        <f aca="false">IF(AND(Q250&gt;0, R250=0), IF(IFERROR(ROUND(AC250,8),0)=0, "Group 9: Only Passed | Without variation (no var CV = 0)", "Group 10: Only Passed | With variation (with var CV &gt; 0)"), IF(AND(Q250=0, R250&gt;0), IF(IFERROR(ROUND(AF250,8),0)=0, "Group 11: Only Failed | Without variation (no var CV = 0)", "Group 12: Only Failed | With variation (with var CV &gt; 0)"), IF(AND(Q250&gt;0, R250&gt;0), IF(ROUND(AA250,5)&lt;&gt;ROUND(AD250,5), IF(AND(IFERROR(ROUND(AC250,8),0)=0, IFERROR(ROUND(AF250,8),0)=0), "Group 1: Flaky | Passed (no variation: CV = 0) AND Failed (no variation: CV = 0) | Different Means", IF(AND(IFERROR(ROUND(AC250,8),0)&gt;0, IFERROR(ROUND(AF250,8),0)&gt;0), "Group 2: Flaky | Passed (with variation: CV &gt; 0) AND Failed (with variation: CV &gt; 0) | Different Means", IF(AND(IFERROR(ROUND(AC250,8),0)=0, IFERROR(ROUND(AF250,8),0)&gt;0), "Group 3: Flaky | Passed (no variation: CV = 0) AND Failed (with variation: CV &gt; 0) | Different Means", "Group 4: Flaky | Passed (with variation: CV &gt; 0) AND Failed (no variation: CV = 0) | Different Means"))), IF(AND(IFERROR(ROUND(AC250,8),0)=0, IFERROR(ROUND(AF250,8),0)=0), "Group 5: Flaky | Passed (no var CV = 0) AND Failed (no var CV = 0) | Equal Means", IF(AND(IFERROR(ROUND(AC250,8),0)&gt;0, IFERROR(ROUND(AF250,8),0)&gt;0), "Group 6: Flaky | Passed (with var CV &gt; 0) AND Failed (with var CV &gt; 0) | Equal Means", IF(AND(IFERROR(ROUND(AC250,8),0)=0, IFERROR(ROUND(AF250,8),0)&gt;0), "Group 7: Flaky | Passed (no var CV = 0) AND Failed (with var CV &gt; 0) | Equal Means", "Group 8: Flaky | Passed (with var CV &gt; 0) AND Failed (no var CV = 0) | Equal Means")))), "Invalid")))</f>
        <v>Group 10: Only Passed | With variation (with var CV &gt; 0)</v>
      </c>
      <c r="AH250" s="22" t="n">
        <v>100</v>
      </c>
      <c r="AI250" s="17" t="n">
        <v>0</v>
      </c>
      <c r="AJ250" s="31" t="str">
        <f aca="false">IF(AND(AH250&gt;0, AI250&gt;0), "Observed Flaky Test", "Non-observed Flaky Test")</f>
        <v>Non-observed Flaky Test</v>
      </c>
      <c r="AK250" s="102" t="n">
        <v>48553432.82</v>
      </c>
      <c r="AL250" s="72" t="n">
        <v>1001229.48239721</v>
      </c>
      <c r="AM250" s="33" t="n">
        <f aca="false">IFERROR(AL250/AK250*100,"N/A")</f>
        <v>2.06211883330479</v>
      </c>
      <c r="AN250" s="90" t="n">
        <v>0</v>
      </c>
      <c r="AO250" s="90" t="n">
        <v>0</v>
      </c>
      <c r="AP250" s="35" t="str">
        <f aca="false">IFERROR(AO250/AN250*100,"N/A")</f>
        <v>N/A</v>
      </c>
      <c r="AQ250" s="52" t="str">
        <f aca="false">IF(AND(AH250&gt;0, AI250&gt;0),
    IF(ROUND(N(AK250),5)&lt;&gt;ROUND(N(AN250),5),
        IF(AND(ROUND(N(AL250),8)=0, ROUND(N(AO250),8)=0), "Group 1: Flaky | Passed (no variation: SD = 0) AND Failed (no variation: SD = 0) | Different Means",
        IF(AND(ROUND(N(AL250),8)&gt;0, ROUND(N(AO250),8)&gt;0), "Group 2: Flaky | Passed (with variation: SD &gt; 0) AND Failed (with variation: SD &gt; 0) | Different Means",
        IF(AND(ROUND(N(AL250),8)=0, ROUND(N(AO250),8)&gt;0), "Group 3: Flaky | Passed (no variation: SD = 0) AND Failed (with variation: SD &gt; 0) | Different Means",
        "Group 4: Flaky | Passed (with variation: SD &gt; 0) AND Failed (no variation: SD = 0) | Different Means"))),
        IF(AND(ROUND(N(AL250),8)=0, ROUND(N(AO250),8)=0), "Group 5: Flaky | Passed (no var SD = 0) AND Failed (no var SD = 0) | Equal Means",
        IF(AND(ROUND(N(AL250),8)&gt;0, ROUND(N(AO250),8)&gt;0), "Group 6: Flaky | Passed (with var SD &gt; 0 ) AND Failed (with var SD &gt; 0) | Equal Means",
        IF(AND(ROUND(N(AL250),8)=0, ROUND(N(AO250),8)&gt;0), "Group 7: Flaky | Passed (no var SD = 0) AND Failed (with var SD &gt; 0) | Equal Means",
        "Group 8: Flaky | Passed (with var SD &gt; 0 ) AND Failed (no var SD = 0) | Equal Means")))
    ),
    IF(AH250&gt;0,
        IF(N(AL250)&gt;0, "Group 10: Only Passed | With variation (with var SD &gt; 0)", "Group 9: Only Passed | Without variation (no var SD = 0)"),
        IF(AI250&gt;0,
            IF(N(AO250)&gt;0, "Group 12: Only Failed | With variation (with var SD &gt; 0)", "Group 11: Only Failed | Without variation (no var SD = 0)"),
            "Invalid: No Executions (Y=0, Z=0)"
        )
    )
)</f>
        <v>Group 10: Only Passed | With variation (with var SD &gt; 0)</v>
      </c>
      <c r="AR250" s="42" t="str">
        <f aca="false">IF(OR(F250="Observed Flaky Test", I250="Observed Flaky Test", S250="Observed Flaky Test", AJ250="Observed Flaky Test"), "Observed Flaky Test", "Non-observed Flaky Test")</f>
        <v>Observed Flaky Test</v>
      </c>
    </row>
    <row r="251" customFormat="false" ht="15.75" hidden="false" customHeight="true" outlineLevel="0" collapsed="false"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6"/>
      <c r="P251" s="106"/>
    </row>
    <row r="252" customFormat="false" ht="15.75" hidden="false" customHeight="true" outlineLevel="0" collapsed="false"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6"/>
      <c r="P252" s="106"/>
    </row>
    <row r="253" customFormat="false" ht="15.75" hidden="false" customHeight="true" outlineLevel="0" collapsed="false"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6"/>
      <c r="P253" s="106"/>
    </row>
    <row r="254" customFormat="false" ht="15.75" hidden="false" customHeight="true" outlineLevel="0" collapsed="false"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6"/>
      <c r="P254" s="106"/>
    </row>
    <row r="255" customFormat="false" ht="15.75" hidden="false" customHeight="true" outlineLevel="0" collapsed="false"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6"/>
      <c r="P255" s="106"/>
    </row>
    <row r="256" customFormat="false" ht="15.75" hidden="false" customHeight="true" outlineLevel="0" collapsed="false"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6"/>
      <c r="P256" s="106"/>
    </row>
    <row r="257" customFormat="false" ht="15.75" hidden="false" customHeight="true" outlineLevel="0" collapsed="false"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6"/>
      <c r="P257" s="106"/>
    </row>
    <row r="258" customFormat="false" ht="15.75" hidden="false" customHeight="true" outlineLevel="0" collapsed="false"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6"/>
      <c r="P258" s="106"/>
    </row>
    <row r="259" customFormat="false" ht="15.75" hidden="false" customHeight="true" outlineLevel="0" collapsed="false"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6"/>
      <c r="P259" s="106"/>
    </row>
    <row r="260" customFormat="false" ht="15.75" hidden="false" customHeight="true" outlineLevel="0" collapsed="false"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6"/>
      <c r="P260" s="106"/>
    </row>
    <row r="261" customFormat="false" ht="15.75" hidden="false" customHeight="true" outlineLevel="0" collapsed="false"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6"/>
      <c r="P261" s="106"/>
    </row>
    <row r="262" customFormat="false" ht="15.75" hidden="false" customHeight="true" outlineLevel="0" collapsed="false"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6"/>
      <c r="P262" s="106"/>
    </row>
    <row r="263" customFormat="false" ht="15.75" hidden="false" customHeight="true" outlineLevel="0" collapsed="false"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6"/>
      <c r="P263" s="106"/>
    </row>
    <row r="264" customFormat="false" ht="15.75" hidden="false" customHeight="true" outlineLevel="0" collapsed="false"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6"/>
      <c r="P264" s="106"/>
    </row>
    <row r="265" customFormat="false" ht="15.75" hidden="false" customHeight="true" outlineLevel="0" collapsed="false"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6"/>
      <c r="P265" s="106"/>
    </row>
    <row r="266" customFormat="false" ht="15.75" hidden="false" customHeight="true" outlineLevel="0" collapsed="false"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6"/>
      <c r="P266" s="106"/>
    </row>
    <row r="267" customFormat="false" ht="15.75" hidden="false" customHeight="true" outlineLevel="0" collapsed="false"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6"/>
      <c r="P267" s="106"/>
    </row>
    <row r="268" customFormat="false" ht="15.75" hidden="false" customHeight="true" outlineLevel="0" collapsed="false"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6"/>
      <c r="P268" s="106"/>
    </row>
    <row r="269" customFormat="false" ht="15.75" hidden="false" customHeight="true" outlineLevel="0" collapsed="false"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6"/>
      <c r="P269" s="106"/>
    </row>
    <row r="270" customFormat="false" ht="15.75" hidden="false" customHeight="true" outlineLevel="0" collapsed="false"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6"/>
      <c r="P270" s="106"/>
    </row>
    <row r="271" customFormat="false" ht="15.75" hidden="false" customHeight="true" outlineLevel="0" collapsed="false"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6"/>
      <c r="P271" s="106"/>
    </row>
    <row r="272" customFormat="false" ht="15.75" hidden="false" customHeight="true" outlineLevel="0" collapsed="false"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6"/>
      <c r="P272" s="106"/>
    </row>
    <row r="273" customFormat="false" ht="15.75" hidden="false" customHeight="true" outlineLevel="0" collapsed="false"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6"/>
      <c r="P273" s="106"/>
    </row>
    <row r="274" customFormat="false" ht="15.75" hidden="false" customHeight="true" outlineLevel="0" collapsed="false"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6"/>
      <c r="P274" s="106"/>
    </row>
    <row r="275" customFormat="false" ht="15.75" hidden="false" customHeight="true" outlineLevel="0" collapsed="false"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6"/>
      <c r="P275" s="106"/>
    </row>
    <row r="276" customFormat="false" ht="15.75" hidden="false" customHeight="true" outlineLevel="0" collapsed="false"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6"/>
      <c r="P276" s="106"/>
    </row>
    <row r="277" customFormat="false" ht="15.75" hidden="false" customHeight="true" outlineLevel="0" collapsed="false"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6"/>
      <c r="P277" s="106"/>
    </row>
    <row r="278" customFormat="false" ht="15.75" hidden="false" customHeight="true" outlineLevel="0" collapsed="false"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6"/>
      <c r="P278" s="106"/>
    </row>
    <row r="279" customFormat="false" ht="15.75" hidden="false" customHeight="true" outlineLevel="0" collapsed="false"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6"/>
      <c r="P279" s="106"/>
    </row>
    <row r="280" customFormat="false" ht="15.75" hidden="false" customHeight="true" outlineLevel="0" collapsed="false"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6"/>
      <c r="P280" s="106"/>
    </row>
    <row r="281" customFormat="false" ht="15.75" hidden="false" customHeight="true" outlineLevel="0" collapsed="false"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6"/>
      <c r="P281" s="106"/>
    </row>
    <row r="282" customFormat="false" ht="15.75" hidden="false" customHeight="true" outlineLevel="0" collapsed="false"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6"/>
      <c r="P282" s="106"/>
    </row>
    <row r="283" customFormat="false" ht="15.75" hidden="false" customHeight="true" outlineLevel="0" collapsed="false"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6"/>
      <c r="P283" s="106"/>
    </row>
    <row r="284" customFormat="false" ht="15.75" hidden="false" customHeight="true" outlineLevel="0" collapsed="false"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6"/>
      <c r="P284" s="106"/>
    </row>
    <row r="285" customFormat="false" ht="15.75" hidden="false" customHeight="true" outlineLevel="0" collapsed="false"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6"/>
      <c r="P285" s="106"/>
    </row>
    <row r="286" customFormat="false" ht="15.75" hidden="false" customHeight="true" outlineLevel="0" collapsed="false"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6"/>
      <c r="P286" s="106"/>
    </row>
    <row r="287" customFormat="false" ht="15.75" hidden="false" customHeight="true" outlineLevel="0" collapsed="false"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6"/>
      <c r="P287" s="106"/>
    </row>
    <row r="288" customFormat="false" ht="15.75" hidden="false" customHeight="true" outlineLevel="0" collapsed="false"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6"/>
      <c r="P288" s="106"/>
    </row>
    <row r="289" customFormat="false" ht="15.75" hidden="false" customHeight="true" outlineLevel="0" collapsed="false"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6"/>
      <c r="P289" s="106"/>
    </row>
    <row r="290" customFormat="false" ht="15.75" hidden="false" customHeight="true" outlineLevel="0" collapsed="false"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6"/>
      <c r="P290" s="106"/>
    </row>
    <row r="291" customFormat="false" ht="15.75" hidden="false" customHeight="true" outlineLevel="0" collapsed="false"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6"/>
      <c r="P291" s="106"/>
    </row>
    <row r="292" customFormat="false" ht="15.75" hidden="false" customHeight="true" outlineLevel="0" collapsed="false"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6"/>
      <c r="P292" s="106"/>
    </row>
    <row r="293" customFormat="false" ht="15.75" hidden="false" customHeight="true" outlineLevel="0" collapsed="false"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6"/>
      <c r="P293" s="106"/>
    </row>
    <row r="294" customFormat="false" ht="15.75" hidden="false" customHeight="true" outlineLevel="0" collapsed="false"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6"/>
      <c r="P294" s="106"/>
    </row>
    <row r="295" customFormat="false" ht="15.75" hidden="false" customHeight="true" outlineLevel="0" collapsed="false"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6"/>
      <c r="P295" s="106"/>
    </row>
    <row r="296" customFormat="false" ht="15.75" hidden="false" customHeight="true" outlineLevel="0" collapsed="false"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6"/>
      <c r="P296" s="106"/>
    </row>
    <row r="297" customFormat="false" ht="15.75" hidden="false" customHeight="true" outlineLevel="0" collapsed="false"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6"/>
      <c r="P297" s="106"/>
    </row>
    <row r="298" customFormat="false" ht="15.75" hidden="false" customHeight="true" outlineLevel="0" collapsed="false"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6"/>
      <c r="P298" s="106"/>
    </row>
    <row r="299" customFormat="false" ht="15.75" hidden="false" customHeight="true" outlineLevel="0" collapsed="false"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6"/>
      <c r="P299" s="106"/>
    </row>
    <row r="300" customFormat="false" ht="15.75" hidden="false" customHeight="true" outlineLevel="0" collapsed="false"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6"/>
      <c r="P300" s="106"/>
    </row>
    <row r="301" customFormat="false" ht="15.75" hidden="false" customHeight="true" outlineLevel="0" collapsed="false"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6"/>
      <c r="P301" s="106"/>
    </row>
    <row r="302" customFormat="false" ht="15.75" hidden="false" customHeight="true" outlineLevel="0" collapsed="false"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6"/>
      <c r="P302" s="106"/>
    </row>
    <row r="303" customFormat="false" ht="15.75" hidden="false" customHeight="true" outlineLevel="0" collapsed="false"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6"/>
      <c r="P303" s="106"/>
    </row>
    <row r="304" customFormat="false" ht="15.75" hidden="false" customHeight="true" outlineLevel="0" collapsed="false"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6"/>
      <c r="P304" s="106"/>
    </row>
    <row r="305" customFormat="false" ht="15.75" hidden="false" customHeight="true" outlineLevel="0" collapsed="false"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6"/>
      <c r="P305" s="106"/>
    </row>
    <row r="306" customFormat="false" ht="15.75" hidden="false" customHeight="true" outlineLevel="0" collapsed="false"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6"/>
      <c r="P306" s="106"/>
    </row>
    <row r="307" customFormat="false" ht="15.75" hidden="false" customHeight="true" outlineLevel="0" collapsed="false"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6"/>
      <c r="P307" s="106"/>
    </row>
    <row r="308" customFormat="false" ht="15.75" hidden="false" customHeight="true" outlineLevel="0" collapsed="false"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6"/>
      <c r="P308" s="106"/>
    </row>
    <row r="309" customFormat="false" ht="15.75" hidden="false" customHeight="true" outlineLevel="0" collapsed="false"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6"/>
      <c r="P309" s="106"/>
    </row>
    <row r="310" customFormat="false" ht="15.75" hidden="false" customHeight="true" outlineLevel="0" collapsed="false"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6"/>
      <c r="P310" s="106"/>
    </row>
    <row r="311" customFormat="false" ht="15.75" hidden="false" customHeight="true" outlineLevel="0" collapsed="false"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6"/>
      <c r="P311" s="106"/>
    </row>
    <row r="312" customFormat="false" ht="15.75" hidden="false" customHeight="true" outlineLevel="0" collapsed="false"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6"/>
      <c r="P312" s="106"/>
    </row>
    <row r="313" customFormat="false" ht="15.75" hidden="false" customHeight="true" outlineLevel="0" collapsed="false"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6"/>
      <c r="P313" s="106"/>
    </row>
    <row r="314" customFormat="false" ht="15.75" hidden="false" customHeight="true" outlineLevel="0" collapsed="false"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6"/>
      <c r="P314" s="106"/>
    </row>
    <row r="315" customFormat="false" ht="15.75" hidden="false" customHeight="true" outlineLevel="0" collapsed="false"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6"/>
      <c r="P315" s="106"/>
    </row>
    <row r="316" customFormat="false" ht="15.75" hidden="false" customHeight="true" outlineLevel="0" collapsed="false"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6"/>
      <c r="P316" s="106"/>
    </row>
    <row r="317" customFormat="false" ht="15.75" hidden="false" customHeight="true" outlineLevel="0" collapsed="false"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6"/>
      <c r="P317" s="106"/>
    </row>
    <row r="318" customFormat="false" ht="15.75" hidden="false" customHeight="true" outlineLevel="0" collapsed="false"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6"/>
      <c r="P318" s="106"/>
    </row>
    <row r="319" customFormat="false" ht="15.75" hidden="false" customHeight="true" outlineLevel="0" collapsed="false"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6"/>
      <c r="P319" s="106"/>
    </row>
    <row r="320" customFormat="false" ht="15.75" hidden="false" customHeight="true" outlineLevel="0" collapsed="false"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6"/>
      <c r="P320" s="106"/>
    </row>
    <row r="321" customFormat="false" ht="15.75" hidden="false" customHeight="true" outlineLevel="0" collapsed="false"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6"/>
      <c r="P321" s="106"/>
    </row>
    <row r="322" customFormat="false" ht="15.75" hidden="false" customHeight="true" outlineLevel="0" collapsed="false"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6"/>
      <c r="P322" s="106"/>
    </row>
    <row r="323" customFormat="false" ht="15.75" hidden="false" customHeight="true" outlineLevel="0" collapsed="false"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6"/>
      <c r="P323" s="106"/>
    </row>
    <row r="324" customFormat="false" ht="15.75" hidden="false" customHeight="true" outlineLevel="0" collapsed="false"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6"/>
      <c r="P324" s="106"/>
    </row>
    <row r="325" customFormat="false" ht="15.75" hidden="false" customHeight="true" outlineLevel="0" collapsed="false"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6"/>
      <c r="P325" s="106"/>
    </row>
    <row r="326" customFormat="false" ht="15.75" hidden="false" customHeight="true" outlineLevel="0" collapsed="false"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6"/>
      <c r="P326" s="106"/>
    </row>
    <row r="327" customFormat="false" ht="15.75" hidden="false" customHeight="true" outlineLevel="0" collapsed="false"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6"/>
      <c r="P327" s="106"/>
    </row>
    <row r="328" customFormat="false" ht="15.75" hidden="false" customHeight="true" outlineLevel="0" collapsed="false"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6"/>
      <c r="P328" s="106"/>
    </row>
    <row r="329" customFormat="false" ht="15.75" hidden="false" customHeight="true" outlineLevel="0" collapsed="false"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6"/>
      <c r="P329" s="106"/>
    </row>
    <row r="330" customFormat="false" ht="15.75" hidden="false" customHeight="true" outlineLevel="0" collapsed="false"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6"/>
      <c r="P330" s="106"/>
    </row>
    <row r="331" customFormat="false" ht="15.75" hidden="false" customHeight="true" outlineLevel="0" collapsed="false"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6"/>
      <c r="P331" s="106"/>
    </row>
    <row r="332" customFormat="false" ht="15.75" hidden="false" customHeight="true" outlineLevel="0" collapsed="false"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6"/>
      <c r="P332" s="106"/>
    </row>
    <row r="333" customFormat="false" ht="15.75" hidden="false" customHeight="true" outlineLevel="0" collapsed="false"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6"/>
      <c r="P333" s="106"/>
    </row>
    <row r="334" customFormat="false" ht="15.75" hidden="false" customHeight="true" outlineLevel="0" collapsed="false"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6"/>
      <c r="P334" s="106"/>
    </row>
    <row r="335" customFormat="false" ht="15.75" hidden="false" customHeight="true" outlineLevel="0" collapsed="false"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6"/>
      <c r="P335" s="106"/>
    </row>
    <row r="336" customFormat="false" ht="15.75" hidden="false" customHeight="true" outlineLevel="0" collapsed="false"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6"/>
      <c r="P336" s="106"/>
    </row>
    <row r="337" customFormat="false" ht="15.75" hidden="false" customHeight="true" outlineLevel="0" collapsed="false"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6"/>
      <c r="P337" s="106"/>
    </row>
    <row r="338" customFormat="false" ht="15.75" hidden="false" customHeight="true" outlineLevel="0" collapsed="false"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6"/>
      <c r="P338" s="106"/>
    </row>
    <row r="339" customFormat="false" ht="15.75" hidden="false" customHeight="true" outlineLevel="0" collapsed="false"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6"/>
      <c r="P339" s="106"/>
    </row>
    <row r="340" customFormat="false" ht="15.75" hidden="false" customHeight="true" outlineLevel="0" collapsed="false"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6"/>
      <c r="P340" s="106"/>
    </row>
    <row r="341" customFormat="false" ht="15.75" hidden="false" customHeight="true" outlineLevel="0" collapsed="false"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6"/>
      <c r="P341" s="106"/>
    </row>
    <row r="342" customFormat="false" ht="15.75" hidden="false" customHeight="true" outlineLevel="0" collapsed="false"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6"/>
      <c r="P342" s="106"/>
    </row>
    <row r="343" customFormat="false" ht="15.75" hidden="false" customHeight="true" outlineLevel="0" collapsed="false"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6"/>
      <c r="P343" s="106"/>
    </row>
    <row r="344" customFormat="false" ht="15.75" hidden="false" customHeight="true" outlineLevel="0" collapsed="false"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6"/>
      <c r="P344" s="106"/>
    </row>
    <row r="345" customFormat="false" ht="15.75" hidden="false" customHeight="true" outlineLevel="0" collapsed="false"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6"/>
      <c r="P345" s="106"/>
    </row>
    <row r="346" customFormat="false" ht="15.75" hidden="false" customHeight="true" outlineLevel="0" collapsed="false"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6"/>
      <c r="P346" s="106"/>
    </row>
    <row r="347" customFormat="false" ht="15.75" hidden="false" customHeight="true" outlineLevel="0" collapsed="false"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6"/>
      <c r="P347" s="106"/>
    </row>
    <row r="348" customFormat="false" ht="15.75" hidden="false" customHeight="true" outlineLevel="0" collapsed="false"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6"/>
      <c r="P348" s="106"/>
    </row>
    <row r="349" customFormat="false" ht="15.75" hidden="false" customHeight="true" outlineLevel="0" collapsed="false"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6"/>
      <c r="P349" s="106"/>
    </row>
    <row r="350" customFormat="false" ht="15.75" hidden="false" customHeight="true" outlineLevel="0" collapsed="false"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6"/>
      <c r="P350" s="106"/>
    </row>
    <row r="351" customFormat="false" ht="15.75" hidden="false" customHeight="true" outlineLevel="0" collapsed="false"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6"/>
      <c r="P351" s="106"/>
    </row>
    <row r="352" customFormat="false" ht="15.75" hidden="false" customHeight="true" outlineLevel="0" collapsed="false"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6"/>
      <c r="P352" s="106"/>
    </row>
    <row r="353" customFormat="false" ht="15.75" hidden="false" customHeight="true" outlineLevel="0" collapsed="false"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6"/>
      <c r="P353" s="106"/>
    </row>
    <row r="354" customFormat="false" ht="15.75" hidden="false" customHeight="true" outlineLevel="0" collapsed="false"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6"/>
      <c r="P354" s="106"/>
    </row>
    <row r="355" customFormat="false" ht="15.75" hidden="false" customHeight="true" outlineLevel="0" collapsed="false"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6"/>
      <c r="P355" s="106"/>
    </row>
    <row r="356" customFormat="false" ht="15.75" hidden="false" customHeight="true" outlineLevel="0" collapsed="false"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6"/>
      <c r="P356" s="106"/>
    </row>
    <row r="357" customFormat="false" ht="15.75" hidden="false" customHeight="true" outlineLevel="0" collapsed="false"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6"/>
      <c r="P357" s="106"/>
    </row>
    <row r="358" customFormat="false" ht="15.75" hidden="false" customHeight="true" outlineLevel="0" collapsed="false"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6"/>
      <c r="P358" s="106"/>
    </row>
    <row r="359" customFormat="false" ht="15.75" hidden="false" customHeight="true" outlineLevel="0" collapsed="false"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6"/>
      <c r="P359" s="106"/>
    </row>
    <row r="360" customFormat="false" ht="15.75" hidden="false" customHeight="true" outlineLevel="0" collapsed="false"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6"/>
      <c r="P360" s="106"/>
    </row>
    <row r="361" customFormat="false" ht="15.75" hidden="false" customHeight="true" outlineLevel="0" collapsed="false"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6"/>
      <c r="P361" s="106"/>
    </row>
    <row r="362" customFormat="false" ht="15.75" hidden="false" customHeight="true" outlineLevel="0" collapsed="false"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6"/>
      <c r="P362" s="106"/>
    </row>
    <row r="363" customFormat="false" ht="15.75" hidden="false" customHeight="true" outlineLevel="0" collapsed="false"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6"/>
      <c r="P363" s="106"/>
    </row>
    <row r="364" customFormat="false" ht="15.75" hidden="false" customHeight="true" outlineLevel="0" collapsed="false"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6"/>
      <c r="P364" s="106"/>
    </row>
    <row r="365" customFormat="false" ht="15.75" hidden="false" customHeight="true" outlineLevel="0" collapsed="false"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6"/>
      <c r="P365" s="106"/>
    </row>
    <row r="366" customFormat="false" ht="15.75" hidden="false" customHeight="true" outlineLevel="0" collapsed="false"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6"/>
      <c r="P366" s="106"/>
    </row>
    <row r="367" customFormat="false" ht="15.75" hidden="false" customHeight="true" outlineLevel="0" collapsed="false"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6"/>
      <c r="P367" s="106"/>
    </row>
    <row r="368" customFormat="false" ht="15.75" hidden="false" customHeight="true" outlineLevel="0" collapsed="false"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6"/>
      <c r="P368" s="106"/>
    </row>
    <row r="369" customFormat="false" ht="15.75" hidden="false" customHeight="true" outlineLevel="0" collapsed="false"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6"/>
      <c r="P369" s="106"/>
    </row>
    <row r="370" customFormat="false" ht="15.75" hidden="false" customHeight="true" outlineLevel="0" collapsed="false"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6"/>
      <c r="P370" s="106"/>
    </row>
    <row r="371" customFormat="false" ht="15.75" hidden="false" customHeight="true" outlineLevel="0" collapsed="false"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6"/>
      <c r="P371" s="106"/>
    </row>
    <row r="372" customFormat="false" ht="15.75" hidden="false" customHeight="true" outlineLevel="0" collapsed="false"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6"/>
      <c r="P372" s="106"/>
    </row>
    <row r="373" customFormat="false" ht="15.75" hidden="false" customHeight="true" outlineLevel="0" collapsed="false"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6"/>
      <c r="P373" s="106"/>
    </row>
    <row r="374" customFormat="false" ht="15.75" hidden="false" customHeight="true" outlineLevel="0" collapsed="false"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6"/>
      <c r="P374" s="106"/>
    </row>
    <row r="375" customFormat="false" ht="15.75" hidden="false" customHeight="true" outlineLevel="0" collapsed="false"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6"/>
      <c r="P375" s="106"/>
    </row>
    <row r="376" customFormat="false" ht="15.75" hidden="false" customHeight="true" outlineLevel="0" collapsed="false"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6"/>
      <c r="P376" s="106"/>
    </row>
    <row r="377" customFormat="false" ht="15.75" hidden="false" customHeight="true" outlineLevel="0" collapsed="false"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6"/>
      <c r="P377" s="106"/>
    </row>
    <row r="378" customFormat="false" ht="15.75" hidden="false" customHeight="true" outlineLevel="0" collapsed="false"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6"/>
      <c r="P378" s="106"/>
    </row>
    <row r="379" customFormat="false" ht="15.75" hidden="false" customHeight="true" outlineLevel="0" collapsed="false"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6"/>
      <c r="P379" s="106"/>
    </row>
    <row r="380" customFormat="false" ht="15.75" hidden="false" customHeight="true" outlineLevel="0" collapsed="false"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6"/>
      <c r="P380" s="106"/>
    </row>
    <row r="381" customFormat="false" ht="15.75" hidden="false" customHeight="true" outlineLevel="0" collapsed="false"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6"/>
      <c r="P381" s="106"/>
    </row>
    <row r="382" customFormat="false" ht="15.75" hidden="false" customHeight="true" outlineLevel="0" collapsed="false"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6"/>
      <c r="P382" s="106"/>
    </row>
    <row r="383" customFormat="false" ht="15.75" hidden="false" customHeight="true" outlineLevel="0" collapsed="false"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6"/>
      <c r="P383" s="106"/>
    </row>
    <row r="384" customFormat="false" ht="15.75" hidden="false" customHeight="true" outlineLevel="0" collapsed="false"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6"/>
      <c r="P384" s="106"/>
    </row>
    <row r="385" customFormat="false" ht="15.75" hidden="false" customHeight="true" outlineLevel="0" collapsed="false"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6"/>
      <c r="P385" s="106"/>
    </row>
    <row r="386" customFormat="false" ht="15.75" hidden="false" customHeight="true" outlineLevel="0" collapsed="false"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6"/>
      <c r="P386" s="106"/>
    </row>
    <row r="387" customFormat="false" ht="15.75" hidden="false" customHeight="true" outlineLevel="0" collapsed="false"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6"/>
      <c r="P387" s="106"/>
    </row>
    <row r="388" customFormat="false" ht="15.75" hidden="false" customHeight="true" outlineLevel="0" collapsed="false"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6"/>
      <c r="P388" s="106"/>
    </row>
    <row r="389" customFormat="false" ht="15.75" hidden="false" customHeight="true" outlineLevel="0" collapsed="false"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6"/>
      <c r="P389" s="106"/>
    </row>
    <row r="390" customFormat="false" ht="15.75" hidden="false" customHeight="true" outlineLevel="0" collapsed="false"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6"/>
      <c r="P390" s="106"/>
    </row>
    <row r="391" customFormat="false" ht="15.75" hidden="false" customHeight="true" outlineLevel="0" collapsed="false"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6"/>
      <c r="P391" s="106"/>
    </row>
    <row r="392" customFormat="false" ht="15.75" hidden="false" customHeight="true" outlineLevel="0" collapsed="false"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6"/>
      <c r="P392" s="106"/>
    </row>
    <row r="393" customFormat="false" ht="15.75" hidden="false" customHeight="true" outlineLevel="0" collapsed="false"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6"/>
      <c r="P393" s="106"/>
    </row>
    <row r="394" customFormat="false" ht="15.75" hidden="false" customHeight="true" outlineLevel="0" collapsed="false"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6"/>
      <c r="P394" s="106"/>
    </row>
    <row r="395" customFormat="false" ht="15.75" hidden="false" customHeight="true" outlineLevel="0" collapsed="false"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6"/>
      <c r="P395" s="106"/>
    </row>
    <row r="396" customFormat="false" ht="15.75" hidden="false" customHeight="true" outlineLevel="0" collapsed="false"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6"/>
      <c r="P396" s="106"/>
    </row>
    <row r="397" customFormat="false" ht="15.75" hidden="false" customHeight="true" outlineLevel="0" collapsed="false"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6"/>
      <c r="P397" s="106"/>
    </row>
    <row r="398" customFormat="false" ht="15.75" hidden="false" customHeight="true" outlineLevel="0" collapsed="false"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6"/>
      <c r="P398" s="106"/>
    </row>
    <row r="399" customFormat="false" ht="15.75" hidden="false" customHeight="true" outlineLevel="0" collapsed="false"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6"/>
      <c r="P399" s="106"/>
    </row>
    <row r="400" customFormat="false" ht="15.75" hidden="false" customHeight="true" outlineLevel="0" collapsed="false"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6"/>
      <c r="P400" s="106"/>
    </row>
    <row r="401" customFormat="false" ht="15.75" hidden="false" customHeight="true" outlineLevel="0" collapsed="false"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6"/>
      <c r="P401" s="106"/>
    </row>
    <row r="402" customFormat="false" ht="15.75" hidden="false" customHeight="true" outlineLevel="0" collapsed="false"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6"/>
      <c r="P402" s="106"/>
    </row>
    <row r="403" customFormat="false" ht="15.75" hidden="false" customHeight="true" outlineLevel="0" collapsed="false"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6"/>
      <c r="P403" s="106"/>
    </row>
    <row r="404" customFormat="false" ht="15.75" hidden="false" customHeight="true" outlineLevel="0" collapsed="false"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6"/>
      <c r="P404" s="106"/>
    </row>
    <row r="405" customFormat="false" ht="15.75" hidden="false" customHeight="true" outlineLevel="0" collapsed="false"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6"/>
      <c r="P405" s="106"/>
    </row>
    <row r="406" customFormat="false" ht="15.75" hidden="false" customHeight="true" outlineLevel="0" collapsed="false"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6"/>
      <c r="P406" s="106"/>
    </row>
    <row r="407" customFormat="false" ht="15.75" hidden="false" customHeight="true" outlineLevel="0" collapsed="false"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6"/>
      <c r="P407" s="106"/>
    </row>
    <row r="408" customFormat="false" ht="15.75" hidden="false" customHeight="true" outlineLevel="0" collapsed="false"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6"/>
      <c r="P408" s="106"/>
    </row>
    <row r="409" customFormat="false" ht="15.75" hidden="false" customHeight="true" outlineLevel="0" collapsed="false"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6"/>
      <c r="P409" s="106"/>
    </row>
    <row r="410" customFormat="false" ht="15.75" hidden="false" customHeight="true" outlineLevel="0" collapsed="false"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6"/>
      <c r="P410" s="106"/>
    </row>
    <row r="411" customFormat="false" ht="15.75" hidden="false" customHeight="true" outlineLevel="0" collapsed="false"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6"/>
      <c r="P411" s="106"/>
    </row>
    <row r="412" customFormat="false" ht="15.75" hidden="false" customHeight="true" outlineLevel="0" collapsed="false"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6"/>
      <c r="P412" s="106"/>
    </row>
    <row r="413" customFormat="false" ht="15.75" hidden="false" customHeight="true" outlineLevel="0" collapsed="false"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6"/>
      <c r="P413" s="106"/>
    </row>
    <row r="414" customFormat="false" ht="15.75" hidden="false" customHeight="true" outlineLevel="0" collapsed="false"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6"/>
      <c r="P414" s="106"/>
    </row>
    <row r="415" customFormat="false" ht="15.75" hidden="false" customHeight="true" outlineLevel="0" collapsed="false"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6"/>
      <c r="P415" s="106"/>
    </row>
    <row r="416" customFormat="false" ht="15.75" hidden="false" customHeight="true" outlineLevel="0" collapsed="false"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6"/>
      <c r="P416" s="106"/>
    </row>
    <row r="417" customFormat="false" ht="15.75" hidden="false" customHeight="true" outlineLevel="0" collapsed="false"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6"/>
      <c r="P417" s="106"/>
    </row>
    <row r="418" customFormat="false" ht="15.75" hidden="false" customHeight="true" outlineLevel="0" collapsed="false"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6"/>
      <c r="P418" s="106"/>
    </row>
    <row r="419" customFormat="false" ht="15.75" hidden="false" customHeight="true" outlineLevel="0" collapsed="false"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6"/>
      <c r="P419" s="106"/>
    </row>
    <row r="420" customFormat="false" ht="15.75" hidden="false" customHeight="true" outlineLevel="0" collapsed="false"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6"/>
      <c r="P420" s="106"/>
    </row>
    <row r="421" customFormat="false" ht="15.75" hidden="false" customHeight="true" outlineLevel="0" collapsed="false"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6"/>
      <c r="P421" s="106"/>
    </row>
    <row r="422" customFormat="false" ht="15.75" hidden="false" customHeight="true" outlineLevel="0" collapsed="false"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6"/>
      <c r="P422" s="106"/>
    </row>
    <row r="423" customFormat="false" ht="15.75" hidden="false" customHeight="true" outlineLevel="0" collapsed="false"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6"/>
      <c r="P423" s="106"/>
    </row>
    <row r="424" customFormat="false" ht="15.75" hidden="false" customHeight="true" outlineLevel="0" collapsed="false"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6"/>
      <c r="P424" s="106"/>
    </row>
    <row r="425" customFormat="false" ht="15.75" hidden="false" customHeight="true" outlineLevel="0" collapsed="false"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6"/>
      <c r="P425" s="106"/>
    </row>
    <row r="426" customFormat="false" ht="15.75" hidden="false" customHeight="true" outlineLevel="0" collapsed="false"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6"/>
      <c r="P426" s="106"/>
    </row>
    <row r="427" customFormat="false" ht="15.75" hidden="false" customHeight="true" outlineLevel="0" collapsed="false"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6"/>
      <c r="P427" s="106"/>
    </row>
    <row r="428" customFormat="false" ht="15.75" hidden="false" customHeight="true" outlineLevel="0" collapsed="false"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6"/>
      <c r="P428" s="106"/>
    </row>
    <row r="429" customFormat="false" ht="15.75" hidden="false" customHeight="true" outlineLevel="0" collapsed="false"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6"/>
      <c r="P429" s="106"/>
    </row>
    <row r="430" customFormat="false" ht="15.75" hidden="false" customHeight="true" outlineLevel="0" collapsed="false"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6"/>
      <c r="P430" s="106"/>
    </row>
    <row r="431" customFormat="false" ht="15.75" hidden="false" customHeight="true" outlineLevel="0" collapsed="false"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6"/>
      <c r="P431" s="106"/>
    </row>
    <row r="432" customFormat="false" ht="15.75" hidden="false" customHeight="true" outlineLevel="0" collapsed="false"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6"/>
      <c r="P432" s="106"/>
    </row>
    <row r="433" customFormat="false" ht="15.75" hidden="false" customHeight="true" outlineLevel="0" collapsed="false"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6"/>
      <c r="P433" s="106"/>
    </row>
    <row r="434" customFormat="false" ht="15.75" hidden="false" customHeight="true" outlineLevel="0" collapsed="false"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6"/>
      <c r="P434" s="106"/>
    </row>
    <row r="435" customFormat="false" ht="15.75" hidden="false" customHeight="true" outlineLevel="0" collapsed="false"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6"/>
      <c r="P435" s="106"/>
    </row>
    <row r="436" customFormat="false" ht="15.75" hidden="false" customHeight="true" outlineLevel="0" collapsed="false"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6"/>
      <c r="P436" s="106"/>
    </row>
    <row r="437" customFormat="false" ht="15.75" hidden="false" customHeight="true" outlineLevel="0" collapsed="false"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6"/>
      <c r="P437" s="106"/>
    </row>
    <row r="438" customFormat="false" ht="15.75" hidden="false" customHeight="true" outlineLevel="0" collapsed="false"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6"/>
      <c r="P438" s="106"/>
    </row>
    <row r="439" customFormat="false" ht="15.75" hidden="false" customHeight="true" outlineLevel="0" collapsed="false"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6"/>
      <c r="P439" s="106"/>
    </row>
    <row r="440" customFormat="false" ht="15.75" hidden="false" customHeight="true" outlineLevel="0" collapsed="false"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6"/>
      <c r="P440" s="106"/>
    </row>
    <row r="441" customFormat="false" ht="15.75" hidden="false" customHeight="true" outlineLevel="0" collapsed="false"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6"/>
      <c r="P441" s="106"/>
    </row>
    <row r="442" customFormat="false" ht="15.75" hidden="false" customHeight="true" outlineLevel="0" collapsed="false"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6"/>
      <c r="P442" s="106"/>
    </row>
    <row r="443" customFormat="false" ht="15.75" hidden="false" customHeight="true" outlineLevel="0" collapsed="false"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6"/>
      <c r="P443" s="106"/>
    </row>
    <row r="444" customFormat="false" ht="15.75" hidden="false" customHeight="true" outlineLevel="0" collapsed="false"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6"/>
      <c r="P444" s="106"/>
    </row>
    <row r="445" customFormat="false" ht="15.75" hidden="false" customHeight="true" outlineLevel="0" collapsed="false"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6"/>
      <c r="P445" s="106"/>
    </row>
    <row r="446" customFormat="false" ht="15.75" hidden="false" customHeight="true" outlineLevel="0" collapsed="false"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6"/>
      <c r="P446" s="106"/>
    </row>
    <row r="447" customFormat="false" ht="15.75" hidden="false" customHeight="true" outlineLevel="0" collapsed="false"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6"/>
      <c r="P447" s="106"/>
    </row>
    <row r="448" customFormat="false" ht="15.75" hidden="false" customHeight="true" outlineLevel="0" collapsed="false"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6"/>
      <c r="P448" s="106"/>
    </row>
    <row r="449" customFormat="false" ht="15.75" hidden="false" customHeight="true" outlineLevel="0" collapsed="false"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6"/>
      <c r="P449" s="106"/>
    </row>
    <row r="450" customFormat="false" ht="15.75" hidden="false" customHeight="true" outlineLevel="0" collapsed="false"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6"/>
      <c r="P450" s="106"/>
    </row>
    <row r="451" customFormat="false" ht="15.75" hidden="false" customHeight="true" outlineLevel="0" collapsed="false"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6"/>
      <c r="P451" s="106"/>
    </row>
    <row r="452" customFormat="false" ht="15.75" hidden="false" customHeight="true" outlineLevel="0" collapsed="false"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6"/>
      <c r="P452" s="106"/>
    </row>
    <row r="453" customFormat="false" ht="15.75" hidden="false" customHeight="true" outlineLevel="0" collapsed="false"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6"/>
      <c r="P453" s="106"/>
    </row>
    <row r="454" customFormat="false" ht="15.75" hidden="false" customHeight="true" outlineLevel="0" collapsed="false"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6"/>
      <c r="P454" s="106"/>
    </row>
    <row r="455" customFormat="false" ht="15.75" hidden="false" customHeight="true" outlineLevel="0" collapsed="false"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6"/>
      <c r="P455" s="106"/>
    </row>
    <row r="456" customFormat="false" ht="15.75" hidden="false" customHeight="true" outlineLevel="0" collapsed="false"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6"/>
      <c r="P456" s="106"/>
    </row>
    <row r="457" customFormat="false" ht="15.75" hidden="false" customHeight="true" outlineLevel="0" collapsed="false"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6"/>
      <c r="P457" s="106"/>
    </row>
    <row r="458" customFormat="false" ht="15.75" hidden="false" customHeight="true" outlineLevel="0" collapsed="false"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6"/>
      <c r="P458" s="106"/>
    </row>
    <row r="459" customFormat="false" ht="15.75" hidden="false" customHeight="true" outlineLevel="0" collapsed="false"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6"/>
      <c r="P459" s="106"/>
    </row>
    <row r="460" customFormat="false" ht="15.75" hidden="false" customHeight="true" outlineLevel="0" collapsed="false"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6"/>
      <c r="P460" s="106"/>
    </row>
    <row r="461" customFormat="false" ht="15.75" hidden="false" customHeight="true" outlineLevel="0" collapsed="false"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6"/>
      <c r="P461" s="106"/>
    </row>
    <row r="462" customFormat="false" ht="15.75" hidden="false" customHeight="true" outlineLevel="0" collapsed="false"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6"/>
      <c r="P462" s="106"/>
    </row>
    <row r="463" customFormat="false" ht="15.75" hidden="false" customHeight="true" outlineLevel="0" collapsed="false"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6"/>
      <c r="P463" s="106"/>
    </row>
    <row r="464" customFormat="false" ht="15.75" hidden="false" customHeight="true" outlineLevel="0" collapsed="false"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6"/>
      <c r="P464" s="106"/>
    </row>
    <row r="465" customFormat="false" ht="15.75" hidden="false" customHeight="true" outlineLevel="0" collapsed="false"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6"/>
      <c r="P465" s="106"/>
    </row>
    <row r="466" customFormat="false" ht="15.75" hidden="false" customHeight="true" outlineLevel="0" collapsed="false"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6"/>
      <c r="P466" s="106"/>
    </row>
    <row r="467" customFormat="false" ht="15.75" hidden="false" customHeight="true" outlineLevel="0" collapsed="false"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6"/>
      <c r="P467" s="106"/>
    </row>
    <row r="468" customFormat="false" ht="15.75" hidden="false" customHeight="true" outlineLevel="0" collapsed="false"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6"/>
      <c r="P468" s="106"/>
    </row>
    <row r="469" customFormat="false" ht="15.75" hidden="false" customHeight="true" outlineLevel="0" collapsed="false"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6"/>
      <c r="P469" s="106"/>
    </row>
    <row r="470" customFormat="false" ht="15.75" hidden="false" customHeight="true" outlineLevel="0" collapsed="false"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6"/>
      <c r="P470" s="106"/>
    </row>
    <row r="471" customFormat="false" ht="15.75" hidden="false" customHeight="true" outlineLevel="0" collapsed="false"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6"/>
      <c r="P471" s="106"/>
    </row>
    <row r="472" customFormat="false" ht="15.75" hidden="false" customHeight="true" outlineLevel="0" collapsed="false"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6"/>
      <c r="P472" s="106"/>
    </row>
    <row r="473" customFormat="false" ht="15.75" hidden="false" customHeight="true" outlineLevel="0" collapsed="false"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6"/>
      <c r="P473" s="106"/>
    </row>
    <row r="474" customFormat="false" ht="15.75" hidden="false" customHeight="true" outlineLevel="0" collapsed="false"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6"/>
      <c r="P474" s="106"/>
    </row>
    <row r="475" customFormat="false" ht="15.75" hidden="false" customHeight="true" outlineLevel="0" collapsed="false"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6"/>
      <c r="P475" s="106"/>
    </row>
    <row r="476" customFormat="false" ht="15.75" hidden="false" customHeight="true" outlineLevel="0" collapsed="false"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6"/>
      <c r="P476" s="106"/>
    </row>
    <row r="477" customFormat="false" ht="15.75" hidden="false" customHeight="true" outlineLevel="0" collapsed="false"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6"/>
      <c r="P477" s="106"/>
    </row>
    <row r="478" customFormat="false" ht="15.75" hidden="false" customHeight="true" outlineLevel="0" collapsed="false"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6"/>
      <c r="P478" s="106"/>
    </row>
    <row r="479" customFormat="false" ht="15.75" hidden="false" customHeight="true" outlineLevel="0" collapsed="false"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6"/>
      <c r="P479" s="106"/>
    </row>
    <row r="480" customFormat="false" ht="15.75" hidden="false" customHeight="true" outlineLevel="0" collapsed="false"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6"/>
      <c r="P480" s="106"/>
    </row>
    <row r="481" customFormat="false" ht="15.75" hidden="false" customHeight="true" outlineLevel="0" collapsed="false"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6"/>
      <c r="P481" s="106"/>
    </row>
    <row r="482" customFormat="false" ht="15.75" hidden="false" customHeight="true" outlineLevel="0" collapsed="false"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6"/>
      <c r="P482" s="106"/>
    </row>
    <row r="483" customFormat="false" ht="15.75" hidden="false" customHeight="true" outlineLevel="0" collapsed="false"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6"/>
      <c r="P483" s="106"/>
    </row>
    <row r="484" customFormat="false" ht="15.75" hidden="false" customHeight="true" outlineLevel="0" collapsed="false"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6"/>
      <c r="P484" s="106"/>
    </row>
    <row r="485" customFormat="false" ht="15.75" hidden="false" customHeight="true" outlineLevel="0" collapsed="false"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6"/>
      <c r="P485" s="106"/>
    </row>
    <row r="486" customFormat="false" ht="15.75" hidden="false" customHeight="true" outlineLevel="0" collapsed="false"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6"/>
      <c r="P486" s="106"/>
    </row>
    <row r="487" customFormat="false" ht="15.75" hidden="false" customHeight="true" outlineLevel="0" collapsed="false"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6"/>
      <c r="P487" s="106"/>
    </row>
    <row r="488" customFormat="false" ht="15.75" hidden="false" customHeight="true" outlineLevel="0" collapsed="false"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6"/>
      <c r="P488" s="106"/>
    </row>
    <row r="489" customFormat="false" ht="15.75" hidden="false" customHeight="true" outlineLevel="0" collapsed="false"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6"/>
      <c r="P489" s="106"/>
    </row>
    <row r="490" customFormat="false" ht="15.75" hidden="false" customHeight="true" outlineLevel="0" collapsed="false"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6"/>
      <c r="P490" s="106"/>
    </row>
    <row r="491" customFormat="false" ht="15.75" hidden="false" customHeight="true" outlineLevel="0" collapsed="false"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6"/>
      <c r="P491" s="106"/>
    </row>
    <row r="492" customFormat="false" ht="15.75" hidden="false" customHeight="true" outlineLevel="0" collapsed="false"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6"/>
      <c r="P492" s="106"/>
    </row>
    <row r="493" customFormat="false" ht="15.75" hidden="false" customHeight="true" outlineLevel="0" collapsed="false"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6"/>
      <c r="P493" s="106"/>
    </row>
    <row r="494" customFormat="false" ht="15.75" hidden="false" customHeight="true" outlineLevel="0" collapsed="false"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6"/>
      <c r="P494" s="106"/>
    </row>
    <row r="495" customFormat="false" ht="15.75" hidden="false" customHeight="true" outlineLevel="0" collapsed="false"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6"/>
      <c r="P495" s="106"/>
    </row>
    <row r="496" customFormat="false" ht="15.75" hidden="false" customHeight="true" outlineLevel="0" collapsed="false"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6"/>
      <c r="P496" s="106"/>
    </row>
    <row r="497" customFormat="false" ht="15.75" hidden="false" customHeight="true" outlineLevel="0" collapsed="false"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6"/>
      <c r="P497" s="106"/>
    </row>
    <row r="498" customFormat="false" ht="15.75" hidden="false" customHeight="true" outlineLevel="0" collapsed="false"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6"/>
      <c r="P498" s="106"/>
    </row>
    <row r="499" customFormat="false" ht="15.75" hidden="false" customHeight="true" outlineLevel="0" collapsed="false"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6"/>
      <c r="P499" s="106"/>
    </row>
    <row r="500" customFormat="false" ht="15.75" hidden="false" customHeight="true" outlineLevel="0" collapsed="false"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6"/>
      <c r="P500" s="106"/>
    </row>
    <row r="501" customFormat="false" ht="15.75" hidden="false" customHeight="true" outlineLevel="0" collapsed="false"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6"/>
      <c r="P501" s="106"/>
    </row>
    <row r="502" customFormat="false" ht="15.75" hidden="false" customHeight="true" outlineLevel="0" collapsed="false"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6"/>
      <c r="P502" s="106"/>
    </row>
    <row r="503" customFormat="false" ht="15.75" hidden="false" customHeight="true" outlineLevel="0" collapsed="false"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6"/>
      <c r="P503" s="106"/>
    </row>
    <row r="504" customFormat="false" ht="15.75" hidden="false" customHeight="true" outlineLevel="0" collapsed="false"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6"/>
      <c r="P504" s="106"/>
    </row>
    <row r="505" customFormat="false" ht="15.75" hidden="false" customHeight="true" outlineLevel="0" collapsed="false"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6"/>
      <c r="P505" s="106"/>
    </row>
    <row r="506" customFormat="false" ht="15.75" hidden="false" customHeight="true" outlineLevel="0" collapsed="false"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6"/>
      <c r="P506" s="106"/>
    </row>
    <row r="507" customFormat="false" ht="15.75" hidden="false" customHeight="true" outlineLevel="0" collapsed="false"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6"/>
      <c r="P507" s="106"/>
    </row>
    <row r="508" customFormat="false" ht="15.75" hidden="false" customHeight="true" outlineLevel="0" collapsed="false"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6"/>
      <c r="P508" s="106"/>
    </row>
    <row r="509" customFormat="false" ht="15.75" hidden="false" customHeight="true" outlineLevel="0" collapsed="false"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6"/>
      <c r="P509" s="106"/>
    </row>
    <row r="510" customFormat="false" ht="15.75" hidden="false" customHeight="true" outlineLevel="0" collapsed="false"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6"/>
      <c r="P510" s="106"/>
    </row>
    <row r="511" customFormat="false" ht="15.75" hidden="false" customHeight="true" outlineLevel="0" collapsed="false"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6"/>
      <c r="P511" s="106"/>
    </row>
    <row r="512" customFormat="false" ht="15.75" hidden="false" customHeight="true" outlineLevel="0" collapsed="false"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6"/>
      <c r="P512" s="106"/>
    </row>
    <row r="513" customFormat="false" ht="15.75" hidden="false" customHeight="true" outlineLevel="0" collapsed="false"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6"/>
      <c r="P513" s="106"/>
    </row>
    <row r="514" customFormat="false" ht="15.75" hidden="false" customHeight="true" outlineLevel="0" collapsed="false"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6"/>
      <c r="P514" s="106"/>
    </row>
    <row r="515" customFormat="false" ht="15.75" hidden="false" customHeight="true" outlineLevel="0" collapsed="false"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6"/>
      <c r="P515" s="106"/>
    </row>
    <row r="516" customFormat="false" ht="15.75" hidden="false" customHeight="true" outlineLevel="0" collapsed="false"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6"/>
      <c r="P516" s="106"/>
    </row>
    <row r="517" customFormat="false" ht="15.75" hidden="false" customHeight="true" outlineLevel="0" collapsed="false"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6"/>
      <c r="P517" s="106"/>
    </row>
    <row r="518" customFormat="false" ht="15.75" hidden="false" customHeight="true" outlineLevel="0" collapsed="false"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6"/>
      <c r="P518" s="106"/>
    </row>
    <row r="519" customFormat="false" ht="15.75" hidden="false" customHeight="true" outlineLevel="0" collapsed="false"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6"/>
      <c r="P519" s="106"/>
    </row>
    <row r="520" customFormat="false" ht="15.75" hidden="false" customHeight="true" outlineLevel="0" collapsed="false"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6"/>
      <c r="P520" s="106"/>
    </row>
    <row r="521" customFormat="false" ht="15.75" hidden="false" customHeight="true" outlineLevel="0" collapsed="false"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6"/>
      <c r="P521" s="106"/>
    </row>
    <row r="522" customFormat="false" ht="15.75" hidden="false" customHeight="true" outlineLevel="0" collapsed="false"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6"/>
      <c r="P522" s="106"/>
    </row>
    <row r="523" customFormat="false" ht="15.75" hidden="false" customHeight="true" outlineLevel="0" collapsed="false"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6"/>
      <c r="P523" s="106"/>
    </row>
    <row r="524" customFormat="false" ht="15.75" hidden="false" customHeight="true" outlineLevel="0" collapsed="false"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6"/>
      <c r="P524" s="106"/>
    </row>
    <row r="525" customFormat="false" ht="15.75" hidden="false" customHeight="true" outlineLevel="0" collapsed="false"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6"/>
      <c r="P525" s="106"/>
    </row>
    <row r="526" customFormat="false" ht="15.75" hidden="false" customHeight="true" outlineLevel="0" collapsed="false"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6"/>
      <c r="P526" s="106"/>
    </row>
    <row r="527" customFormat="false" ht="15.75" hidden="false" customHeight="true" outlineLevel="0" collapsed="false"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6"/>
      <c r="P527" s="106"/>
    </row>
    <row r="528" customFormat="false" ht="15.75" hidden="false" customHeight="true" outlineLevel="0" collapsed="false"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6"/>
      <c r="P528" s="106"/>
    </row>
    <row r="529" customFormat="false" ht="15.75" hidden="false" customHeight="true" outlineLevel="0" collapsed="false"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6"/>
      <c r="P529" s="106"/>
    </row>
    <row r="530" customFormat="false" ht="15.75" hidden="false" customHeight="true" outlineLevel="0" collapsed="false"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6"/>
      <c r="P530" s="106"/>
    </row>
    <row r="531" customFormat="false" ht="15.75" hidden="false" customHeight="true" outlineLevel="0" collapsed="false"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6"/>
      <c r="P531" s="106"/>
    </row>
    <row r="532" customFormat="false" ht="15.75" hidden="false" customHeight="true" outlineLevel="0" collapsed="false"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6"/>
      <c r="P532" s="106"/>
    </row>
    <row r="533" customFormat="false" ht="15.75" hidden="false" customHeight="true" outlineLevel="0" collapsed="false"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6"/>
      <c r="P533" s="106"/>
    </row>
    <row r="534" customFormat="false" ht="15.75" hidden="false" customHeight="true" outlineLevel="0" collapsed="false"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6"/>
      <c r="P534" s="106"/>
    </row>
    <row r="535" customFormat="false" ht="15.75" hidden="false" customHeight="true" outlineLevel="0" collapsed="false"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6"/>
      <c r="P535" s="106"/>
    </row>
    <row r="536" customFormat="false" ht="15.75" hidden="false" customHeight="true" outlineLevel="0" collapsed="false"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6"/>
      <c r="P536" s="106"/>
    </row>
    <row r="537" customFormat="false" ht="15.75" hidden="false" customHeight="true" outlineLevel="0" collapsed="false"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6"/>
      <c r="P537" s="106"/>
    </row>
    <row r="538" customFormat="false" ht="15.75" hidden="false" customHeight="true" outlineLevel="0" collapsed="false"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6"/>
      <c r="P538" s="106"/>
    </row>
    <row r="539" customFormat="false" ht="15.75" hidden="false" customHeight="true" outlineLevel="0" collapsed="false"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6"/>
      <c r="P539" s="106"/>
    </row>
    <row r="540" customFormat="false" ht="15.75" hidden="false" customHeight="true" outlineLevel="0" collapsed="false"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6"/>
      <c r="P540" s="106"/>
    </row>
    <row r="541" customFormat="false" ht="15.75" hidden="false" customHeight="true" outlineLevel="0" collapsed="false"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6"/>
      <c r="P541" s="106"/>
    </row>
    <row r="542" customFormat="false" ht="15.75" hidden="false" customHeight="true" outlineLevel="0" collapsed="false"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6"/>
      <c r="P542" s="106"/>
    </row>
    <row r="543" customFormat="false" ht="15.75" hidden="false" customHeight="true" outlineLevel="0" collapsed="false"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6"/>
      <c r="P543" s="106"/>
    </row>
    <row r="544" customFormat="false" ht="15.75" hidden="false" customHeight="true" outlineLevel="0" collapsed="false"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6"/>
      <c r="P544" s="106"/>
    </row>
    <row r="545" customFormat="false" ht="15.75" hidden="false" customHeight="true" outlineLevel="0" collapsed="false"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6"/>
      <c r="P545" s="106"/>
    </row>
    <row r="546" customFormat="false" ht="15.75" hidden="false" customHeight="true" outlineLevel="0" collapsed="false"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6"/>
      <c r="P546" s="106"/>
    </row>
    <row r="547" customFormat="false" ht="15.75" hidden="false" customHeight="true" outlineLevel="0" collapsed="false"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6"/>
      <c r="P547" s="106"/>
    </row>
    <row r="548" customFormat="false" ht="15.75" hidden="false" customHeight="true" outlineLevel="0" collapsed="false"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6"/>
      <c r="P548" s="106"/>
    </row>
    <row r="549" customFormat="false" ht="15.75" hidden="false" customHeight="true" outlineLevel="0" collapsed="false"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6"/>
      <c r="P549" s="106"/>
    </row>
    <row r="550" customFormat="false" ht="15.75" hidden="false" customHeight="true" outlineLevel="0" collapsed="false"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6"/>
      <c r="P550" s="106"/>
    </row>
    <row r="551" customFormat="false" ht="15.75" hidden="false" customHeight="true" outlineLevel="0" collapsed="false"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6"/>
      <c r="P551" s="106"/>
    </row>
    <row r="552" customFormat="false" ht="15.75" hidden="false" customHeight="true" outlineLevel="0" collapsed="false"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6"/>
      <c r="P552" s="106"/>
    </row>
    <row r="553" customFormat="false" ht="15.75" hidden="false" customHeight="true" outlineLevel="0" collapsed="false"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6"/>
      <c r="P553" s="106"/>
    </row>
    <row r="554" customFormat="false" ht="15.75" hidden="false" customHeight="true" outlineLevel="0" collapsed="false"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6"/>
      <c r="P554" s="106"/>
    </row>
    <row r="555" customFormat="false" ht="15.75" hidden="false" customHeight="true" outlineLevel="0" collapsed="false"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6"/>
      <c r="P555" s="106"/>
    </row>
    <row r="556" customFormat="false" ht="15.75" hidden="false" customHeight="true" outlineLevel="0" collapsed="false"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6"/>
      <c r="P556" s="106"/>
    </row>
    <row r="557" customFormat="false" ht="15.75" hidden="false" customHeight="true" outlineLevel="0" collapsed="false"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6"/>
      <c r="P557" s="106"/>
    </row>
    <row r="558" customFormat="false" ht="15.75" hidden="false" customHeight="true" outlineLevel="0" collapsed="false"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6"/>
      <c r="P558" s="106"/>
    </row>
    <row r="559" customFormat="false" ht="15.75" hidden="false" customHeight="true" outlineLevel="0" collapsed="false"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6"/>
      <c r="P559" s="106"/>
    </row>
    <row r="560" customFormat="false" ht="15.75" hidden="false" customHeight="true" outlineLevel="0" collapsed="false"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6"/>
      <c r="P560" s="106"/>
    </row>
    <row r="561" customFormat="false" ht="15.75" hidden="false" customHeight="true" outlineLevel="0" collapsed="false"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6"/>
      <c r="P561" s="106"/>
    </row>
    <row r="562" customFormat="false" ht="15.75" hidden="false" customHeight="true" outlineLevel="0" collapsed="false"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6"/>
      <c r="P562" s="106"/>
    </row>
    <row r="563" customFormat="false" ht="15.75" hidden="false" customHeight="true" outlineLevel="0" collapsed="false"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6"/>
      <c r="P563" s="106"/>
    </row>
    <row r="564" customFormat="false" ht="15.75" hidden="false" customHeight="true" outlineLevel="0" collapsed="false"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6"/>
      <c r="P564" s="106"/>
    </row>
    <row r="565" customFormat="false" ht="15.75" hidden="false" customHeight="true" outlineLevel="0" collapsed="false"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6"/>
      <c r="P565" s="106"/>
    </row>
    <row r="566" customFormat="false" ht="15.75" hidden="false" customHeight="true" outlineLevel="0" collapsed="false"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6"/>
      <c r="P566" s="106"/>
    </row>
    <row r="567" customFormat="false" ht="15.75" hidden="false" customHeight="true" outlineLevel="0" collapsed="false"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6"/>
      <c r="P567" s="106"/>
    </row>
    <row r="568" customFormat="false" ht="15.75" hidden="false" customHeight="true" outlineLevel="0" collapsed="false"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6"/>
      <c r="P568" s="106"/>
    </row>
    <row r="569" customFormat="false" ht="15.75" hidden="false" customHeight="true" outlineLevel="0" collapsed="false"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6"/>
      <c r="P569" s="106"/>
    </row>
    <row r="570" customFormat="false" ht="15.75" hidden="false" customHeight="true" outlineLevel="0" collapsed="false"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6"/>
      <c r="P570" s="106"/>
    </row>
    <row r="571" customFormat="false" ht="15.75" hidden="false" customHeight="true" outlineLevel="0" collapsed="false"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6"/>
      <c r="P571" s="106"/>
    </row>
    <row r="572" customFormat="false" ht="15.75" hidden="false" customHeight="true" outlineLevel="0" collapsed="false"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6"/>
      <c r="P572" s="106"/>
    </row>
    <row r="573" customFormat="false" ht="15.75" hidden="false" customHeight="true" outlineLevel="0" collapsed="false"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6"/>
      <c r="P573" s="106"/>
    </row>
    <row r="574" customFormat="false" ht="15.75" hidden="false" customHeight="true" outlineLevel="0" collapsed="false"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6"/>
      <c r="P574" s="106"/>
    </row>
    <row r="575" customFormat="false" ht="15.75" hidden="false" customHeight="true" outlineLevel="0" collapsed="false"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6"/>
      <c r="P575" s="106"/>
    </row>
    <row r="576" customFormat="false" ht="15.75" hidden="false" customHeight="true" outlineLevel="0" collapsed="false"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6"/>
      <c r="P576" s="106"/>
    </row>
    <row r="577" customFormat="false" ht="15.75" hidden="false" customHeight="true" outlineLevel="0" collapsed="false"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6"/>
      <c r="P577" s="106"/>
    </row>
    <row r="578" customFormat="false" ht="15.75" hidden="false" customHeight="true" outlineLevel="0" collapsed="false"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6"/>
      <c r="P578" s="106"/>
    </row>
    <row r="579" customFormat="false" ht="15.75" hidden="false" customHeight="true" outlineLevel="0" collapsed="false"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6"/>
      <c r="P579" s="106"/>
    </row>
    <row r="580" customFormat="false" ht="15.75" hidden="false" customHeight="true" outlineLevel="0" collapsed="false"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6"/>
      <c r="P580" s="106"/>
    </row>
    <row r="581" customFormat="false" ht="15.75" hidden="false" customHeight="true" outlineLevel="0" collapsed="false"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6"/>
      <c r="P581" s="106"/>
    </row>
    <row r="582" customFormat="false" ht="15.75" hidden="false" customHeight="true" outlineLevel="0" collapsed="false"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6"/>
      <c r="P582" s="106"/>
    </row>
    <row r="583" customFormat="false" ht="15.75" hidden="false" customHeight="true" outlineLevel="0" collapsed="false"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6"/>
      <c r="P583" s="106"/>
    </row>
    <row r="584" customFormat="false" ht="15.75" hidden="false" customHeight="true" outlineLevel="0" collapsed="false"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6"/>
      <c r="P584" s="106"/>
    </row>
    <row r="585" customFormat="false" ht="15.75" hidden="false" customHeight="true" outlineLevel="0" collapsed="false"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6"/>
      <c r="P585" s="106"/>
    </row>
    <row r="586" customFormat="false" ht="15.75" hidden="false" customHeight="true" outlineLevel="0" collapsed="false"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6"/>
      <c r="P586" s="106"/>
    </row>
    <row r="587" customFormat="false" ht="15.75" hidden="false" customHeight="true" outlineLevel="0" collapsed="false"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6"/>
      <c r="P587" s="106"/>
    </row>
    <row r="588" customFormat="false" ht="15.75" hidden="false" customHeight="true" outlineLevel="0" collapsed="false"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6"/>
      <c r="P588" s="106"/>
    </row>
    <row r="589" customFormat="false" ht="15.75" hidden="false" customHeight="true" outlineLevel="0" collapsed="false"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6"/>
      <c r="P589" s="106"/>
    </row>
    <row r="590" customFormat="false" ht="15.75" hidden="false" customHeight="true" outlineLevel="0" collapsed="false"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6"/>
      <c r="P590" s="106"/>
    </row>
    <row r="591" customFormat="false" ht="15.75" hidden="false" customHeight="true" outlineLevel="0" collapsed="false"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6"/>
      <c r="P591" s="106"/>
    </row>
    <row r="592" customFormat="false" ht="15.75" hidden="false" customHeight="true" outlineLevel="0" collapsed="false"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6"/>
      <c r="P592" s="106"/>
    </row>
    <row r="593" customFormat="false" ht="15.75" hidden="false" customHeight="true" outlineLevel="0" collapsed="false"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6"/>
      <c r="P593" s="106"/>
    </row>
    <row r="594" customFormat="false" ht="15.75" hidden="false" customHeight="true" outlineLevel="0" collapsed="false"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6"/>
      <c r="P594" s="106"/>
    </row>
    <row r="595" customFormat="false" ht="15.75" hidden="false" customHeight="true" outlineLevel="0" collapsed="false"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6"/>
      <c r="P595" s="106"/>
    </row>
    <row r="596" customFormat="false" ht="15.75" hidden="false" customHeight="true" outlineLevel="0" collapsed="false"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6"/>
      <c r="P596" s="106"/>
    </row>
    <row r="597" customFormat="false" ht="15.75" hidden="false" customHeight="true" outlineLevel="0" collapsed="false"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6"/>
      <c r="P597" s="106"/>
    </row>
    <row r="598" customFormat="false" ht="15.75" hidden="false" customHeight="true" outlineLevel="0" collapsed="false"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6"/>
      <c r="P598" s="106"/>
    </row>
    <row r="599" customFormat="false" ht="15.75" hidden="false" customHeight="true" outlineLevel="0" collapsed="false"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6"/>
      <c r="P599" s="106"/>
    </row>
    <row r="600" customFormat="false" ht="15.75" hidden="false" customHeight="true" outlineLevel="0" collapsed="false"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6"/>
      <c r="P600" s="106"/>
    </row>
    <row r="601" customFormat="false" ht="15.75" hidden="false" customHeight="true" outlineLevel="0" collapsed="false"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6"/>
      <c r="P601" s="106"/>
    </row>
    <row r="602" customFormat="false" ht="15.75" hidden="false" customHeight="true" outlineLevel="0" collapsed="false"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6"/>
      <c r="P602" s="106"/>
    </row>
    <row r="603" customFormat="false" ht="15.75" hidden="false" customHeight="true" outlineLevel="0" collapsed="false"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6"/>
      <c r="P603" s="106"/>
    </row>
    <row r="604" customFormat="false" ht="15.75" hidden="false" customHeight="true" outlineLevel="0" collapsed="false"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6"/>
      <c r="P604" s="106"/>
    </row>
    <row r="605" customFormat="false" ht="15.75" hidden="false" customHeight="true" outlineLevel="0" collapsed="false"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6"/>
      <c r="P605" s="106"/>
    </row>
    <row r="606" customFormat="false" ht="15.75" hidden="false" customHeight="true" outlineLevel="0" collapsed="false"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6"/>
      <c r="P606" s="106"/>
    </row>
    <row r="607" customFormat="false" ht="15.75" hidden="false" customHeight="true" outlineLevel="0" collapsed="false"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6"/>
      <c r="P607" s="106"/>
    </row>
    <row r="608" customFormat="false" ht="15.75" hidden="false" customHeight="true" outlineLevel="0" collapsed="false"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6"/>
      <c r="P608" s="106"/>
    </row>
    <row r="609" customFormat="false" ht="15.75" hidden="false" customHeight="true" outlineLevel="0" collapsed="false"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6"/>
      <c r="P609" s="106"/>
    </row>
    <row r="610" customFormat="false" ht="15.75" hidden="false" customHeight="true" outlineLevel="0" collapsed="false"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6"/>
      <c r="P610" s="106"/>
    </row>
    <row r="611" customFormat="false" ht="15.75" hidden="false" customHeight="true" outlineLevel="0" collapsed="false"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6"/>
      <c r="P611" s="106"/>
    </row>
    <row r="612" customFormat="false" ht="15.75" hidden="false" customHeight="true" outlineLevel="0" collapsed="false"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6"/>
      <c r="P612" s="106"/>
    </row>
    <row r="613" customFormat="false" ht="15.75" hidden="false" customHeight="true" outlineLevel="0" collapsed="false"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6"/>
      <c r="P613" s="106"/>
    </row>
    <row r="614" customFormat="false" ht="15.75" hidden="false" customHeight="true" outlineLevel="0" collapsed="false"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6"/>
      <c r="P614" s="106"/>
    </row>
    <row r="615" customFormat="false" ht="15.75" hidden="false" customHeight="true" outlineLevel="0" collapsed="false"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6"/>
      <c r="P615" s="106"/>
    </row>
    <row r="616" customFormat="false" ht="15.75" hidden="false" customHeight="true" outlineLevel="0" collapsed="false"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6"/>
      <c r="P616" s="106"/>
    </row>
    <row r="617" customFormat="false" ht="15.75" hidden="false" customHeight="true" outlineLevel="0" collapsed="false"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6"/>
      <c r="P617" s="106"/>
    </row>
    <row r="618" customFormat="false" ht="15.75" hidden="false" customHeight="true" outlineLevel="0" collapsed="false"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6"/>
      <c r="P618" s="106"/>
    </row>
    <row r="619" customFormat="false" ht="15.75" hidden="false" customHeight="true" outlineLevel="0" collapsed="false"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6"/>
      <c r="P619" s="106"/>
    </row>
    <row r="620" customFormat="false" ht="15.75" hidden="false" customHeight="true" outlineLevel="0" collapsed="false"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6"/>
      <c r="P620" s="106"/>
    </row>
    <row r="621" customFormat="false" ht="15.75" hidden="false" customHeight="true" outlineLevel="0" collapsed="false"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6"/>
      <c r="P621" s="106"/>
    </row>
    <row r="622" customFormat="false" ht="15.75" hidden="false" customHeight="true" outlineLevel="0" collapsed="false"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6"/>
      <c r="P622" s="106"/>
    </row>
    <row r="623" customFormat="false" ht="15.75" hidden="false" customHeight="true" outlineLevel="0" collapsed="false"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6"/>
      <c r="P623" s="106"/>
    </row>
    <row r="624" customFormat="false" ht="15.75" hidden="false" customHeight="true" outlineLevel="0" collapsed="false"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6"/>
      <c r="P624" s="106"/>
    </row>
    <row r="625" customFormat="false" ht="15.75" hidden="false" customHeight="true" outlineLevel="0" collapsed="false"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6"/>
      <c r="P625" s="106"/>
    </row>
    <row r="626" customFormat="false" ht="15.75" hidden="false" customHeight="true" outlineLevel="0" collapsed="false"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6"/>
      <c r="P626" s="106"/>
    </row>
    <row r="627" customFormat="false" ht="15.75" hidden="false" customHeight="true" outlineLevel="0" collapsed="false"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6"/>
      <c r="P627" s="106"/>
    </row>
    <row r="628" customFormat="false" ht="15.75" hidden="false" customHeight="true" outlineLevel="0" collapsed="false"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6"/>
      <c r="P628" s="106"/>
    </row>
    <row r="629" customFormat="false" ht="15.75" hidden="false" customHeight="true" outlineLevel="0" collapsed="false"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6"/>
      <c r="P629" s="106"/>
    </row>
    <row r="630" customFormat="false" ht="15.75" hidden="false" customHeight="true" outlineLevel="0" collapsed="false"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6"/>
      <c r="P630" s="106"/>
    </row>
    <row r="631" customFormat="false" ht="15.75" hidden="false" customHeight="true" outlineLevel="0" collapsed="false"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6"/>
      <c r="P631" s="106"/>
    </row>
    <row r="632" customFormat="false" ht="15.75" hidden="false" customHeight="true" outlineLevel="0" collapsed="false"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6"/>
      <c r="P632" s="106"/>
    </row>
    <row r="633" customFormat="false" ht="15.75" hidden="false" customHeight="true" outlineLevel="0" collapsed="false"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6"/>
      <c r="P633" s="106"/>
    </row>
    <row r="634" customFormat="false" ht="15.75" hidden="false" customHeight="true" outlineLevel="0" collapsed="false"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6"/>
      <c r="P634" s="106"/>
    </row>
    <row r="635" customFormat="false" ht="15.75" hidden="false" customHeight="true" outlineLevel="0" collapsed="false"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6"/>
      <c r="P635" s="106"/>
    </row>
    <row r="636" customFormat="false" ht="15.75" hidden="false" customHeight="true" outlineLevel="0" collapsed="false"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6"/>
      <c r="P636" s="106"/>
    </row>
    <row r="637" customFormat="false" ht="15.75" hidden="false" customHeight="true" outlineLevel="0" collapsed="false"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6"/>
      <c r="P637" s="106"/>
    </row>
    <row r="638" customFormat="false" ht="15.75" hidden="false" customHeight="true" outlineLevel="0" collapsed="false"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6"/>
      <c r="P638" s="106"/>
    </row>
    <row r="639" customFormat="false" ht="15.75" hidden="false" customHeight="true" outlineLevel="0" collapsed="false"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6"/>
      <c r="P639" s="106"/>
    </row>
    <row r="640" customFormat="false" ht="15.75" hidden="false" customHeight="true" outlineLevel="0" collapsed="false"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6"/>
      <c r="P640" s="106"/>
    </row>
    <row r="641" customFormat="false" ht="15.75" hidden="false" customHeight="true" outlineLevel="0" collapsed="false"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6"/>
      <c r="P641" s="106"/>
    </row>
    <row r="642" customFormat="false" ht="15.75" hidden="false" customHeight="true" outlineLevel="0" collapsed="false"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6"/>
      <c r="P642" s="106"/>
    </row>
    <row r="643" customFormat="false" ht="15.75" hidden="false" customHeight="true" outlineLevel="0" collapsed="false"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6"/>
      <c r="P643" s="106"/>
    </row>
    <row r="644" customFormat="false" ht="15.75" hidden="false" customHeight="true" outlineLevel="0" collapsed="false"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6"/>
      <c r="P644" s="106"/>
    </row>
    <row r="645" customFormat="false" ht="15.75" hidden="false" customHeight="true" outlineLevel="0" collapsed="false"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6"/>
      <c r="P645" s="106"/>
    </row>
    <row r="646" customFormat="false" ht="15.75" hidden="false" customHeight="true" outlineLevel="0" collapsed="false"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6"/>
      <c r="P646" s="106"/>
    </row>
    <row r="647" customFormat="false" ht="15.75" hidden="false" customHeight="true" outlineLevel="0" collapsed="false"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6"/>
      <c r="P647" s="106"/>
    </row>
    <row r="648" customFormat="false" ht="15.75" hidden="false" customHeight="true" outlineLevel="0" collapsed="false"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6"/>
      <c r="P648" s="106"/>
    </row>
    <row r="649" customFormat="false" ht="15.75" hidden="false" customHeight="true" outlineLevel="0" collapsed="false"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6"/>
      <c r="P649" s="106"/>
    </row>
    <row r="650" customFormat="false" ht="15.75" hidden="false" customHeight="true" outlineLevel="0" collapsed="false"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6"/>
      <c r="P650" s="106"/>
    </row>
    <row r="651" customFormat="false" ht="15.75" hidden="false" customHeight="true" outlineLevel="0" collapsed="false"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6"/>
      <c r="P651" s="106"/>
    </row>
    <row r="652" customFormat="false" ht="15.75" hidden="false" customHeight="true" outlineLevel="0" collapsed="false"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6"/>
      <c r="P652" s="106"/>
    </row>
    <row r="653" customFormat="false" ht="15.75" hidden="false" customHeight="true" outlineLevel="0" collapsed="false"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6"/>
      <c r="P653" s="106"/>
    </row>
    <row r="654" customFormat="false" ht="15.75" hidden="false" customHeight="true" outlineLevel="0" collapsed="false"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6"/>
      <c r="P654" s="106"/>
    </row>
    <row r="655" customFormat="false" ht="15.75" hidden="false" customHeight="true" outlineLevel="0" collapsed="false"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6"/>
      <c r="P655" s="106"/>
    </row>
    <row r="656" customFormat="false" ht="15.75" hidden="false" customHeight="true" outlineLevel="0" collapsed="false"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6"/>
      <c r="P656" s="106"/>
    </row>
    <row r="657" customFormat="false" ht="15.75" hidden="false" customHeight="true" outlineLevel="0" collapsed="false"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6"/>
      <c r="P657" s="106"/>
    </row>
    <row r="658" customFormat="false" ht="15.75" hidden="false" customHeight="true" outlineLevel="0" collapsed="false"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6"/>
      <c r="P658" s="106"/>
    </row>
    <row r="659" customFormat="false" ht="15.75" hidden="false" customHeight="true" outlineLevel="0" collapsed="false"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6"/>
      <c r="P659" s="106"/>
    </row>
    <row r="660" customFormat="false" ht="15.75" hidden="false" customHeight="true" outlineLevel="0" collapsed="false"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6"/>
      <c r="P660" s="106"/>
    </row>
    <row r="661" customFormat="false" ht="15.75" hidden="false" customHeight="true" outlineLevel="0" collapsed="false"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6"/>
      <c r="P661" s="106"/>
    </row>
    <row r="662" customFormat="false" ht="15.75" hidden="false" customHeight="true" outlineLevel="0" collapsed="false"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6"/>
      <c r="P662" s="106"/>
    </row>
    <row r="663" customFormat="false" ht="15.75" hidden="false" customHeight="true" outlineLevel="0" collapsed="false"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6"/>
      <c r="P663" s="106"/>
    </row>
    <row r="664" customFormat="false" ht="15.75" hidden="false" customHeight="true" outlineLevel="0" collapsed="false"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6"/>
      <c r="P664" s="106"/>
    </row>
    <row r="665" customFormat="false" ht="15.75" hidden="false" customHeight="true" outlineLevel="0" collapsed="false"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6"/>
      <c r="P665" s="106"/>
    </row>
    <row r="666" customFormat="false" ht="15.75" hidden="false" customHeight="true" outlineLevel="0" collapsed="false"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6"/>
      <c r="P666" s="106"/>
    </row>
    <row r="667" customFormat="false" ht="15.75" hidden="false" customHeight="true" outlineLevel="0" collapsed="false"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6"/>
      <c r="P667" s="106"/>
    </row>
    <row r="668" customFormat="false" ht="15.75" hidden="false" customHeight="true" outlineLevel="0" collapsed="false"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6"/>
      <c r="P668" s="106"/>
    </row>
    <row r="669" customFormat="false" ht="15.75" hidden="false" customHeight="true" outlineLevel="0" collapsed="false"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6"/>
      <c r="P669" s="106"/>
    </row>
    <row r="670" customFormat="false" ht="15.75" hidden="false" customHeight="true" outlineLevel="0" collapsed="false"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6"/>
      <c r="P670" s="106"/>
    </row>
    <row r="671" customFormat="false" ht="15.75" hidden="false" customHeight="true" outlineLevel="0" collapsed="false"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6"/>
      <c r="P671" s="106"/>
    </row>
    <row r="672" customFormat="false" ht="15.75" hidden="false" customHeight="true" outlineLevel="0" collapsed="false"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6"/>
      <c r="P672" s="106"/>
    </row>
    <row r="673" customFormat="false" ht="15.75" hidden="false" customHeight="true" outlineLevel="0" collapsed="false"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6"/>
      <c r="P673" s="106"/>
    </row>
    <row r="674" customFormat="false" ht="15.75" hidden="false" customHeight="true" outlineLevel="0" collapsed="false"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6"/>
      <c r="P674" s="106"/>
    </row>
    <row r="675" customFormat="false" ht="15.75" hidden="false" customHeight="true" outlineLevel="0" collapsed="false"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6"/>
      <c r="P675" s="106"/>
    </row>
    <row r="676" customFormat="false" ht="15.75" hidden="false" customHeight="true" outlineLevel="0" collapsed="false"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6"/>
      <c r="P676" s="106"/>
    </row>
    <row r="677" customFormat="false" ht="15.75" hidden="false" customHeight="true" outlineLevel="0" collapsed="false"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6"/>
      <c r="P677" s="106"/>
    </row>
    <row r="678" customFormat="false" ht="15.75" hidden="false" customHeight="true" outlineLevel="0" collapsed="false"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6"/>
      <c r="P678" s="106"/>
    </row>
    <row r="679" customFormat="false" ht="15.75" hidden="false" customHeight="true" outlineLevel="0" collapsed="false"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6"/>
      <c r="P679" s="106"/>
    </row>
    <row r="680" customFormat="false" ht="15.75" hidden="false" customHeight="true" outlineLevel="0" collapsed="false"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6"/>
      <c r="P680" s="106"/>
    </row>
    <row r="681" customFormat="false" ht="15.75" hidden="false" customHeight="true" outlineLevel="0" collapsed="false"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6"/>
      <c r="P681" s="106"/>
    </row>
    <row r="682" customFormat="false" ht="15.75" hidden="false" customHeight="true" outlineLevel="0" collapsed="false"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6"/>
      <c r="P682" s="106"/>
    </row>
    <row r="683" customFormat="false" ht="15.75" hidden="false" customHeight="true" outlineLevel="0" collapsed="false"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6"/>
      <c r="P683" s="106"/>
    </row>
    <row r="684" customFormat="false" ht="15.75" hidden="false" customHeight="true" outlineLevel="0" collapsed="false"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6"/>
      <c r="P684" s="106"/>
    </row>
    <row r="685" customFormat="false" ht="15.75" hidden="false" customHeight="true" outlineLevel="0" collapsed="false"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6"/>
      <c r="P685" s="106"/>
    </row>
    <row r="686" customFormat="false" ht="15.75" hidden="false" customHeight="true" outlineLevel="0" collapsed="false"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6"/>
      <c r="P686" s="106"/>
    </row>
    <row r="687" customFormat="false" ht="15.75" hidden="false" customHeight="true" outlineLevel="0" collapsed="false"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6"/>
      <c r="P687" s="106"/>
    </row>
    <row r="688" customFormat="false" ht="15.75" hidden="false" customHeight="true" outlineLevel="0" collapsed="false"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6"/>
      <c r="P688" s="106"/>
    </row>
    <row r="689" customFormat="false" ht="15.75" hidden="false" customHeight="true" outlineLevel="0" collapsed="false"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6"/>
      <c r="P689" s="106"/>
    </row>
    <row r="690" customFormat="false" ht="15.75" hidden="false" customHeight="true" outlineLevel="0" collapsed="false"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6"/>
      <c r="P690" s="106"/>
    </row>
    <row r="691" customFormat="false" ht="15.75" hidden="false" customHeight="true" outlineLevel="0" collapsed="false"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6"/>
      <c r="P691" s="106"/>
    </row>
    <row r="692" customFormat="false" ht="15.75" hidden="false" customHeight="true" outlineLevel="0" collapsed="false"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6"/>
      <c r="P692" s="106"/>
    </row>
    <row r="693" customFormat="false" ht="15.75" hidden="false" customHeight="true" outlineLevel="0" collapsed="false"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6"/>
      <c r="P693" s="106"/>
    </row>
    <row r="694" customFormat="false" ht="15.75" hidden="false" customHeight="true" outlineLevel="0" collapsed="false"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6"/>
      <c r="P694" s="106"/>
    </row>
    <row r="695" customFormat="false" ht="15.75" hidden="false" customHeight="true" outlineLevel="0" collapsed="false"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6"/>
      <c r="P695" s="106"/>
    </row>
    <row r="696" customFormat="false" ht="15.75" hidden="false" customHeight="true" outlineLevel="0" collapsed="false"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6"/>
      <c r="P696" s="106"/>
    </row>
    <row r="697" customFormat="false" ht="15.75" hidden="false" customHeight="true" outlineLevel="0" collapsed="false"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6"/>
      <c r="P697" s="106"/>
    </row>
    <row r="698" customFormat="false" ht="15.75" hidden="false" customHeight="true" outlineLevel="0" collapsed="false"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6"/>
      <c r="P698" s="106"/>
    </row>
    <row r="699" customFormat="false" ht="15.75" hidden="false" customHeight="true" outlineLevel="0" collapsed="false"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6"/>
      <c r="P699" s="106"/>
    </row>
    <row r="700" customFormat="false" ht="15.75" hidden="false" customHeight="true" outlineLevel="0" collapsed="false"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6"/>
      <c r="P700" s="106"/>
    </row>
    <row r="701" customFormat="false" ht="15.75" hidden="false" customHeight="true" outlineLevel="0" collapsed="false"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6"/>
      <c r="P701" s="106"/>
    </row>
    <row r="702" customFormat="false" ht="15.75" hidden="false" customHeight="true" outlineLevel="0" collapsed="false"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6"/>
      <c r="P702" s="106"/>
    </row>
    <row r="703" customFormat="false" ht="15.75" hidden="false" customHeight="true" outlineLevel="0" collapsed="false"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6"/>
      <c r="P703" s="106"/>
    </row>
    <row r="704" customFormat="false" ht="15.75" hidden="false" customHeight="true" outlineLevel="0" collapsed="false"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6"/>
      <c r="P704" s="106"/>
    </row>
    <row r="705" customFormat="false" ht="15.75" hidden="false" customHeight="true" outlineLevel="0" collapsed="false"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6"/>
      <c r="P705" s="106"/>
    </row>
    <row r="706" customFormat="false" ht="15.75" hidden="false" customHeight="true" outlineLevel="0" collapsed="false"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6"/>
      <c r="P706" s="106"/>
    </row>
    <row r="707" customFormat="false" ht="15.75" hidden="false" customHeight="true" outlineLevel="0" collapsed="false"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6"/>
      <c r="P707" s="106"/>
    </row>
    <row r="708" customFormat="false" ht="15.75" hidden="false" customHeight="true" outlineLevel="0" collapsed="false"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6"/>
      <c r="P708" s="106"/>
    </row>
    <row r="709" customFormat="false" ht="15.75" hidden="false" customHeight="true" outlineLevel="0" collapsed="false"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6"/>
      <c r="P709" s="106"/>
    </row>
    <row r="710" customFormat="false" ht="15.75" hidden="false" customHeight="true" outlineLevel="0" collapsed="false"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6"/>
      <c r="P710" s="106"/>
    </row>
    <row r="711" customFormat="false" ht="15.75" hidden="false" customHeight="true" outlineLevel="0" collapsed="false"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6"/>
      <c r="P711" s="106"/>
    </row>
    <row r="712" customFormat="false" ht="15.75" hidden="false" customHeight="true" outlineLevel="0" collapsed="false"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6"/>
      <c r="P712" s="106"/>
    </row>
    <row r="713" customFormat="false" ht="15.75" hidden="false" customHeight="true" outlineLevel="0" collapsed="false"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6"/>
      <c r="P713" s="106"/>
    </row>
    <row r="714" customFormat="false" ht="15.75" hidden="false" customHeight="true" outlineLevel="0" collapsed="false"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6"/>
      <c r="P714" s="106"/>
    </row>
    <row r="715" customFormat="false" ht="15.75" hidden="false" customHeight="true" outlineLevel="0" collapsed="false"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6"/>
      <c r="P715" s="106"/>
    </row>
    <row r="716" customFormat="false" ht="15.75" hidden="false" customHeight="true" outlineLevel="0" collapsed="false"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6"/>
      <c r="P716" s="106"/>
    </row>
    <row r="717" customFormat="false" ht="15.75" hidden="false" customHeight="true" outlineLevel="0" collapsed="false"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6"/>
      <c r="P717" s="106"/>
    </row>
    <row r="718" customFormat="false" ht="15.75" hidden="false" customHeight="true" outlineLevel="0" collapsed="false"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6"/>
      <c r="P718" s="106"/>
    </row>
    <row r="719" customFormat="false" ht="15.75" hidden="false" customHeight="true" outlineLevel="0" collapsed="false"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6"/>
      <c r="P719" s="106"/>
    </row>
    <row r="720" customFormat="false" ht="15.75" hidden="false" customHeight="true" outlineLevel="0" collapsed="false"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6"/>
      <c r="P720" s="106"/>
    </row>
    <row r="721" customFormat="false" ht="15.75" hidden="false" customHeight="true" outlineLevel="0" collapsed="false"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6"/>
      <c r="P721" s="106"/>
    </row>
    <row r="722" customFormat="false" ht="15.75" hidden="false" customHeight="true" outlineLevel="0" collapsed="false"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6"/>
      <c r="P722" s="106"/>
    </row>
    <row r="723" customFormat="false" ht="15.75" hidden="false" customHeight="true" outlineLevel="0" collapsed="false"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6"/>
      <c r="P723" s="106"/>
    </row>
    <row r="724" customFormat="false" ht="15.75" hidden="false" customHeight="true" outlineLevel="0" collapsed="false"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6"/>
      <c r="P724" s="106"/>
    </row>
    <row r="725" customFormat="false" ht="15.75" hidden="false" customHeight="true" outlineLevel="0" collapsed="false"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6"/>
      <c r="P725" s="106"/>
    </row>
    <row r="726" customFormat="false" ht="15.75" hidden="false" customHeight="true" outlineLevel="0" collapsed="false"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6"/>
      <c r="P726" s="106"/>
    </row>
    <row r="727" customFormat="false" ht="15.75" hidden="false" customHeight="true" outlineLevel="0" collapsed="false"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6"/>
      <c r="P727" s="106"/>
    </row>
    <row r="728" customFormat="false" ht="15.75" hidden="false" customHeight="true" outlineLevel="0" collapsed="false"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6"/>
      <c r="P728" s="106"/>
    </row>
    <row r="729" customFormat="false" ht="15.75" hidden="false" customHeight="true" outlineLevel="0" collapsed="false"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6"/>
      <c r="P729" s="106"/>
    </row>
    <row r="730" customFormat="false" ht="15.75" hidden="false" customHeight="true" outlineLevel="0" collapsed="false"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6"/>
      <c r="P730" s="106"/>
    </row>
    <row r="731" customFormat="false" ht="15.75" hidden="false" customHeight="true" outlineLevel="0" collapsed="false"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6"/>
      <c r="P731" s="106"/>
    </row>
    <row r="732" customFormat="false" ht="15.75" hidden="false" customHeight="true" outlineLevel="0" collapsed="false"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6"/>
      <c r="P732" s="106"/>
    </row>
    <row r="733" customFormat="false" ht="15.75" hidden="false" customHeight="true" outlineLevel="0" collapsed="false"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6"/>
      <c r="P733" s="106"/>
    </row>
    <row r="734" customFormat="false" ht="15.75" hidden="false" customHeight="true" outlineLevel="0" collapsed="false"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6"/>
      <c r="P734" s="106"/>
    </row>
    <row r="735" customFormat="false" ht="15.75" hidden="false" customHeight="true" outlineLevel="0" collapsed="false"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6"/>
      <c r="P735" s="106"/>
    </row>
    <row r="736" customFormat="false" ht="15.75" hidden="false" customHeight="true" outlineLevel="0" collapsed="false"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6"/>
      <c r="P736" s="106"/>
    </row>
    <row r="737" customFormat="false" ht="15.75" hidden="false" customHeight="true" outlineLevel="0" collapsed="false"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6"/>
      <c r="P737" s="106"/>
    </row>
    <row r="738" customFormat="false" ht="15.75" hidden="false" customHeight="true" outlineLevel="0" collapsed="false"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6"/>
      <c r="P738" s="106"/>
    </row>
    <row r="739" customFormat="false" ht="15.75" hidden="false" customHeight="true" outlineLevel="0" collapsed="false"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6"/>
      <c r="P739" s="106"/>
    </row>
    <row r="740" customFormat="false" ht="15.75" hidden="false" customHeight="true" outlineLevel="0" collapsed="false"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6"/>
      <c r="P740" s="106"/>
    </row>
    <row r="741" customFormat="false" ht="15.75" hidden="false" customHeight="true" outlineLevel="0" collapsed="false"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6"/>
      <c r="P741" s="106"/>
    </row>
    <row r="742" customFormat="false" ht="15.75" hidden="false" customHeight="true" outlineLevel="0" collapsed="false"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6"/>
      <c r="P742" s="106"/>
    </row>
    <row r="743" customFormat="false" ht="15.75" hidden="false" customHeight="true" outlineLevel="0" collapsed="false"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6"/>
      <c r="P743" s="106"/>
    </row>
    <row r="744" customFormat="false" ht="15.75" hidden="false" customHeight="true" outlineLevel="0" collapsed="false"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6"/>
      <c r="P744" s="106"/>
    </row>
    <row r="745" customFormat="false" ht="15.75" hidden="false" customHeight="true" outlineLevel="0" collapsed="false"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6"/>
      <c r="P745" s="106"/>
    </row>
    <row r="746" customFormat="false" ht="15.75" hidden="false" customHeight="true" outlineLevel="0" collapsed="false"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6"/>
      <c r="P746" s="106"/>
    </row>
    <row r="747" customFormat="false" ht="15.75" hidden="false" customHeight="true" outlineLevel="0" collapsed="false"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6"/>
      <c r="P747" s="106"/>
    </row>
    <row r="748" customFormat="false" ht="15.75" hidden="false" customHeight="true" outlineLevel="0" collapsed="false"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6"/>
      <c r="P748" s="106"/>
    </row>
    <row r="749" customFormat="false" ht="15.75" hidden="false" customHeight="true" outlineLevel="0" collapsed="false"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6"/>
      <c r="P749" s="106"/>
    </row>
    <row r="750" customFormat="false" ht="15.75" hidden="false" customHeight="true" outlineLevel="0" collapsed="false"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6"/>
      <c r="P750" s="106"/>
    </row>
    <row r="751" customFormat="false" ht="15.75" hidden="false" customHeight="true" outlineLevel="0" collapsed="false"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6"/>
      <c r="P751" s="106"/>
    </row>
    <row r="752" customFormat="false" ht="15.75" hidden="false" customHeight="true" outlineLevel="0" collapsed="false"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6"/>
      <c r="P752" s="106"/>
    </row>
    <row r="753" customFormat="false" ht="15.75" hidden="false" customHeight="true" outlineLevel="0" collapsed="false"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6"/>
      <c r="P753" s="106"/>
    </row>
    <row r="754" customFormat="false" ht="15.75" hidden="false" customHeight="true" outlineLevel="0" collapsed="false"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6"/>
      <c r="P754" s="106"/>
    </row>
    <row r="755" customFormat="false" ht="15.75" hidden="false" customHeight="true" outlineLevel="0" collapsed="false"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6"/>
      <c r="P755" s="106"/>
    </row>
    <row r="756" customFormat="false" ht="15.75" hidden="false" customHeight="true" outlineLevel="0" collapsed="false"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6"/>
      <c r="P756" s="106"/>
    </row>
    <row r="757" customFormat="false" ht="15.75" hidden="false" customHeight="true" outlineLevel="0" collapsed="false"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6"/>
      <c r="P757" s="106"/>
    </row>
    <row r="758" customFormat="false" ht="15.75" hidden="false" customHeight="true" outlineLevel="0" collapsed="false"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6"/>
      <c r="P758" s="106"/>
    </row>
    <row r="759" customFormat="false" ht="15.75" hidden="false" customHeight="true" outlineLevel="0" collapsed="false"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6"/>
      <c r="P759" s="106"/>
    </row>
    <row r="760" customFormat="false" ht="15.75" hidden="false" customHeight="true" outlineLevel="0" collapsed="false"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6"/>
      <c r="P760" s="106"/>
    </row>
    <row r="761" customFormat="false" ht="15.75" hidden="false" customHeight="true" outlineLevel="0" collapsed="false"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6"/>
      <c r="P761" s="106"/>
    </row>
    <row r="762" customFormat="false" ht="15.75" hidden="false" customHeight="true" outlineLevel="0" collapsed="false"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6"/>
      <c r="P762" s="106"/>
    </row>
    <row r="763" customFormat="false" ht="15.75" hidden="false" customHeight="true" outlineLevel="0" collapsed="false"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6"/>
      <c r="P763" s="106"/>
    </row>
    <row r="764" customFormat="false" ht="15.75" hidden="false" customHeight="true" outlineLevel="0" collapsed="false"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6"/>
      <c r="P764" s="106"/>
    </row>
    <row r="765" customFormat="false" ht="15.75" hidden="false" customHeight="true" outlineLevel="0" collapsed="false"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6"/>
      <c r="P765" s="106"/>
    </row>
    <row r="766" customFormat="false" ht="15.75" hidden="false" customHeight="true" outlineLevel="0" collapsed="false"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6"/>
      <c r="P766" s="106"/>
    </row>
    <row r="767" customFormat="false" ht="15.75" hidden="false" customHeight="true" outlineLevel="0" collapsed="false"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6"/>
      <c r="P767" s="106"/>
    </row>
    <row r="768" customFormat="false" ht="15.75" hidden="false" customHeight="true" outlineLevel="0" collapsed="false"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6"/>
      <c r="P768" s="106"/>
    </row>
    <row r="769" customFormat="false" ht="15.75" hidden="false" customHeight="true" outlineLevel="0" collapsed="false"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6"/>
      <c r="P769" s="106"/>
    </row>
    <row r="770" customFormat="false" ht="15.75" hidden="false" customHeight="true" outlineLevel="0" collapsed="false"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6"/>
      <c r="P770" s="106"/>
    </row>
    <row r="771" customFormat="false" ht="15.75" hidden="false" customHeight="true" outlineLevel="0" collapsed="false"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6"/>
      <c r="P771" s="106"/>
    </row>
    <row r="772" customFormat="false" ht="15.75" hidden="false" customHeight="true" outlineLevel="0" collapsed="false"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6"/>
      <c r="P772" s="106"/>
    </row>
    <row r="773" customFormat="false" ht="15.75" hidden="false" customHeight="true" outlineLevel="0" collapsed="false"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6"/>
      <c r="P773" s="106"/>
    </row>
    <row r="774" customFormat="false" ht="15.75" hidden="false" customHeight="true" outlineLevel="0" collapsed="false"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6"/>
      <c r="P774" s="106"/>
    </row>
    <row r="775" customFormat="false" ht="15.75" hidden="false" customHeight="true" outlineLevel="0" collapsed="false"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6"/>
      <c r="P775" s="106"/>
    </row>
    <row r="776" customFormat="false" ht="15.75" hidden="false" customHeight="true" outlineLevel="0" collapsed="false"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6"/>
      <c r="P776" s="106"/>
    </row>
    <row r="777" customFormat="false" ht="15.75" hidden="false" customHeight="true" outlineLevel="0" collapsed="false"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6"/>
      <c r="P777" s="106"/>
    </row>
    <row r="778" customFormat="false" ht="15.75" hidden="false" customHeight="true" outlineLevel="0" collapsed="false"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6"/>
      <c r="P778" s="106"/>
    </row>
    <row r="779" customFormat="false" ht="15.75" hidden="false" customHeight="true" outlineLevel="0" collapsed="false"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6"/>
      <c r="P779" s="106"/>
    </row>
    <row r="780" customFormat="false" ht="15.75" hidden="false" customHeight="true" outlineLevel="0" collapsed="false"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6"/>
      <c r="P780" s="106"/>
    </row>
    <row r="781" customFormat="false" ht="15.75" hidden="false" customHeight="true" outlineLevel="0" collapsed="false"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6"/>
      <c r="P781" s="106"/>
    </row>
    <row r="782" customFormat="false" ht="15.75" hidden="false" customHeight="true" outlineLevel="0" collapsed="false"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6"/>
      <c r="P782" s="106"/>
    </row>
    <row r="783" customFormat="false" ht="15.75" hidden="false" customHeight="true" outlineLevel="0" collapsed="false"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6"/>
      <c r="P783" s="106"/>
    </row>
    <row r="784" customFormat="false" ht="15.75" hidden="false" customHeight="true" outlineLevel="0" collapsed="false"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6"/>
      <c r="P784" s="106"/>
    </row>
    <row r="785" customFormat="false" ht="15.75" hidden="false" customHeight="true" outlineLevel="0" collapsed="false"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6"/>
      <c r="P785" s="106"/>
    </row>
    <row r="786" customFormat="false" ht="15.75" hidden="false" customHeight="true" outlineLevel="0" collapsed="false"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6"/>
      <c r="P786" s="106"/>
    </row>
    <row r="787" customFormat="false" ht="15.75" hidden="false" customHeight="true" outlineLevel="0" collapsed="false"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6"/>
      <c r="P787" s="106"/>
    </row>
    <row r="788" customFormat="false" ht="15.75" hidden="false" customHeight="true" outlineLevel="0" collapsed="false"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6"/>
      <c r="P788" s="106"/>
    </row>
    <row r="789" customFormat="false" ht="15.75" hidden="false" customHeight="true" outlineLevel="0" collapsed="false"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6"/>
      <c r="P789" s="106"/>
    </row>
    <row r="790" customFormat="false" ht="15.75" hidden="false" customHeight="true" outlineLevel="0" collapsed="false"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6"/>
      <c r="P790" s="106"/>
    </row>
    <row r="791" customFormat="false" ht="15.75" hidden="false" customHeight="true" outlineLevel="0" collapsed="false"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6"/>
      <c r="P791" s="106"/>
    </row>
    <row r="792" customFormat="false" ht="15.75" hidden="false" customHeight="true" outlineLevel="0" collapsed="false"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6"/>
      <c r="P792" s="106"/>
    </row>
    <row r="793" customFormat="false" ht="15.75" hidden="false" customHeight="true" outlineLevel="0" collapsed="false"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6"/>
      <c r="P793" s="106"/>
    </row>
    <row r="794" customFormat="false" ht="15.75" hidden="false" customHeight="true" outlineLevel="0" collapsed="false"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6"/>
      <c r="P794" s="106"/>
    </row>
    <row r="795" customFormat="false" ht="15.75" hidden="false" customHeight="true" outlineLevel="0" collapsed="false"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6"/>
      <c r="P795" s="106"/>
    </row>
    <row r="796" customFormat="false" ht="15.75" hidden="false" customHeight="true" outlineLevel="0" collapsed="false"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6"/>
      <c r="P796" s="106"/>
    </row>
    <row r="797" customFormat="false" ht="15.75" hidden="false" customHeight="true" outlineLevel="0" collapsed="false"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6"/>
      <c r="P797" s="106"/>
    </row>
    <row r="798" customFormat="false" ht="15.75" hidden="false" customHeight="true" outlineLevel="0" collapsed="false"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6"/>
      <c r="P798" s="106"/>
    </row>
    <row r="799" customFormat="false" ht="15.75" hidden="false" customHeight="true" outlineLevel="0" collapsed="false"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6"/>
      <c r="P799" s="106"/>
    </row>
    <row r="800" customFormat="false" ht="15.75" hidden="false" customHeight="true" outlineLevel="0" collapsed="false"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6"/>
      <c r="P800" s="106"/>
    </row>
    <row r="801" customFormat="false" ht="15.75" hidden="false" customHeight="true" outlineLevel="0" collapsed="false"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6"/>
      <c r="P801" s="106"/>
    </row>
    <row r="802" customFormat="false" ht="15.75" hidden="false" customHeight="true" outlineLevel="0" collapsed="false"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6"/>
      <c r="P802" s="106"/>
    </row>
    <row r="803" customFormat="false" ht="15.75" hidden="false" customHeight="true" outlineLevel="0" collapsed="false"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6"/>
      <c r="P803" s="106"/>
    </row>
    <row r="804" customFormat="false" ht="15.75" hidden="false" customHeight="true" outlineLevel="0" collapsed="false"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6"/>
      <c r="P804" s="106"/>
    </row>
    <row r="805" customFormat="false" ht="15.75" hidden="false" customHeight="true" outlineLevel="0" collapsed="false"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6"/>
      <c r="P805" s="106"/>
    </row>
    <row r="806" customFormat="false" ht="15.75" hidden="false" customHeight="true" outlineLevel="0" collapsed="false"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6"/>
      <c r="P806" s="106"/>
    </row>
    <row r="807" customFormat="false" ht="15.75" hidden="false" customHeight="true" outlineLevel="0" collapsed="false"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6"/>
      <c r="P807" s="106"/>
    </row>
    <row r="808" customFormat="false" ht="15.75" hidden="false" customHeight="true" outlineLevel="0" collapsed="false"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6"/>
      <c r="P808" s="106"/>
    </row>
    <row r="809" customFormat="false" ht="15.75" hidden="false" customHeight="true" outlineLevel="0" collapsed="false"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6"/>
      <c r="P809" s="106"/>
    </row>
    <row r="810" customFormat="false" ht="15.75" hidden="false" customHeight="true" outlineLevel="0" collapsed="false"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6"/>
      <c r="P810" s="106"/>
    </row>
    <row r="811" customFormat="false" ht="15.75" hidden="false" customHeight="true" outlineLevel="0" collapsed="false"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6"/>
      <c r="P811" s="106"/>
    </row>
    <row r="812" customFormat="false" ht="15.75" hidden="false" customHeight="true" outlineLevel="0" collapsed="false"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6"/>
      <c r="P812" s="106"/>
    </row>
    <row r="813" customFormat="false" ht="15.75" hidden="false" customHeight="true" outlineLevel="0" collapsed="false"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6"/>
      <c r="P813" s="106"/>
    </row>
    <row r="814" customFormat="false" ht="15.75" hidden="false" customHeight="true" outlineLevel="0" collapsed="false"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6"/>
      <c r="P814" s="106"/>
    </row>
    <row r="815" customFormat="false" ht="15.75" hidden="false" customHeight="true" outlineLevel="0" collapsed="false"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6"/>
      <c r="P815" s="106"/>
    </row>
    <row r="816" customFormat="false" ht="15.75" hidden="false" customHeight="true" outlineLevel="0" collapsed="false"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6"/>
      <c r="P816" s="106"/>
    </row>
    <row r="817" customFormat="false" ht="15.75" hidden="false" customHeight="true" outlineLevel="0" collapsed="false"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6"/>
      <c r="P817" s="106"/>
    </row>
    <row r="818" customFormat="false" ht="15.75" hidden="false" customHeight="true" outlineLevel="0" collapsed="false"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6"/>
      <c r="P818" s="106"/>
    </row>
    <row r="819" customFormat="false" ht="15.75" hidden="false" customHeight="true" outlineLevel="0" collapsed="false"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6"/>
      <c r="P819" s="106"/>
    </row>
    <row r="820" customFormat="false" ht="15.75" hidden="false" customHeight="true" outlineLevel="0" collapsed="false"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6"/>
      <c r="P820" s="106"/>
    </row>
    <row r="821" customFormat="false" ht="15.75" hidden="false" customHeight="true" outlineLevel="0" collapsed="false"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6"/>
      <c r="P821" s="106"/>
    </row>
    <row r="822" customFormat="false" ht="15.75" hidden="false" customHeight="true" outlineLevel="0" collapsed="false"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6"/>
      <c r="P822" s="106"/>
    </row>
    <row r="823" customFormat="false" ht="15.75" hidden="false" customHeight="true" outlineLevel="0" collapsed="false"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6"/>
      <c r="P823" s="106"/>
    </row>
    <row r="824" customFormat="false" ht="15.75" hidden="false" customHeight="true" outlineLevel="0" collapsed="false"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6"/>
      <c r="P824" s="106"/>
    </row>
    <row r="825" customFormat="false" ht="15.75" hidden="false" customHeight="true" outlineLevel="0" collapsed="false"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6"/>
      <c r="P825" s="106"/>
    </row>
    <row r="826" customFormat="false" ht="15.75" hidden="false" customHeight="true" outlineLevel="0" collapsed="false"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6"/>
      <c r="P826" s="106"/>
    </row>
    <row r="827" customFormat="false" ht="15.75" hidden="false" customHeight="true" outlineLevel="0" collapsed="false"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6"/>
      <c r="P827" s="106"/>
    </row>
    <row r="828" customFormat="false" ht="15.75" hidden="false" customHeight="true" outlineLevel="0" collapsed="false"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6"/>
      <c r="P828" s="106"/>
    </row>
    <row r="829" customFormat="false" ht="15.75" hidden="false" customHeight="true" outlineLevel="0" collapsed="false"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6"/>
      <c r="P829" s="106"/>
    </row>
    <row r="830" customFormat="false" ht="15.75" hidden="false" customHeight="true" outlineLevel="0" collapsed="false"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6"/>
      <c r="P830" s="106"/>
    </row>
    <row r="831" customFormat="false" ht="15.75" hidden="false" customHeight="true" outlineLevel="0" collapsed="false"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6"/>
      <c r="P831" s="106"/>
    </row>
    <row r="832" customFormat="false" ht="15.75" hidden="false" customHeight="true" outlineLevel="0" collapsed="false"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6"/>
      <c r="P832" s="106"/>
    </row>
    <row r="833" customFormat="false" ht="15.75" hidden="false" customHeight="true" outlineLevel="0" collapsed="false"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6"/>
      <c r="P833" s="106"/>
    </row>
    <row r="834" customFormat="false" ht="15.75" hidden="false" customHeight="true" outlineLevel="0" collapsed="false"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6"/>
      <c r="P834" s="106"/>
    </row>
    <row r="835" customFormat="false" ht="15.75" hidden="false" customHeight="true" outlineLevel="0" collapsed="false"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6"/>
      <c r="P835" s="106"/>
    </row>
    <row r="836" customFormat="false" ht="15.75" hidden="false" customHeight="true" outlineLevel="0" collapsed="false"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6"/>
      <c r="P836" s="106"/>
    </row>
    <row r="837" customFormat="false" ht="15.75" hidden="false" customHeight="true" outlineLevel="0" collapsed="false"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6"/>
      <c r="P837" s="106"/>
    </row>
    <row r="838" customFormat="false" ht="15.75" hidden="false" customHeight="true" outlineLevel="0" collapsed="false"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6"/>
      <c r="P838" s="106"/>
    </row>
    <row r="839" customFormat="false" ht="15.75" hidden="false" customHeight="true" outlineLevel="0" collapsed="false"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6"/>
      <c r="P839" s="106"/>
    </row>
    <row r="840" customFormat="false" ht="15.75" hidden="false" customHeight="true" outlineLevel="0" collapsed="false"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6"/>
      <c r="P840" s="106"/>
    </row>
    <row r="841" customFormat="false" ht="15.75" hidden="false" customHeight="true" outlineLevel="0" collapsed="false"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6"/>
      <c r="P841" s="106"/>
    </row>
    <row r="842" customFormat="false" ht="15.75" hidden="false" customHeight="true" outlineLevel="0" collapsed="false"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6"/>
      <c r="P842" s="106"/>
    </row>
    <row r="843" customFormat="false" ht="15.75" hidden="false" customHeight="true" outlineLevel="0" collapsed="false"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6"/>
      <c r="P843" s="106"/>
    </row>
    <row r="844" customFormat="false" ht="15.75" hidden="false" customHeight="true" outlineLevel="0" collapsed="false"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6"/>
      <c r="P844" s="106"/>
    </row>
    <row r="845" customFormat="false" ht="15.75" hidden="false" customHeight="true" outlineLevel="0" collapsed="false"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6"/>
      <c r="P845" s="106"/>
    </row>
    <row r="846" customFormat="false" ht="15.75" hidden="false" customHeight="true" outlineLevel="0" collapsed="false"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6"/>
      <c r="P846" s="106"/>
    </row>
    <row r="847" customFormat="false" ht="15.75" hidden="false" customHeight="true" outlineLevel="0" collapsed="false"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6"/>
      <c r="P847" s="106"/>
    </row>
    <row r="848" customFormat="false" ht="15.75" hidden="false" customHeight="true" outlineLevel="0" collapsed="false"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6"/>
      <c r="P848" s="106"/>
    </row>
    <row r="849" customFormat="false" ht="15.75" hidden="false" customHeight="true" outlineLevel="0" collapsed="false"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6"/>
      <c r="P849" s="106"/>
    </row>
    <row r="850" customFormat="false" ht="15.75" hidden="false" customHeight="true" outlineLevel="0" collapsed="false"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6"/>
      <c r="P850" s="106"/>
    </row>
    <row r="851" customFormat="false" ht="15.75" hidden="false" customHeight="true" outlineLevel="0" collapsed="false"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6"/>
      <c r="P851" s="106"/>
    </row>
    <row r="852" customFormat="false" ht="15.75" hidden="false" customHeight="true" outlineLevel="0" collapsed="false"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6"/>
      <c r="P852" s="106"/>
    </row>
    <row r="853" customFormat="false" ht="15.75" hidden="false" customHeight="true" outlineLevel="0" collapsed="false"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6"/>
      <c r="P853" s="106"/>
    </row>
    <row r="854" customFormat="false" ht="15.75" hidden="false" customHeight="true" outlineLevel="0" collapsed="false"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6"/>
      <c r="P854" s="106"/>
    </row>
    <row r="855" customFormat="false" ht="15.75" hidden="false" customHeight="true" outlineLevel="0" collapsed="false"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6"/>
      <c r="P855" s="106"/>
    </row>
    <row r="856" customFormat="false" ht="15.75" hidden="false" customHeight="true" outlineLevel="0" collapsed="false"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6"/>
      <c r="P856" s="106"/>
    </row>
    <row r="857" customFormat="false" ht="15.75" hidden="false" customHeight="true" outlineLevel="0" collapsed="false"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6"/>
      <c r="P857" s="106"/>
    </row>
    <row r="858" customFormat="false" ht="15.75" hidden="false" customHeight="true" outlineLevel="0" collapsed="false"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6"/>
      <c r="P858" s="106"/>
    </row>
    <row r="859" customFormat="false" ht="15.75" hidden="false" customHeight="true" outlineLevel="0" collapsed="false"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6"/>
      <c r="P859" s="106"/>
    </row>
    <row r="860" customFormat="false" ht="15.75" hidden="false" customHeight="true" outlineLevel="0" collapsed="false"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6"/>
      <c r="P860" s="106"/>
    </row>
    <row r="861" customFormat="false" ht="15.75" hidden="false" customHeight="true" outlineLevel="0" collapsed="false"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6"/>
      <c r="P861" s="106"/>
    </row>
    <row r="862" customFormat="false" ht="15.75" hidden="false" customHeight="true" outlineLevel="0" collapsed="false"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6"/>
      <c r="P862" s="106"/>
    </row>
    <row r="863" customFormat="false" ht="15.75" hidden="false" customHeight="true" outlineLevel="0" collapsed="false"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6"/>
      <c r="P863" s="106"/>
    </row>
    <row r="864" customFormat="false" ht="15.75" hidden="false" customHeight="true" outlineLevel="0" collapsed="false"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6"/>
      <c r="P864" s="106"/>
    </row>
    <row r="865" customFormat="false" ht="15.75" hidden="false" customHeight="true" outlineLevel="0" collapsed="false"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6"/>
      <c r="P865" s="106"/>
    </row>
    <row r="866" customFormat="false" ht="15.75" hidden="false" customHeight="true" outlineLevel="0" collapsed="false"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6"/>
      <c r="P866" s="106"/>
    </row>
    <row r="867" customFormat="false" ht="15.75" hidden="false" customHeight="true" outlineLevel="0" collapsed="false"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6"/>
      <c r="P867" s="106"/>
    </row>
    <row r="868" customFormat="false" ht="15.75" hidden="false" customHeight="true" outlineLevel="0" collapsed="false"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6"/>
      <c r="P868" s="106"/>
    </row>
    <row r="869" customFormat="false" ht="15.75" hidden="false" customHeight="true" outlineLevel="0" collapsed="false"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6"/>
      <c r="P869" s="106"/>
    </row>
    <row r="870" customFormat="false" ht="15.75" hidden="false" customHeight="true" outlineLevel="0" collapsed="false"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6"/>
      <c r="P870" s="106"/>
    </row>
    <row r="871" customFormat="false" ht="15.75" hidden="false" customHeight="true" outlineLevel="0" collapsed="false"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6"/>
      <c r="P871" s="106"/>
    </row>
    <row r="872" customFormat="false" ht="15.75" hidden="false" customHeight="true" outlineLevel="0" collapsed="false"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6"/>
      <c r="P872" s="106"/>
    </row>
    <row r="873" customFormat="false" ht="15.75" hidden="false" customHeight="true" outlineLevel="0" collapsed="false"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6"/>
      <c r="P873" s="106"/>
    </row>
    <row r="874" customFormat="false" ht="15.75" hidden="false" customHeight="true" outlineLevel="0" collapsed="false"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6"/>
      <c r="P874" s="106"/>
    </row>
    <row r="875" customFormat="false" ht="15.75" hidden="false" customHeight="true" outlineLevel="0" collapsed="false"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6"/>
      <c r="P875" s="106"/>
    </row>
    <row r="876" customFormat="false" ht="15.75" hidden="false" customHeight="true" outlineLevel="0" collapsed="false"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6"/>
      <c r="P876" s="106"/>
    </row>
    <row r="877" customFormat="false" ht="15.75" hidden="false" customHeight="true" outlineLevel="0" collapsed="false"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6"/>
      <c r="P877" s="106"/>
    </row>
    <row r="878" customFormat="false" ht="15.75" hidden="false" customHeight="true" outlineLevel="0" collapsed="false"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6"/>
      <c r="P878" s="106"/>
    </row>
    <row r="879" customFormat="false" ht="15.75" hidden="false" customHeight="true" outlineLevel="0" collapsed="false"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6"/>
      <c r="P879" s="106"/>
    </row>
    <row r="880" customFormat="false" ht="15.75" hidden="false" customHeight="true" outlineLevel="0" collapsed="false"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6"/>
      <c r="P880" s="106"/>
    </row>
    <row r="881" customFormat="false" ht="15.75" hidden="false" customHeight="true" outlineLevel="0" collapsed="false"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6"/>
      <c r="P881" s="106"/>
    </row>
    <row r="882" customFormat="false" ht="15.75" hidden="false" customHeight="true" outlineLevel="0" collapsed="false"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6"/>
      <c r="P882" s="106"/>
    </row>
    <row r="883" customFormat="false" ht="15.75" hidden="false" customHeight="true" outlineLevel="0" collapsed="false"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6"/>
      <c r="P883" s="106"/>
    </row>
    <row r="884" customFormat="false" ht="15.75" hidden="false" customHeight="true" outlineLevel="0" collapsed="false"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6"/>
      <c r="P884" s="106"/>
    </row>
    <row r="885" customFormat="false" ht="15.75" hidden="false" customHeight="true" outlineLevel="0" collapsed="false"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6"/>
      <c r="P885" s="106"/>
    </row>
    <row r="886" customFormat="false" ht="15.75" hidden="false" customHeight="true" outlineLevel="0" collapsed="false"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6"/>
      <c r="P886" s="106"/>
    </row>
    <row r="887" customFormat="false" ht="15.75" hidden="false" customHeight="true" outlineLevel="0" collapsed="false"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6"/>
      <c r="P887" s="106"/>
    </row>
    <row r="888" customFormat="false" ht="15.75" hidden="false" customHeight="true" outlineLevel="0" collapsed="false"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6"/>
      <c r="P888" s="106"/>
    </row>
    <row r="889" customFormat="false" ht="15.75" hidden="false" customHeight="true" outlineLevel="0" collapsed="false"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6"/>
      <c r="P889" s="106"/>
    </row>
    <row r="890" customFormat="false" ht="15.75" hidden="false" customHeight="true" outlineLevel="0" collapsed="false"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6"/>
      <c r="P890" s="106"/>
    </row>
    <row r="891" customFormat="false" ht="15.75" hidden="false" customHeight="true" outlineLevel="0" collapsed="false"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6"/>
      <c r="P891" s="106"/>
    </row>
    <row r="892" customFormat="false" ht="15.75" hidden="false" customHeight="true" outlineLevel="0" collapsed="false"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6"/>
      <c r="P892" s="106"/>
    </row>
    <row r="893" customFormat="false" ht="15.75" hidden="false" customHeight="true" outlineLevel="0" collapsed="false"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6"/>
      <c r="P893" s="106"/>
    </row>
    <row r="894" customFormat="false" ht="15.75" hidden="false" customHeight="true" outlineLevel="0" collapsed="false"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6"/>
      <c r="P894" s="106"/>
    </row>
    <row r="895" customFormat="false" ht="15.75" hidden="false" customHeight="true" outlineLevel="0" collapsed="false"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6"/>
      <c r="P895" s="106"/>
    </row>
    <row r="896" customFormat="false" ht="15.75" hidden="false" customHeight="true" outlineLevel="0" collapsed="false"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6"/>
      <c r="P896" s="106"/>
    </row>
    <row r="897" customFormat="false" ht="15.75" hidden="false" customHeight="true" outlineLevel="0" collapsed="false"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6"/>
      <c r="P897" s="106"/>
    </row>
    <row r="898" customFormat="false" ht="15.75" hidden="false" customHeight="true" outlineLevel="0" collapsed="false"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6"/>
      <c r="P898" s="106"/>
    </row>
    <row r="899" customFormat="false" ht="15.75" hidden="false" customHeight="true" outlineLevel="0" collapsed="false"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6"/>
      <c r="P899" s="106"/>
    </row>
    <row r="900" customFormat="false" ht="15.75" hidden="false" customHeight="true" outlineLevel="0" collapsed="false"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6"/>
      <c r="P900" s="106"/>
    </row>
    <row r="901" customFormat="false" ht="15.75" hidden="false" customHeight="true" outlineLevel="0" collapsed="false"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6"/>
      <c r="P901" s="106"/>
    </row>
    <row r="902" customFormat="false" ht="15.75" hidden="false" customHeight="true" outlineLevel="0" collapsed="false"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6"/>
      <c r="P902" s="106"/>
    </row>
    <row r="903" customFormat="false" ht="15.75" hidden="false" customHeight="true" outlineLevel="0" collapsed="false"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6"/>
      <c r="P903" s="106"/>
    </row>
    <row r="904" customFormat="false" ht="15.75" hidden="false" customHeight="true" outlineLevel="0" collapsed="false"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6"/>
      <c r="P904" s="106"/>
    </row>
    <row r="905" customFormat="false" ht="15.75" hidden="false" customHeight="true" outlineLevel="0" collapsed="false"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6"/>
      <c r="P905" s="106"/>
    </row>
    <row r="906" customFormat="false" ht="15.75" hidden="false" customHeight="true" outlineLevel="0" collapsed="false"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6"/>
      <c r="P906" s="106"/>
    </row>
    <row r="907" customFormat="false" ht="15.75" hidden="false" customHeight="true" outlineLevel="0" collapsed="false"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6"/>
      <c r="P907" s="106"/>
    </row>
    <row r="908" customFormat="false" ht="15.75" hidden="false" customHeight="true" outlineLevel="0" collapsed="false"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6"/>
      <c r="P908" s="106"/>
    </row>
    <row r="909" customFormat="false" ht="15.75" hidden="false" customHeight="true" outlineLevel="0" collapsed="false"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6"/>
      <c r="P909" s="106"/>
    </row>
    <row r="910" customFormat="false" ht="15.75" hidden="false" customHeight="true" outlineLevel="0" collapsed="false"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6"/>
      <c r="P910" s="106"/>
    </row>
    <row r="911" customFormat="false" ht="15.75" hidden="false" customHeight="true" outlineLevel="0" collapsed="false"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6"/>
      <c r="P911" s="106"/>
    </row>
    <row r="912" customFormat="false" ht="15.75" hidden="false" customHeight="true" outlineLevel="0" collapsed="false"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6"/>
      <c r="P912" s="106"/>
    </row>
    <row r="913" customFormat="false" ht="15.75" hidden="false" customHeight="true" outlineLevel="0" collapsed="false"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6"/>
      <c r="P913" s="106"/>
    </row>
    <row r="914" customFormat="false" ht="15.75" hidden="false" customHeight="true" outlineLevel="0" collapsed="false"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6"/>
      <c r="P914" s="106"/>
    </row>
    <row r="915" customFormat="false" ht="15.75" hidden="false" customHeight="true" outlineLevel="0" collapsed="false"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6"/>
      <c r="P915" s="106"/>
    </row>
    <row r="916" customFormat="false" ht="15.75" hidden="false" customHeight="true" outlineLevel="0" collapsed="false"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6"/>
      <c r="P916" s="106"/>
    </row>
    <row r="917" customFormat="false" ht="15.75" hidden="false" customHeight="true" outlineLevel="0" collapsed="false"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6"/>
      <c r="P917" s="106"/>
    </row>
    <row r="918" customFormat="false" ht="15.75" hidden="false" customHeight="true" outlineLevel="0" collapsed="false"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6"/>
      <c r="P918" s="106"/>
    </row>
    <row r="919" customFormat="false" ht="15.75" hidden="false" customHeight="true" outlineLevel="0" collapsed="false"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6"/>
      <c r="P919" s="106"/>
    </row>
    <row r="920" customFormat="false" ht="15.75" hidden="false" customHeight="true" outlineLevel="0" collapsed="false"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6"/>
      <c r="P920" s="106"/>
    </row>
    <row r="921" customFormat="false" ht="15.75" hidden="false" customHeight="true" outlineLevel="0" collapsed="false"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6"/>
      <c r="P921" s="106"/>
    </row>
    <row r="922" customFormat="false" ht="15.75" hidden="false" customHeight="true" outlineLevel="0" collapsed="false"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6"/>
      <c r="P922" s="106"/>
    </row>
    <row r="923" customFormat="false" ht="15.75" hidden="false" customHeight="true" outlineLevel="0" collapsed="false"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6"/>
      <c r="P923" s="106"/>
    </row>
    <row r="924" customFormat="false" ht="15.75" hidden="false" customHeight="true" outlineLevel="0" collapsed="false"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6"/>
      <c r="P924" s="106"/>
    </row>
    <row r="925" customFormat="false" ht="15.75" hidden="false" customHeight="true" outlineLevel="0" collapsed="false"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6"/>
      <c r="P925" s="106"/>
    </row>
    <row r="926" customFormat="false" ht="15.75" hidden="false" customHeight="true" outlineLevel="0" collapsed="false"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6"/>
      <c r="P926" s="106"/>
    </row>
    <row r="927" customFormat="false" ht="15.75" hidden="false" customHeight="true" outlineLevel="0" collapsed="false"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6"/>
      <c r="P927" s="106"/>
    </row>
    <row r="928" customFormat="false" ht="15.75" hidden="false" customHeight="true" outlineLevel="0" collapsed="false"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6"/>
      <c r="P928" s="106"/>
    </row>
    <row r="929" customFormat="false" ht="15.75" hidden="false" customHeight="true" outlineLevel="0" collapsed="false"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6"/>
      <c r="P929" s="106"/>
    </row>
    <row r="930" customFormat="false" ht="15.75" hidden="false" customHeight="true" outlineLevel="0" collapsed="false"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6"/>
      <c r="P930" s="106"/>
    </row>
    <row r="931" customFormat="false" ht="15.75" hidden="false" customHeight="true" outlineLevel="0" collapsed="false"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6"/>
      <c r="P931" s="106"/>
    </row>
    <row r="932" customFormat="false" ht="15.75" hidden="false" customHeight="true" outlineLevel="0" collapsed="false"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6"/>
      <c r="P932" s="106"/>
    </row>
    <row r="933" customFormat="false" ht="15.75" hidden="false" customHeight="true" outlineLevel="0" collapsed="false"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6"/>
      <c r="P933" s="106"/>
    </row>
    <row r="934" customFormat="false" ht="15.75" hidden="false" customHeight="true" outlineLevel="0" collapsed="false"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6"/>
      <c r="P934" s="106"/>
    </row>
    <row r="935" customFormat="false" ht="15.75" hidden="false" customHeight="true" outlineLevel="0" collapsed="false"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6"/>
      <c r="P935" s="106"/>
    </row>
    <row r="936" customFormat="false" ht="15.75" hidden="false" customHeight="true" outlineLevel="0" collapsed="false"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6"/>
      <c r="P936" s="106"/>
    </row>
    <row r="937" customFormat="false" ht="15.75" hidden="false" customHeight="true" outlineLevel="0" collapsed="false"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6"/>
      <c r="P937" s="106"/>
    </row>
    <row r="938" customFormat="false" ht="15.75" hidden="false" customHeight="true" outlineLevel="0" collapsed="false"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6"/>
      <c r="P938" s="106"/>
    </row>
    <row r="939" customFormat="false" ht="15.75" hidden="false" customHeight="true" outlineLevel="0" collapsed="false"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6"/>
      <c r="P939" s="106"/>
    </row>
    <row r="940" customFormat="false" ht="15.75" hidden="false" customHeight="true" outlineLevel="0" collapsed="false"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6"/>
      <c r="P940" s="106"/>
    </row>
    <row r="941" customFormat="false" ht="15.75" hidden="false" customHeight="true" outlineLevel="0" collapsed="false"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6"/>
      <c r="P941" s="106"/>
    </row>
    <row r="942" customFormat="false" ht="15.75" hidden="false" customHeight="true" outlineLevel="0" collapsed="false"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6"/>
      <c r="P942" s="106"/>
    </row>
    <row r="943" customFormat="false" ht="15.75" hidden="false" customHeight="true" outlineLevel="0" collapsed="false"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6"/>
      <c r="P943" s="106"/>
    </row>
    <row r="944" customFormat="false" ht="15.75" hidden="false" customHeight="true" outlineLevel="0" collapsed="false"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6"/>
      <c r="P944" s="106"/>
    </row>
    <row r="945" customFormat="false" ht="15.75" hidden="false" customHeight="true" outlineLevel="0" collapsed="false"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6"/>
      <c r="P945" s="106"/>
    </row>
    <row r="946" customFormat="false" ht="15.75" hidden="false" customHeight="true" outlineLevel="0" collapsed="false"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6"/>
      <c r="P946" s="106"/>
    </row>
    <row r="947" customFormat="false" ht="15.75" hidden="false" customHeight="true" outlineLevel="0" collapsed="false"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6"/>
      <c r="P947" s="106"/>
    </row>
    <row r="948" customFormat="false" ht="15.75" hidden="false" customHeight="true" outlineLevel="0" collapsed="false"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6"/>
      <c r="P948" s="106"/>
    </row>
    <row r="949" customFormat="false" ht="15.75" hidden="false" customHeight="true" outlineLevel="0" collapsed="false"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6"/>
      <c r="P949" s="106"/>
    </row>
    <row r="950" customFormat="false" ht="15.75" hidden="false" customHeight="true" outlineLevel="0" collapsed="false"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6"/>
      <c r="P950" s="106"/>
    </row>
    <row r="951" customFormat="false" ht="15.75" hidden="false" customHeight="true" outlineLevel="0" collapsed="false"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6"/>
      <c r="P951" s="106"/>
    </row>
    <row r="952" customFormat="false" ht="15.75" hidden="false" customHeight="true" outlineLevel="0" collapsed="false"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6"/>
      <c r="P952" s="106"/>
    </row>
    <row r="953" customFormat="false" ht="15.75" hidden="false" customHeight="true" outlineLevel="0" collapsed="false"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6"/>
      <c r="P953" s="106"/>
    </row>
    <row r="954" customFormat="false" ht="15.75" hidden="false" customHeight="true" outlineLevel="0" collapsed="false"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6"/>
      <c r="P954" s="106"/>
    </row>
    <row r="955" customFormat="false" ht="15.75" hidden="false" customHeight="true" outlineLevel="0" collapsed="false"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6"/>
      <c r="P955" s="106"/>
    </row>
    <row r="956" customFormat="false" ht="15.75" hidden="false" customHeight="true" outlineLevel="0" collapsed="false"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6"/>
      <c r="P956" s="106"/>
    </row>
    <row r="957" customFormat="false" ht="15.75" hidden="false" customHeight="true" outlineLevel="0" collapsed="false"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6"/>
      <c r="P957" s="106"/>
    </row>
    <row r="958" customFormat="false" ht="15.75" hidden="false" customHeight="true" outlineLevel="0" collapsed="false"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6"/>
      <c r="P958" s="106"/>
    </row>
    <row r="959" customFormat="false" ht="15.75" hidden="false" customHeight="true" outlineLevel="0" collapsed="false"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6"/>
      <c r="P959" s="106"/>
    </row>
    <row r="960" customFormat="false" ht="15.75" hidden="false" customHeight="true" outlineLevel="0" collapsed="false"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6"/>
      <c r="P960" s="106"/>
    </row>
    <row r="961" customFormat="false" ht="15.75" hidden="false" customHeight="true" outlineLevel="0" collapsed="false"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6"/>
      <c r="P961" s="106"/>
    </row>
    <row r="962" customFormat="false" ht="15.75" hidden="false" customHeight="true" outlineLevel="0" collapsed="false"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6"/>
      <c r="P962" s="106"/>
    </row>
    <row r="963" customFormat="false" ht="15.75" hidden="false" customHeight="true" outlineLevel="0" collapsed="false"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6"/>
      <c r="P963" s="106"/>
    </row>
    <row r="964" customFormat="false" ht="15.75" hidden="false" customHeight="true" outlineLevel="0" collapsed="false"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6"/>
      <c r="P964" s="106"/>
    </row>
    <row r="965" customFormat="false" ht="15.75" hidden="false" customHeight="true" outlineLevel="0" collapsed="false"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6"/>
      <c r="P965" s="106"/>
    </row>
    <row r="966" customFormat="false" ht="15.75" hidden="false" customHeight="true" outlineLevel="0" collapsed="false"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6"/>
      <c r="P966" s="106"/>
    </row>
    <row r="967" customFormat="false" ht="15.75" hidden="false" customHeight="true" outlineLevel="0" collapsed="false"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6"/>
      <c r="P967" s="106"/>
    </row>
    <row r="968" customFormat="false" ht="15.75" hidden="false" customHeight="true" outlineLevel="0" collapsed="false"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6"/>
      <c r="P968" s="106"/>
    </row>
    <row r="969" customFormat="false" ht="15.75" hidden="false" customHeight="true" outlineLevel="0" collapsed="false"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6"/>
      <c r="P969" s="106"/>
    </row>
    <row r="970" customFormat="false" ht="15.75" hidden="false" customHeight="true" outlineLevel="0" collapsed="false"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6"/>
      <c r="P970" s="106"/>
    </row>
    <row r="971" customFormat="false" ht="15.75" hidden="false" customHeight="true" outlineLevel="0" collapsed="false"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6"/>
      <c r="P971" s="106"/>
    </row>
    <row r="972" customFormat="false" ht="15.75" hidden="false" customHeight="true" outlineLevel="0" collapsed="false"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6"/>
      <c r="P972" s="106"/>
    </row>
    <row r="973" customFormat="false" ht="15.75" hidden="false" customHeight="true" outlineLevel="0" collapsed="false"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6"/>
      <c r="P973" s="106"/>
    </row>
    <row r="974" customFormat="false" ht="15.75" hidden="false" customHeight="true" outlineLevel="0" collapsed="false"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6"/>
      <c r="P974" s="106"/>
    </row>
    <row r="975" customFormat="false" ht="15.75" hidden="false" customHeight="true" outlineLevel="0" collapsed="false"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6"/>
      <c r="P975" s="106"/>
    </row>
    <row r="976" customFormat="false" ht="15.75" hidden="false" customHeight="true" outlineLevel="0" collapsed="false"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6"/>
      <c r="P976" s="106"/>
    </row>
    <row r="977" customFormat="false" ht="15.75" hidden="false" customHeight="true" outlineLevel="0" collapsed="false"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6"/>
      <c r="P977" s="106"/>
    </row>
    <row r="978" customFormat="false" ht="15.75" hidden="false" customHeight="true" outlineLevel="0" collapsed="false"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6"/>
      <c r="P978" s="106"/>
    </row>
    <row r="979" customFormat="false" ht="15.75" hidden="false" customHeight="true" outlineLevel="0" collapsed="false"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6"/>
      <c r="P979" s="106"/>
    </row>
    <row r="980" customFormat="false" ht="15.75" hidden="false" customHeight="true" outlineLevel="0" collapsed="false"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6"/>
      <c r="P980" s="106"/>
    </row>
    <row r="981" customFormat="false" ht="15.75" hidden="false" customHeight="true" outlineLevel="0" collapsed="false"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6"/>
      <c r="P981" s="106"/>
    </row>
    <row r="982" customFormat="false" ht="15.75" hidden="false" customHeight="true" outlineLevel="0" collapsed="false"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6"/>
      <c r="P982" s="106"/>
    </row>
    <row r="983" customFormat="false" ht="15.75" hidden="false" customHeight="true" outlineLevel="0" collapsed="false"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6"/>
      <c r="P983" s="106"/>
    </row>
    <row r="984" customFormat="false" ht="15.75" hidden="false" customHeight="true" outlineLevel="0" collapsed="false"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6"/>
      <c r="P984" s="106"/>
    </row>
    <row r="985" customFormat="false" ht="15.75" hidden="false" customHeight="true" outlineLevel="0" collapsed="false"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6"/>
      <c r="P985" s="106"/>
    </row>
    <row r="986" customFormat="false" ht="15.75" hidden="false" customHeight="true" outlineLevel="0" collapsed="false"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6"/>
      <c r="P986" s="106"/>
    </row>
    <row r="987" customFormat="false" ht="15.75" hidden="false" customHeight="true" outlineLevel="0" collapsed="false"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6"/>
      <c r="P987" s="106"/>
    </row>
    <row r="988" customFormat="false" ht="15.75" hidden="false" customHeight="true" outlineLevel="0" collapsed="false"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6"/>
      <c r="P988" s="106"/>
    </row>
    <row r="989" customFormat="false" ht="15.75" hidden="false" customHeight="true" outlineLevel="0" collapsed="false"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6"/>
      <c r="P989" s="106"/>
    </row>
    <row r="990" customFormat="false" ht="15.75" hidden="false" customHeight="true" outlineLevel="0" collapsed="false"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6"/>
      <c r="P990" s="106"/>
    </row>
    <row r="991" customFormat="false" ht="15.75" hidden="false" customHeight="true" outlineLevel="0" collapsed="false"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6"/>
      <c r="P991" s="106"/>
    </row>
    <row r="992" customFormat="false" ht="15.75" hidden="false" customHeight="true" outlineLevel="0" collapsed="false"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6"/>
      <c r="P992" s="106"/>
    </row>
    <row r="993" customFormat="false" ht="15.75" hidden="false" customHeight="true" outlineLevel="0" collapsed="false"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6"/>
      <c r="P993" s="106"/>
    </row>
    <row r="994" customFormat="false" ht="15.75" hidden="false" customHeight="true" outlineLevel="0" collapsed="false"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6"/>
      <c r="P994" s="106"/>
    </row>
    <row r="995" customFormat="false" ht="15.75" hidden="false" customHeight="true" outlineLevel="0" collapsed="false"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6"/>
      <c r="P995" s="106"/>
    </row>
    <row r="996" customFormat="false" ht="15.75" hidden="false" customHeight="true" outlineLevel="0" collapsed="false"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6"/>
      <c r="P996" s="106"/>
    </row>
    <row r="997" customFormat="false" ht="15.75" hidden="false" customHeight="true" outlineLevel="0" collapsed="false"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6"/>
      <c r="P997" s="106"/>
    </row>
    <row r="998" customFormat="false" ht="15.75" hidden="false" customHeight="true" outlineLevel="0" collapsed="false"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6"/>
      <c r="P998" s="106"/>
    </row>
    <row r="999" customFormat="false" ht="15.75" hidden="false" customHeight="true" outlineLevel="0" collapsed="false"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6"/>
      <c r="P999" s="106"/>
    </row>
    <row r="1000" customFormat="false" ht="15.75" hidden="false" customHeight="true" outlineLevel="0" collapsed="false"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6"/>
      <c r="P1000" s="106"/>
    </row>
    <row r="1001" customFormat="false" ht="15.75" hidden="false" customHeight="true" outlineLevel="0" collapsed="false"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6"/>
      <c r="P1001" s="106"/>
    </row>
    <row r="1002" customFormat="false" ht="15.75" hidden="false" customHeight="true" outlineLevel="0" collapsed="false"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6"/>
      <c r="P1002" s="106"/>
    </row>
    <row r="1003" customFormat="false" ht="15.75" hidden="false" customHeight="true" outlineLevel="0" collapsed="false"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6"/>
      <c r="P1003" s="106"/>
    </row>
    <row r="1004" customFormat="false" ht="15.75" hidden="false" customHeight="true" outlineLevel="0" collapsed="false"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6"/>
      <c r="P1004" s="106"/>
    </row>
    <row r="1005" customFormat="false" ht="15.75" hidden="false" customHeight="true" outlineLevel="0" collapsed="false"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6"/>
      <c r="P1005" s="106"/>
    </row>
    <row r="1006" customFormat="false" ht="15.75" hidden="false" customHeight="true" outlineLevel="0" collapsed="false"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6"/>
      <c r="P1006" s="106"/>
    </row>
    <row r="1007" customFormat="false" ht="15.75" hidden="false" customHeight="true" outlineLevel="0" collapsed="false"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6"/>
      <c r="P1007" s="106"/>
    </row>
    <row r="1008" customFormat="false" ht="15.75" hidden="false" customHeight="true" outlineLevel="0" collapsed="false"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6"/>
      <c r="P1008" s="106"/>
    </row>
    <row r="1009" customFormat="false" ht="15.75" hidden="false" customHeight="true" outlineLevel="0" collapsed="false"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6"/>
      <c r="P1009" s="106"/>
    </row>
    <row r="1010" customFormat="false" ht="15.75" hidden="false" customHeight="true" outlineLevel="0" collapsed="false"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6"/>
      <c r="P1010" s="106"/>
    </row>
    <row r="1011" customFormat="false" ht="15.75" hidden="false" customHeight="true" outlineLevel="0" collapsed="false"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6"/>
      <c r="P1011" s="106"/>
    </row>
    <row r="1012" customFormat="false" ht="15.75" hidden="false" customHeight="true" outlineLevel="0" collapsed="false"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6"/>
      <c r="P1012" s="106"/>
    </row>
    <row r="1013" customFormat="false" ht="15.75" hidden="false" customHeight="true" outlineLevel="0" collapsed="false"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6"/>
      <c r="P1013" s="106"/>
    </row>
    <row r="1014" customFormat="false" ht="15.75" hidden="false" customHeight="true" outlineLevel="0" collapsed="false"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6"/>
      <c r="P1014" s="106"/>
    </row>
    <row r="1015" customFormat="false" ht="15.75" hidden="false" customHeight="true" outlineLevel="0" collapsed="false">
      <c r="D1015" s="105"/>
      <c r="E1015" s="105"/>
      <c r="F1015" s="105"/>
      <c r="G1015" s="105"/>
      <c r="H1015" s="105"/>
      <c r="I1015" s="105"/>
      <c r="J1015" s="105"/>
      <c r="K1015" s="105"/>
      <c r="L1015" s="105"/>
      <c r="M1015" s="105"/>
      <c r="N1015" s="105"/>
      <c r="O1015" s="106"/>
      <c r="P1015" s="106"/>
    </row>
    <row r="1016" customFormat="false" ht="15.75" hidden="false" customHeight="true" outlineLevel="0" collapsed="false">
      <c r="D1016" s="105"/>
      <c r="E1016" s="105"/>
      <c r="F1016" s="105"/>
      <c r="G1016" s="105"/>
      <c r="H1016" s="105"/>
      <c r="I1016" s="105"/>
      <c r="J1016" s="105"/>
      <c r="K1016" s="105"/>
      <c r="L1016" s="105"/>
      <c r="M1016" s="105"/>
      <c r="N1016" s="105"/>
      <c r="O1016" s="106"/>
      <c r="P1016" s="106"/>
    </row>
    <row r="1017" customFormat="false" ht="15.75" hidden="false" customHeight="true" outlineLevel="0" collapsed="false">
      <c r="D1017" s="105"/>
      <c r="E1017" s="105"/>
      <c r="F1017" s="105"/>
      <c r="G1017" s="105"/>
      <c r="H1017" s="105"/>
      <c r="I1017" s="105"/>
      <c r="J1017" s="105"/>
      <c r="K1017" s="105"/>
      <c r="L1017" s="105"/>
      <c r="M1017" s="105"/>
      <c r="N1017" s="105"/>
      <c r="O1017" s="106"/>
      <c r="P1017" s="106"/>
    </row>
    <row r="1018" customFormat="false" ht="15.75" hidden="false" customHeight="true" outlineLevel="0" collapsed="false">
      <c r="D1018" s="105"/>
      <c r="E1018" s="105"/>
      <c r="F1018" s="105"/>
      <c r="G1018" s="105"/>
      <c r="H1018" s="105"/>
      <c r="I1018" s="105"/>
      <c r="J1018" s="105"/>
      <c r="K1018" s="105"/>
      <c r="L1018" s="105"/>
      <c r="M1018" s="105"/>
      <c r="N1018" s="105"/>
      <c r="O1018" s="106"/>
      <c r="P1018" s="106"/>
    </row>
    <row r="1019" customFormat="false" ht="15.75" hidden="false" customHeight="true" outlineLevel="0" collapsed="false">
      <c r="D1019" s="105"/>
      <c r="E1019" s="105"/>
      <c r="F1019" s="105"/>
      <c r="G1019" s="105"/>
      <c r="H1019" s="105"/>
      <c r="I1019" s="105"/>
      <c r="J1019" s="105"/>
      <c r="K1019" s="105"/>
      <c r="L1019" s="105"/>
      <c r="M1019" s="105"/>
      <c r="N1019" s="105"/>
      <c r="O1019" s="106"/>
      <c r="P1019" s="106"/>
    </row>
    <row r="1020" customFormat="false" ht="15.75" hidden="false" customHeight="true" outlineLevel="0" collapsed="false">
      <c r="D1020" s="105"/>
      <c r="E1020" s="105"/>
      <c r="F1020" s="105"/>
      <c r="G1020" s="105"/>
      <c r="H1020" s="105"/>
      <c r="I1020" s="105"/>
      <c r="J1020" s="105"/>
      <c r="K1020" s="105"/>
      <c r="L1020" s="105"/>
      <c r="M1020" s="105"/>
      <c r="N1020" s="105"/>
      <c r="O1020" s="106"/>
      <c r="P1020" s="106"/>
    </row>
    <row r="1021" customFormat="false" ht="15.75" hidden="false" customHeight="true" outlineLevel="0" collapsed="false">
      <c r="D1021" s="105"/>
      <c r="E1021" s="105"/>
      <c r="F1021" s="105"/>
      <c r="G1021" s="105"/>
      <c r="H1021" s="105"/>
      <c r="I1021" s="105"/>
      <c r="J1021" s="105"/>
      <c r="K1021" s="105"/>
      <c r="L1021" s="105"/>
      <c r="M1021" s="105"/>
      <c r="N1021" s="105"/>
      <c r="O1021" s="106"/>
      <c r="P1021" s="106"/>
    </row>
    <row r="1022" customFormat="false" ht="15.75" hidden="false" customHeight="true" outlineLevel="0" collapsed="false"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6"/>
      <c r="P1022" s="106"/>
    </row>
    <row r="1023" customFormat="false" ht="15.75" hidden="false" customHeight="true" outlineLevel="0" collapsed="false"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6"/>
      <c r="P1023" s="106"/>
    </row>
    <row r="1024" customFormat="false" ht="15.75" hidden="false" customHeight="true" outlineLevel="0" collapsed="false"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6"/>
      <c r="P1024" s="106"/>
    </row>
    <row r="1025" customFormat="false" ht="15.75" hidden="false" customHeight="true" outlineLevel="0" collapsed="false">
      <c r="D1025" s="105"/>
      <c r="E1025" s="105"/>
      <c r="F1025" s="105"/>
      <c r="G1025" s="105"/>
      <c r="H1025" s="105"/>
      <c r="I1025" s="105"/>
      <c r="J1025" s="105"/>
      <c r="K1025" s="105"/>
      <c r="L1025" s="105"/>
      <c r="M1025" s="105"/>
      <c r="N1025" s="105"/>
      <c r="O1025" s="106"/>
      <c r="P1025" s="106"/>
    </row>
    <row r="1026" customFormat="false" ht="15.75" hidden="false" customHeight="true" outlineLevel="0" collapsed="false">
      <c r="D1026" s="105"/>
      <c r="E1026" s="105"/>
      <c r="F1026" s="105"/>
      <c r="G1026" s="105"/>
      <c r="H1026" s="105"/>
      <c r="I1026" s="105"/>
      <c r="J1026" s="105"/>
      <c r="K1026" s="105"/>
      <c r="L1026" s="105"/>
      <c r="M1026" s="105"/>
      <c r="N1026" s="105"/>
      <c r="O1026" s="106"/>
      <c r="P1026" s="106"/>
    </row>
    <row r="1027" customFormat="false" ht="15.75" hidden="false" customHeight="true" outlineLevel="0" collapsed="false">
      <c r="D1027" s="105"/>
      <c r="E1027" s="105"/>
      <c r="F1027" s="105"/>
      <c r="G1027" s="105"/>
      <c r="H1027" s="105"/>
      <c r="I1027" s="105"/>
      <c r="J1027" s="105"/>
      <c r="K1027" s="105"/>
      <c r="L1027" s="105"/>
      <c r="M1027" s="105"/>
      <c r="N1027" s="105"/>
      <c r="O1027" s="106"/>
      <c r="P1027" s="106"/>
    </row>
    <row r="1028" customFormat="false" ht="15.75" hidden="false" customHeight="true" outlineLevel="0" collapsed="false">
      <c r="D1028" s="105"/>
      <c r="E1028" s="105"/>
      <c r="F1028" s="105"/>
      <c r="G1028" s="105"/>
      <c r="H1028" s="105"/>
      <c r="I1028" s="105"/>
      <c r="J1028" s="105"/>
      <c r="K1028" s="105"/>
      <c r="L1028" s="105"/>
      <c r="M1028" s="105"/>
      <c r="N1028" s="105"/>
      <c r="O1028" s="106"/>
      <c r="P1028" s="106"/>
    </row>
    <row r="1029" customFormat="false" ht="15.75" hidden="false" customHeight="true" outlineLevel="0" collapsed="false">
      <c r="D1029" s="105"/>
      <c r="E1029" s="105"/>
      <c r="F1029" s="105"/>
      <c r="G1029" s="105"/>
      <c r="H1029" s="105"/>
      <c r="I1029" s="105"/>
      <c r="J1029" s="105"/>
      <c r="K1029" s="105"/>
      <c r="L1029" s="105"/>
      <c r="M1029" s="105"/>
      <c r="N1029" s="105"/>
      <c r="O1029" s="106"/>
      <c r="P1029" s="106"/>
    </row>
    <row r="1030" customFormat="false" ht="15.75" hidden="false" customHeight="true" outlineLevel="0" collapsed="false">
      <c r="D1030" s="105"/>
      <c r="E1030" s="105"/>
      <c r="F1030" s="105"/>
      <c r="G1030" s="105"/>
      <c r="H1030" s="105"/>
      <c r="I1030" s="105"/>
      <c r="J1030" s="105"/>
      <c r="K1030" s="105"/>
      <c r="L1030" s="105"/>
      <c r="M1030" s="105"/>
      <c r="N1030" s="105"/>
      <c r="O1030" s="106"/>
      <c r="P1030" s="106"/>
    </row>
    <row r="1031" customFormat="false" ht="15.75" hidden="false" customHeight="true" outlineLevel="0" collapsed="false">
      <c r="D1031" s="105"/>
      <c r="E1031" s="105"/>
      <c r="F1031" s="105"/>
      <c r="G1031" s="105"/>
      <c r="H1031" s="105"/>
      <c r="I1031" s="105"/>
      <c r="J1031" s="105"/>
      <c r="K1031" s="105"/>
      <c r="L1031" s="105"/>
      <c r="M1031" s="105"/>
      <c r="N1031" s="105"/>
      <c r="O1031" s="106"/>
      <c r="P1031" s="106"/>
    </row>
    <row r="1032" customFormat="false" ht="15.75" hidden="false" customHeight="true" outlineLevel="0" collapsed="false">
      <c r="D1032" s="105"/>
      <c r="E1032" s="105"/>
      <c r="F1032" s="105"/>
      <c r="G1032" s="105"/>
      <c r="H1032" s="105"/>
      <c r="I1032" s="105"/>
      <c r="J1032" s="105"/>
      <c r="K1032" s="105"/>
      <c r="L1032" s="105"/>
      <c r="M1032" s="105"/>
      <c r="N1032" s="105"/>
      <c r="O1032" s="106"/>
      <c r="P1032" s="106"/>
    </row>
    <row r="1033" customFormat="false" ht="15.75" hidden="false" customHeight="true" outlineLevel="0" collapsed="false">
      <c r="D1033" s="105"/>
      <c r="E1033" s="105"/>
      <c r="F1033" s="105"/>
      <c r="G1033" s="105"/>
      <c r="H1033" s="105"/>
      <c r="I1033" s="105"/>
      <c r="J1033" s="105"/>
      <c r="K1033" s="105"/>
      <c r="L1033" s="105"/>
      <c r="M1033" s="105"/>
      <c r="N1033" s="105"/>
      <c r="O1033" s="106"/>
      <c r="P1033" s="106"/>
    </row>
    <row r="1034" customFormat="false" ht="15.75" hidden="false" customHeight="true" outlineLevel="0" collapsed="false">
      <c r="D1034" s="105"/>
      <c r="E1034" s="105"/>
      <c r="F1034" s="105"/>
      <c r="G1034" s="105"/>
      <c r="H1034" s="105"/>
      <c r="I1034" s="105"/>
      <c r="J1034" s="105"/>
      <c r="K1034" s="105"/>
      <c r="L1034" s="105"/>
      <c r="M1034" s="105"/>
      <c r="N1034" s="105"/>
      <c r="O1034" s="106"/>
      <c r="P1034" s="106"/>
    </row>
    <row r="1035" customFormat="false" ht="15.75" hidden="false" customHeight="true" outlineLevel="0" collapsed="false">
      <c r="D1035" s="105"/>
      <c r="E1035" s="105"/>
      <c r="F1035" s="105"/>
      <c r="G1035" s="105"/>
      <c r="H1035" s="105"/>
      <c r="I1035" s="105"/>
      <c r="J1035" s="105"/>
      <c r="K1035" s="105"/>
      <c r="L1035" s="105"/>
      <c r="M1035" s="105"/>
      <c r="N1035" s="105"/>
      <c r="O1035" s="106"/>
      <c r="P1035" s="106"/>
    </row>
    <row r="1036" customFormat="false" ht="15.75" hidden="false" customHeight="true" outlineLevel="0" collapsed="false">
      <c r="D1036" s="105"/>
      <c r="E1036" s="105"/>
      <c r="F1036" s="105"/>
      <c r="G1036" s="105"/>
      <c r="H1036" s="105"/>
      <c r="I1036" s="105"/>
      <c r="J1036" s="105"/>
      <c r="K1036" s="105"/>
      <c r="L1036" s="105"/>
      <c r="M1036" s="105"/>
      <c r="N1036" s="105"/>
      <c r="O1036" s="106"/>
      <c r="P1036" s="106"/>
    </row>
    <row r="1037" customFormat="false" ht="15.75" hidden="false" customHeight="true" outlineLevel="0" collapsed="false">
      <c r="D1037" s="105"/>
      <c r="E1037" s="105"/>
      <c r="F1037" s="105"/>
      <c r="G1037" s="105"/>
      <c r="H1037" s="105"/>
      <c r="I1037" s="105"/>
      <c r="J1037" s="105"/>
      <c r="K1037" s="105"/>
      <c r="L1037" s="105"/>
      <c r="M1037" s="105"/>
      <c r="N1037" s="105"/>
      <c r="O1037" s="106"/>
      <c r="P1037" s="106"/>
    </row>
    <row r="1038" customFormat="false" ht="15.75" hidden="false" customHeight="true" outlineLevel="0" collapsed="false">
      <c r="D1038" s="105"/>
      <c r="E1038" s="105"/>
      <c r="F1038" s="105"/>
      <c r="G1038" s="105"/>
      <c r="H1038" s="105"/>
      <c r="I1038" s="105"/>
      <c r="J1038" s="105"/>
      <c r="K1038" s="105"/>
      <c r="L1038" s="105"/>
      <c r="M1038" s="105"/>
      <c r="N1038" s="105"/>
      <c r="O1038" s="106"/>
      <c r="P1038" s="106"/>
    </row>
    <row r="1039" customFormat="false" ht="15.75" hidden="false" customHeight="true" outlineLevel="0" collapsed="false">
      <c r="D1039" s="105"/>
      <c r="E1039" s="105"/>
      <c r="F1039" s="105"/>
      <c r="G1039" s="105"/>
      <c r="H1039" s="105"/>
      <c r="I1039" s="105"/>
      <c r="J1039" s="105"/>
      <c r="K1039" s="105"/>
      <c r="L1039" s="105"/>
      <c r="M1039" s="105"/>
      <c r="N1039" s="105"/>
      <c r="O1039" s="106"/>
      <c r="P1039" s="106"/>
    </row>
    <row r="1040" customFormat="false" ht="15.75" hidden="false" customHeight="true" outlineLevel="0" collapsed="false">
      <c r="D1040" s="105"/>
      <c r="E1040" s="105"/>
      <c r="F1040" s="105"/>
      <c r="G1040" s="105"/>
      <c r="H1040" s="105"/>
      <c r="I1040" s="105"/>
      <c r="J1040" s="105"/>
      <c r="K1040" s="105"/>
      <c r="L1040" s="105"/>
      <c r="M1040" s="105"/>
      <c r="N1040" s="105"/>
      <c r="O1040" s="106"/>
      <c r="P1040" s="106"/>
    </row>
    <row r="1041" customFormat="false" ht="15.75" hidden="false" customHeight="true" outlineLevel="0" collapsed="false">
      <c r="D1041" s="105"/>
      <c r="E1041" s="105"/>
      <c r="F1041" s="105"/>
      <c r="G1041" s="105"/>
      <c r="H1041" s="105"/>
      <c r="I1041" s="105"/>
      <c r="J1041" s="105"/>
      <c r="K1041" s="105"/>
      <c r="L1041" s="105"/>
      <c r="M1041" s="105"/>
      <c r="N1041" s="105"/>
      <c r="O1041" s="106"/>
      <c r="P1041" s="106"/>
    </row>
    <row r="1042" customFormat="false" ht="15.75" hidden="false" customHeight="true" outlineLevel="0" collapsed="false">
      <c r="D1042" s="105"/>
      <c r="E1042" s="105"/>
      <c r="F1042" s="105"/>
      <c r="G1042" s="105"/>
      <c r="H1042" s="105"/>
      <c r="I1042" s="105"/>
      <c r="J1042" s="105"/>
      <c r="K1042" s="105"/>
      <c r="L1042" s="105"/>
      <c r="M1042" s="105"/>
      <c r="N1042" s="105"/>
      <c r="O1042" s="106"/>
      <c r="P1042" s="106"/>
    </row>
    <row r="1043" customFormat="false" ht="15.75" hidden="false" customHeight="true" outlineLevel="0" collapsed="false">
      <c r="D1043" s="105"/>
      <c r="E1043" s="105"/>
      <c r="F1043" s="105"/>
      <c r="G1043" s="105"/>
      <c r="H1043" s="105"/>
      <c r="I1043" s="105"/>
      <c r="J1043" s="105"/>
      <c r="K1043" s="105"/>
      <c r="L1043" s="105"/>
      <c r="M1043" s="105"/>
      <c r="N1043" s="105"/>
      <c r="O1043" s="106"/>
      <c r="P1043" s="106"/>
    </row>
    <row r="1044" customFormat="false" ht="15.75" hidden="false" customHeight="true" outlineLevel="0" collapsed="false">
      <c r="D1044" s="105"/>
      <c r="E1044" s="105"/>
      <c r="F1044" s="105"/>
      <c r="G1044" s="105"/>
      <c r="H1044" s="105"/>
      <c r="I1044" s="105"/>
      <c r="J1044" s="105"/>
      <c r="K1044" s="105"/>
      <c r="L1044" s="105"/>
      <c r="M1044" s="105"/>
      <c r="N1044" s="105"/>
      <c r="O1044" s="106"/>
      <c r="P1044" s="106"/>
    </row>
    <row r="1045" customFormat="false" ht="15.75" hidden="false" customHeight="true" outlineLevel="0" collapsed="false">
      <c r="D1045" s="105"/>
      <c r="E1045" s="105"/>
      <c r="F1045" s="105"/>
      <c r="G1045" s="105"/>
      <c r="H1045" s="105"/>
      <c r="I1045" s="105"/>
      <c r="J1045" s="105"/>
      <c r="K1045" s="105"/>
      <c r="L1045" s="105"/>
      <c r="M1045" s="105"/>
      <c r="N1045" s="105"/>
      <c r="O1045" s="106"/>
      <c r="P1045" s="106"/>
    </row>
    <row r="1046" customFormat="false" ht="15.75" hidden="false" customHeight="true" outlineLevel="0" collapsed="false">
      <c r="D1046" s="105"/>
      <c r="E1046" s="105"/>
      <c r="F1046" s="105"/>
      <c r="G1046" s="105"/>
      <c r="H1046" s="105"/>
      <c r="I1046" s="105"/>
      <c r="J1046" s="105"/>
      <c r="K1046" s="105"/>
      <c r="L1046" s="105"/>
      <c r="M1046" s="105"/>
      <c r="N1046" s="105"/>
      <c r="O1046" s="106"/>
      <c r="P1046" s="106"/>
    </row>
    <row r="1047" customFormat="false" ht="15.75" hidden="false" customHeight="true" outlineLevel="0" collapsed="false">
      <c r="D1047" s="105"/>
      <c r="E1047" s="105"/>
      <c r="F1047" s="105"/>
      <c r="G1047" s="105"/>
      <c r="H1047" s="105"/>
      <c r="I1047" s="105"/>
      <c r="J1047" s="105"/>
      <c r="K1047" s="105"/>
      <c r="L1047" s="105"/>
      <c r="M1047" s="105"/>
      <c r="N1047" s="105"/>
      <c r="O1047" s="106"/>
      <c r="P1047" s="106"/>
    </row>
    <row r="1048" customFormat="false" ht="15.75" hidden="false" customHeight="true" outlineLevel="0" collapsed="false">
      <c r="D1048" s="105"/>
      <c r="E1048" s="105"/>
      <c r="F1048" s="105"/>
      <c r="G1048" s="105"/>
      <c r="H1048" s="105"/>
      <c r="I1048" s="105"/>
      <c r="J1048" s="105"/>
      <c r="K1048" s="105"/>
      <c r="L1048" s="105"/>
      <c r="M1048" s="105"/>
      <c r="N1048" s="105"/>
      <c r="O1048" s="106"/>
      <c r="P1048" s="106"/>
    </row>
    <row r="1049" customFormat="false" ht="15.75" hidden="false" customHeight="true" outlineLevel="0" collapsed="false">
      <c r="D1049" s="105"/>
      <c r="E1049" s="105"/>
      <c r="F1049" s="105"/>
      <c r="G1049" s="105"/>
      <c r="H1049" s="105"/>
      <c r="I1049" s="105"/>
      <c r="J1049" s="105"/>
      <c r="K1049" s="105"/>
      <c r="L1049" s="105"/>
      <c r="M1049" s="105"/>
      <c r="N1049" s="105"/>
      <c r="O1049" s="106"/>
      <c r="P1049" s="106"/>
    </row>
    <row r="1050" customFormat="false" ht="15.75" hidden="false" customHeight="true" outlineLevel="0" collapsed="false">
      <c r="D1050" s="105"/>
      <c r="E1050" s="105"/>
      <c r="F1050" s="105"/>
      <c r="G1050" s="105"/>
      <c r="H1050" s="105"/>
      <c r="I1050" s="105"/>
      <c r="J1050" s="105"/>
      <c r="K1050" s="105"/>
      <c r="L1050" s="105"/>
      <c r="M1050" s="105"/>
      <c r="N1050" s="105"/>
      <c r="O1050" s="106"/>
      <c r="P1050" s="106"/>
    </row>
    <row r="1051" customFormat="false" ht="15.75" hidden="false" customHeight="true" outlineLevel="0" collapsed="false">
      <c r="D1051" s="105"/>
      <c r="E1051" s="105"/>
      <c r="F1051" s="105"/>
      <c r="G1051" s="105"/>
      <c r="H1051" s="105"/>
      <c r="I1051" s="105"/>
      <c r="J1051" s="105"/>
      <c r="K1051" s="105"/>
      <c r="L1051" s="105"/>
      <c r="M1051" s="105"/>
      <c r="N1051" s="105"/>
      <c r="O1051" s="106"/>
      <c r="P1051" s="106"/>
    </row>
    <row r="1052" customFormat="false" ht="15.75" hidden="false" customHeight="true" outlineLevel="0" collapsed="false">
      <c r="D1052" s="105"/>
      <c r="E1052" s="105"/>
      <c r="F1052" s="105"/>
      <c r="G1052" s="105"/>
      <c r="H1052" s="105"/>
      <c r="I1052" s="105"/>
      <c r="J1052" s="105"/>
      <c r="K1052" s="105"/>
      <c r="L1052" s="105"/>
      <c r="M1052" s="105"/>
      <c r="N1052" s="105"/>
      <c r="O1052" s="106"/>
      <c r="P1052" s="106"/>
    </row>
    <row r="1053" customFormat="false" ht="15.75" hidden="false" customHeight="true" outlineLevel="0" collapsed="false">
      <c r="D1053" s="105"/>
      <c r="E1053" s="105"/>
      <c r="F1053" s="105"/>
      <c r="G1053" s="105"/>
      <c r="H1053" s="105"/>
      <c r="I1053" s="105"/>
      <c r="J1053" s="105"/>
      <c r="K1053" s="105"/>
      <c r="L1053" s="105"/>
      <c r="M1053" s="105"/>
      <c r="N1053" s="105"/>
      <c r="O1053" s="106"/>
      <c r="P1053" s="106"/>
    </row>
    <row r="1054" customFormat="false" ht="15.75" hidden="false" customHeight="true" outlineLevel="0" collapsed="false">
      <c r="D1054" s="105"/>
      <c r="E1054" s="105"/>
      <c r="F1054" s="105"/>
      <c r="G1054" s="105"/>
      <c r="H1054" s="105"/>
      <c r="I1054" s="105"/>
      <c r="J1054" s="105"/>
      <c r="K1054" s="105"/>
      <c r="L1054" s="105"/>
      <c r="M1054" s="105"/>
      <c r="N1054" s="105"/>
      <c r="O1054" s="106"/>
      <c r="P1054" s="106"/>
    </row>
    <row r="1055" customFormat="false" ht="15.75" hidden="false" customHeight="true" outlineLevel="0" collapsed="false">
      <c r="D1055" s="105"/>
      <c r="E1055" s="105"/>
      <c r="F1055" s="105"/>
      <c r="G1055" s="105"/>
      <c r="H1055" s="105"/>
      <c r="I1055" s="105"/>
      <c r="J1055" s="105"/>
      <c r="K1055" s="105"/>
      <c r="L1055" s="105"/>
      <c r="M1055" s="105"/>
      <c r="N1055" s="105"/>
      <c r="O1055" s="106"/>
      <c r="P1055" s="106"/>
    </row>
    <row r="1056" customFormat="false" ht="15.75" hidden="false" customHeight="true" outlineLevel="0" collapsed="false">
      <c r="D1056" s="105"/>
      <c r="E1056" s="105"/>
      <c r="F1056" s="105"/>
      <c r="G1056" s="105"/>
      <c r="H1056" s="105"/>
      <c r="I1056" s="105"/>
      <c r="J1056" s="105"/>
      <c r="K1056" s="105"/>
      <c r="L1056" s="105"/>
      <c r="M1056" s="105"/>
      <c r="N1056" s="105"/>
      <c r="O1056" s="106"/>
      <c r="P1056" s="106"/>
    </row>
    <row r="1057" customFormat="false" ht="15.75" hidden="false" customHeight="true" outlineLevel="0" collapsed="false">
      <c r="D1057" s="105"/>
      <c r="E1057" s="105"/>
      <c r="F1057" s="105"/>
      <c r="G1057" s="105"/>
      <c r="H1057" s="105"/>
      <c r="I1057" s="105"/>
      <c r="J1057" s="105"/>
      <c r="K1057" s="105"/>
      <c r="L1057" s="105"/>
      <c r="M1057" s="105"/>
      <c r="N1057" s="105"/>
      <c r="O1057" s="106"/>
      <c r="P1057" s="106"/>
    </row>
    <row r="1058" customFormat="false" ht="15.75" hidden="false" customHeight="true" outlineLevel="0" collapsed="false">
      <c r="D1058" s="105"/>
      <c r="E1058" s="105"/>
      <c r="F1058" s="105"/>
      <c r="G1058" s="105"/>
      <c r="H1058" s="105"/>
      <c r="I1058" s="105"/>
      <c r="J1058" s="105"/>
      <c r="K1058" s="105"/>
      <c r="L1058" s="105"/>
      <c r="M1058" s="105"/>
      <c r="N1058" s="105"/>
      <c r="O1058" s="106"/>
      <c r="P1058" s="106"/>
    </row>
    <row r="1059" customFormat="false" ht="15.75" hidden="false" customHeight="true" outlineLevel="0" collapsed="false">
      <c r="D1059" s="105"/>
      <c r="E1059" s="105"/>
      <c r="F1059" s="105"/>
      <c r="G1059" s="105"/>
      <c r="H1059" s="105"/>
      <c r="I1059" s="105"/>
      <c r="J1059" s="105"/>
      <c r="K1059" s="105"/>
      <c r="L1059" s="105"/>
      <c r="M1059" s="105"/>
      <c r="N1059" s="105"/>
      <c r="O1059" s="106"/>
      <c r="P1059" s="106"/>
    </row>
    <row r="1060" customFormat="false" ht="15.75" hidden="false" customHeight="true" outlineLevel="0" collapsed="false">
      <c r="D1060" s="105"/>
      <c r="E1060" s="105"/>
      <c r="F1060" s="105"/>
      <c r="G1060" s="105"/>
      <c r="H1060" s="105"/>
      <c r="I1060" s="105"/>
      <c r="J1060" s="105"/>
      <c r="K1060" s="105"/>
      <c r="L1060" s="105"/>
      <c r="M1060" s="105"/>
      <c r="N1060" s="105"/>
      <c r="O1060" s="106"/>
      <c r="P1060" s="106"/>
    </row>
    <row r="1061" customFormat="false" ht="15.75" hidden="false" customHeight="true" outlineLevel="0" collapsed="false">
      <c r="D1061" s="105"/>
      <c r="E1061" s="105"/>
      <c r="F1061" s="105"/>
      <c r="G1061" s="105"/>
      <c r="H1061" s="105"/>
      <c r="I1061" s="105"/>
      <c r="J1061" s="105"/>
      <c r="K1061" s="105"/>
      <c r="L1061" s="105"/>
      <c r="M1061" s="105"/>
      <c r="N1061" s="105"/>
      <c r="O1061" s="106"/>
      <c r="P1061" s="106"/>
    </row>
    <row r="1062" customFormat="false" ht="15.75" hidden="false" customHeight="true" outlineLevel="0" collapsed="false">
      <c r="D1062" s="105"/>
      <c r="E1062" s="105"/>
      <c r="F1062" s="105"/>
      <c r="G1062" s="105"/>
      <c r="H1062" s="105"/>
      <c r="I1062" s="105"/>
      <c r="J1062" s="105"/>
      <c r="K1062" s="105"/>
      <c r="L1062" s="105"/>
      <c r="M1062" s="105"/>
      <c r="N1062" s="105"/>
      <c r="O1062" s="106"/>
      <c r="P1062" s="106"/>
    </row>
    <row r="1063" customFormat="false" ht="15.75" hidden="false" customHeight="true" outlineLevel="0" collapsed="false">
      <c r="D1063" s="105"/>
      <c r="E1063" s="105"/>
      <c r="F1063" s="105"/>
      <c r="G1063" s="105"/>
      <c r="H1063" s="105"/>
      <c r="I1063" s="105"/>
      <c r="J1063" s="105"/>
      <c r="K1063" s="105"/>
      <c r="L1063" s="105"/>
      <c r="M1063" s="105"/>
      <c r="N1063" s="105"/>
      <c r="O1063" s="106"/>
      <c r="P1063" s="106"/>
    </row>
    <row r="1064" customFormat="false" ht="15.75" hidden="false" customHeight="true" outlineLevel="0" collapsed="false">
      <c r="D1064" s="105"/>
      <c r="E1064" s="105"/>
      <c r="F1064" s="105"/>
      <c r="G1064" s="105"/>
      <c r="H1064" s="105"/>
      <c r="I1064" s="105"/>
      <c r="J1064" s="105"/>
      <c r="K1064" s="105"/>
      <c r="L1064" s="105"/>
      <c r="M1064" s="105"/>
      <c r="N1064" s="105"/>
      <c r="O1064" s="106"/>
      <c r="P1064" s="106"/>
    </row>
    <row r="1065" customFormat="false" ht="15.75" hidden="false" customHeight="true" outlineLevel="0" collapsed="false">
      <c r="D1065" s="105"/>
      <c r="E1065" s="105"/>
      <c r="F1065" s="105"/>
      <c r="G1065" s="105"/>
      <c r="H1065" s="105"/>
      <c r="I1065" s="105"/>
      <c r="J1065" s="105"/>
      <c r="K1065" s="105"/>
      <c r="L1065" s="105"/>
      <c r="M1065" s="105"/>
      <c r="N1065" s="105"/>
      <c r="O1065" s="106"/>
      <c r="P1065" s="106"/>
    </row>
    <row r="1066" customFormat="false" ht="15.75" hidden="false" customHeight="true" outlineLevel="0" collapsed="false">
      <c r="D1066" s="105"/>
      <c r="E1066" s="105"/>
      <c r="F1066" s="105"/>
      <c r="G1066" s="105"/>
      <c r="H1066" s="105"/>
      <c r="I1066" s="105"/>
      <c r="J1066" s="105"/>
      <c r="K1066" s="105"/>
      <c r="L1066" s="105"/>
      <c r="M1066" s="105"/>
      <c r="N1066" s="105"/>
      <c r="O1066" s="106"/>
      <c r="P1066" s="106"/>
    </row>
    <row r="1067" customFormat="false" ht="15.75" hidden="false" customHeight="true" outlineLevel="0" collapsed="false">
      <c r="D1067" s="105"/>
      <c r="E1067" s="105"/>
      <c r="F1067" s="105"/>
      <c r="G1067" s="105"/>
      <c r="H1067" s="105"/>
      <c r="I1067" s="105"/>
      <c r="J1067" s="105"/>
      <c r="K1067" s="105"/>
      <c r="L1067" s="105"/>
      <c r="M1067" s="105"/>
      <c r="N1067" s="105"/>
      <c r="O1067" s="106"/>
      <c r="P1067" s="106"/>
    </row>
    <row r="1068" customFormat="false" ht="15.75" hidden="false" customHeight="true" outlineLevel="0" collapsed="false">
      <c r="D1068" s="105"/>
      <c r="E1068" s="105"/>
      <c r="F1068" s="105"/>
      <c r="G1068" s="105"/>
      <c r="H1068" s="105"/>
      <c r="I1068" s="105"/>
      <c r="J1068" s="105"/>
      <c r="K1068" s="105"/>
      <c r="L1068" s="105"/>
      <c r="M1068" s="105"/>
      <c r="N1068" s="105"/>
      <c r="O1068" s="106"/>
      <c r="P1068" s="106"/>
    </row>
    <row r="1069" customFormat="false" ht="15.75" hidden="false" customHeight="true" outlineLevel="0" collapsed="false">
      <c r="D1069" s="105"/>
      <c r="E1069" s="105"/>
      <c r="F1069" s="105"/>
      <c r="G1069" s="105"/>
      <c r="H1069" s="105"/>
      <c r="I1069" s="105"/>
      <c r="J1069" s="105"/>
      <c r="K1069" s="105"/>
      <c r="L1069" s="105"/>
      <c r="M1069" s="105"/>
      <c r="N1069" s="105"/>
      <c r="O1069" s="106"/>
      <c r="P1069" s="106"/>
    </row>
    <row r="1070" customFormat="false" ht="15.75" hidden="false" customHeight="true" outlineLevel="0" collapsed="false">
      <c r="D1070" s="105"/>
      <c r="E1070" s="105"/>
      <c r="F1070" s="105"/>
      <c r="G1070" s="105"/>
      <c r="H1070" s="105"/>
      <c r="I1070" s="105"/>
      <c r="J1070" s="105"/>
      <c r="K1070" s="105"/>
      <c r="L1070" s="105"/>
      <c r="M1070" s="105"/>
      <c r="N1070" s="105"/>
      <c r="O1070" s="106"/>
      <c r="P1070" s="106"/>
    </row>
    <row r="1071" customFormat="false" ht="15.75" hidden="false" customHeight="true" outlineLevel="0" collapsed="false">
      <c r="D1071" s="105"/>
      <c r="E1071" s="105"/>
      <c r="F1071" s="105"/>
      <c r="G1071" s="105"/>
      <c r="H1071" s="105"/>
      <c r="I1071" s="105"/>
      <c r="J1071" s="105"/>
      <c r="K1071" s="105"/>
      <c r="L1071" s="105"/>
      <c r="M1071" s="105"/>
      <c r="N1071" s="105"/>
      <c r="O1071" s="106"/>
      <c r="P1071" s="106"/>
    </row>
    <row r="1072" customFormat="false" ht="15.75" hidden="false" customHeight="true" outlineLevel="0" collapsed="false">
      <c r="D1072" s="105"/>
      <c r="E1072" s="105"/>
      <c r="F1072" s="105"/>
      <c r="G1072" s="105"/>
      <c r="H1072" s="105"/>
      <c r="I1072" s="105"/>
      <c r="J1072" s="105"/>
      <c r="K1072" s="105"/>
      <c r="L1072" s="105"/>
      <c r="M1072" s="105"/>
      <c r="N1072" s="105"/>
      <c r="O1072" s="106"/>
      <c r="P1072" s="106"/>
    </row>
    <row r="1073" customFormat="false" ht="15.75" hidden="false" customHeight="true" outlineLevel="0" collapsed="false">
      <c r="D1073" s="105"/>
      <c r="E1073" s="105"/>
      <c r="F1073" s="105"/>
      <c r="G1073" s="105"/>
      <c r="H1073" s="105"/>
      <c r="I1073" s="105"/>
      <c r="J1073" s="105"/>
      <c r="K1073" s="105"/>
      <c r="L1073" s="105"/>
      <c r="M1073" s="105"/>
      <c r="N1073" s="105"/>
      <c r="O1073" s="106"/>
      <c r="P1073" s="106"/>
    </row>
    <row r="1074" customFormat="false" ht="15.75" hidden="false" customHeight="true" outlineLevel="0" collapsed="false">
      <c r="D1074" s="105"/>
      <c r="E1074" s="105"/>
      <c r="F1074" s="105"/>
      <c r="G1074" s="105"/>
      <c r="H1074" s="105"/>
      <c r="I1074" s="105"/>
      <c r="J1074" s="105"/>
      <c r="K1074" s="105"/>
      <c r="L1074" s="105"/>
      <c r="M1074" s="105"/>
      <c r="N1074" s="105"/>
      <c r="O1074" s="106"/>
      <c r="P1074" s="106"/>
    </row>
    <row r="1075" customFormat="false" ht="15.75" hidden="false" customHeight="true" outlineLevel="0" collapsed="false">
      <c r="D1075" s="105"/>
      <c r="E1075" s="105"/>
      <c r="F1075" s="105"/>
      <c r="G1075" s="105"/>
      <c r="H1075" s="105"/>
      <c r="I1075" s="105"/>
      <c r="J1075" s="105"/>
      <c r="K1075" s="105"/>
      <c r="L1075" s="105"/>
      <c r="M1075" s="105"/>
      <c r="N1075" s="105"/>
      <c r="O1075" s="106"/>
      <c r="P1075" s="106"/>
    </row>
    <row r="1076" customFormat="false" ht="15.75" hidden="false" customHeight="true" outlineLevel="0" collapsed="false">
      <c r="D1076" s="105"/>
      <c r="E1076" s="105"/>
      <c r="F1076" s="105"/>
      <c r="G1076" s="105"/>
      <c r="H1076" s="105"/>
      <c r="I1076" s="105"/>
      <c r="J1076" s="105"/>
      <c r="K1076" s="105"/>
      <c r="L1076" s="105"/>
      <c r="M1076" s="105"/>
      <c r="N1076" s="105"/>
      <c r="O1076" s="106"/>
      <c r="P1076" s="106"/>
    </row>
    <row r="1077" customFormat="false" ht="15.75" hidden="false" customHeight="true" outlineLevel="0" collapsed="false">
      <c r="D1077" s="105"/>
      <c r="E1077" s="105"/>
      <c r="F1077" s="105"/>
      <c r="G1077" s="105"/>
      <c r="H1077" s="105"/>
      <c r="I1077" s="105"/>
      <c r="J1077" s="105"/>
      <c r="K1077" s="105"/>
      <c r="L1077" s="105"/>
      <c r="M1077" s="105"/>
      <c r="N1077" s="105"/>
      <c r="O1077" s="106"/>
      <c r="P1077" s="106"/>
    </row>
    <row r="1078" customFormat="false" ht="15.75" hidden="false" customHeight="true" outlineLevel="0" collapsed="false">
      <c r="D1078" s="105"/>
      <c r="E1078" s="105"/>
      <c r="F1078" s="105"/>
      <c r="G1078" s="105"/>
      <c r="H1078" s="105"/>
      <c r="I1078" s="105"/>
      <c r="J1078" s="105"/>
      <c r="K1078" s="105"/>
      <c r="L1078" s="105"/>
      <c r="M1078" s="105"/>
      <c r="N1078" s="105"/>
      <c r="O1078" s="106"/>
      <c r="P1078" s="106"/>
    </row>
    <row r="1079" customFormat="false" ht="15.75" hidden="false" customHeight="true" outlineLevel="0" collapsed="false">
      <c r="D1079" s="105"/>
      <c r="E1079" s="105"/>
      <c r="F1079" s="105"/>
      <c r="G1079" s="105"/>
      <c r="H1079" s="105"/>
      <c r="I1079" s="105"/>
      <c r="J1079" s="105"/>
      <c r="K1079" s="105"/>
      <c r="L1079" s="105"/>
      <c r="M1079" s="105"/>
      <c r="N1079" s="105"/>
      <c r="O1079" s="106"/>
      <c r="P1079" s="106"/>
    </row>
    <row r="1080" customFormat="false" ht="15.75" hidden="false" customHeight="true" outlineLevel="0" collapsed="false">
      <c r="D1080" s="105"/>
      <c r="E1080" s="105"/>
      <c r="F1080" s="105"/>
      <c r="G1080" s="105"/>
      <c r="H1080" s="105"/>
      <c r="I1080" s="105"/>
      <c r="J1080" s="105"/>
      <c r="K1080" s="105"/>
      <c r="L1080" s="105"/>
      <c r="M1080" s="105"/>
      <c r="N1080" s="105"/>
      <c r="O1080" s="106"/>
      <c r="P1080" s="106"/>
    </row>
    <row r="1081" customFormat="false" ht="15.75" hidden="false" customHeight="true" outlineLevel="0" collapsed="false">
      <c r="D1081" s="105"/>
      <c r="E1081" s="105"/>
      <c r="F1081" s="105"/>
      <c r="G1081" s="105"/>
      <c r="H1081" s="105"/>
      <c r="I1081" s="105"/>
      <c r="J1081" s="105"/>
      <c r="K1081" s="105"/>
      <c r="L1081" s="105"/>
      <c r="M1081" s="105"/>
      <c r="N1081" s="105"/>
      <c r="O1081" s="106"/>
      <c r="P1081" s="106"/>
    </row>
    <row r="1082" customFormat="false" ht="15.75" hidden="false" customHeight="true" outlineLevel="0" collapsed="false">
      <c r="D1082" s="105"/>
      <c r="E1082" s="105"/>
      <c r="F1082" s="105"/>
      <c r="G1082" s="105"/>
      <c r="H1082" s="105"/>
      <c r="I1082" s="105"/>
      <c r="J1082" s="105"/>
      <c r="K1082" s="105"/>
      <c r="L1082" s="105"/>
      <c r="M1082" s="105"/>
      <c r="N1082" s="105"/>
      <c r="O1082" s="106"/>
      <c r="P1082" s="106"/>
    </row>
    <row r="1083" customFormat="false" ht="15.75" hidden="false" customHeight="true" outlineLevel="0" collapsed="false">
      <c r="D1083" s="105"/>
      <c r="E1083" s="105"/>
      <c r="F1083" s="105"/>
      <c r="G1083" s="105"/>
      <c r="H1083" s="105"/>
      <c r="I1083" s="105"/>
      <c r="J1083" s="105"/>
      <c r="K1083" s="105"/>
      <c r="L1083" s="105"/>
      <c r="M1083" s="105"/>
      <c r="N1083" s="105"/>
      <c r="O1083" s="106"/>
      <c r="P1083" s="106"/>
    </row>
    <row r="1084" customFormat="false" ht="15.75" hidden="false" customHeight="true" outlineLevel="0" collapsed="false">
      <c r="D1084" s="105"/>
      <c r="E1084" s="105"/>
      <c r="F1084" s="105"/>
      <c r="G1084" s="105"/>
      <c r="H1084" s="105"/>
      <c r="I1084" s="105"/>
      <c r="J1084" s="105"/>
      <c r="K1084" s="105"/>
      <c r="L1084" s="105"/>
      <c r="M1084" s="105"/>
      <c r="N1084" s="105"/>
      <c r="O1084" s="106"/>
      <c r="P1084" s="106"/>
    </row>
    <row r="1085" customFormat="false" ht="15.75" hidden="false" customHeight="true" outlineLevel="0" collapsed="false">
      <c r="D1085" s="105"/>
      <c r="E1085" s="105"/>
      <c r="F1085" s="105"/>
      <c r="G1085" s="105"/>
      <c r="H1085" s="105"/>
      <c r="I1085" s="105"/>
      <c r="J1085" s="105"/>
      <c r="K1085" s="105"/>
      <c r="L1085" s="105"/>
      <c r="M1085" s="105"/>
      <c r="N1085" s="105"/>
      <c r="O1085" s="106"/>
      <c r="P1085" s="106"/>
    </row>
    <row r="1086" customFormat="false" ht="15.75" hidden="false" customHeight="true" outlineLevel="0" collapsed="false">
      <c r="D1086" s="105"/>
      <c r="E1086" s="105"/>
      <c r="F1086" s="105"/>
      <c r="G1086" s="105"/>
      <c r="H1086" s="105"/>
      <c r="I1086" s="105"/>
      <c r="J1086" s="105"/>
      <c r="K1086" s="105"/>
      <c r="L1086" s="105"/>
      <c r="M1086" s="105"/>
      <c r="N1086" s="105"/>
      <c r="O1086" s="106"/>
      <c r="P1086" s="106"/>
    </row>
    <row r="1087" customFormat="false" ht="15.75" hidden="false" customHeight="true" outlineLevel="0" collapsed="false">
      <c r="D1087" s="105"/>
      <c r="E1087" s="105"/>
      <c r="F1087" s="105"/>
      <c r="G1087" s="105"/>
      <c r="H1087" s="105"/>
      <c r="I1087" s="105"/>
      <c r="J1087" s="105"/>
      <c r="K1087" s="105"/>
      <c r="L1087" s="105"/>
      <c r="M1087" s="105"/>
      <c r="N1087" s="105"/>
      <c r="O1087" s="106"/>
      <c r="P1087" s="106"/>
    </row>
    <row r="1088" customFormat="false" ht="15.75" hidden="false" customHeight="true" outlineLevel="0" collapsed="false">
      <c r="D1088" s="105"/>
      <c r="E1088" s="105"/>
      <c r="F1088" s="105"/>
      <c r="G1088" s="105"/>
      <c r="H1088" s="105"/>
      <c r="I1088" s="105"/>
      <c r="J1088" s="105"/>
      <c r="K1088" s="105"/>
      <c r="L1088" s="105"/>
      <c r="M1088" s="105"/>
      <c r="N1088" s="105"/>
      <c r="O1088" s="106"/>
      <c r="P1088" s="106"/>
    </row>
    <row r="1089" customFormat="false" ht="15.75" hidden="false" customHeight="true" outlineLevel="0" collapsed="false">
      <c r="D1089" s="105"/>
      <c r="E1089" s="105"/>
      <c r="F1089" s="105"/>
      <c r="G1089" s="105"/>
      <c r="H1089" s="105"/>
      <c r="I1089" s="105"/>
      <c r="J1089" s="105"/>
      <c r="K1089" s="105"/>
      <c r="L1089" s="105"/>
      <c r="M1089" s="105"/>
      <c r="N1089" s="105"/>
      <c r="O1089" s="106"/>
      <c r="P1089" s="106"/>
    </row>
    <row r="1090" customFormat="false" ht="15.75" hidden="false" customHeight="true" outlineLevel="0" collapsed="false">
      <c r="D1090" s="105"/>
      <c r="E1090" s="105"/>
      <c r="F1090" s="105"/>
      <c r="G1090" s="105"/>
      <c r="H1090" s="105"/>
      <c r="I1090" s="105"/>
      <c r="J1090" s="105"/>
      <c r="K1090" s="105"/>
      <c r="L1090" s="105"/>
      <c r="M1090" s="105"/>
      <c r="N1090" s="105"/>
      <c r="O1090" s="106"/>
      <c r="P1090" s="106"/>
    </row>
    <row r="1091" customFormat="false" ht="15.75" hidden="false" customHeight="true" outlineLevel="0" collapsed="false">
      <c r="D1091" s="105"/>
      <c r="E1091" s="105"/>
      <c r="F1091" s="105"/>
      <c r="G1091" s="105"/>
      <c r="H1091" s="105"/>
      <c r="I1091" s="105"/>
      <c r="J1091" s="105"/>
      <c r="K1091" s="105"/>
      <c r="L1091" s="105"/>
      <c r="M1091" s="105"/>
      <c r="N1091" s="105"/>
      <c r="O1091" s="106"/>
      <c r="P1091" s="106"/>
    </row>
    <row r="1092" customFormat="false" ht="15.75" hidden="false" customHeight="true" outlineLevel="0" collapsed="false">
      <c r="D1092" s="105"/>
      <c r="E1092" s="105"/>
      <c r="F1092" s="105"/>
      <c r="G1092" s="105"/>
      <c r="H1092" s="105"/>
      <c r="I1092" s="105"/>
      <c r="J1092" s="105"/>
      <c r="K1092" s="105"/>
      <c r="L1092" s="105"/>
      <c r="M1092" s="105"/>
      <c r="N1092" s="105"/>
      <c r="O1092" s="106"/>
      <c r="P1092" s="106"/>
    </row>
    <row r="1093" customFormat="false" ht="15.75" hidden="false" customHeight="true" outlineLevel="0" collapsed="false">
      <c r="D1093" s="105"/>
      <c r="E1093" s="105"/>
      <c r="F1093" s="105"/>
      <c r="G1093" s="105"/>
      <c r="H1093" s="105"/>
      <c r="I1093" s="105"/>
      <c r="J1093" s="105"/>
      <c r="K1093" s="105"/>
      <c r="L1093" s="105"/>
      <c r="M1093" s="105"/>
      <c r="N1093" s="105"/>
      <c r="O1093" s="106"/>
      <c r="P1093" s="106"/>
    </row>
    <row r="1094" customFormat="false" ht="15.75" hidden="false" customHeight="true" outlineLevel="0" collapsed="false">
      <c r="D1094" s="105"/>
      <c r="E1094" s="105"/>
      <c r="F1094" s="105"/>
      <c r="G1094" s="105"/>
      <c r="H1094" s="105"/>
      <c r="I1094" s="105"/>
      <c r="J1094" s="105"/>
      <c r="K1094" s="105"/>
      <c r="L1094" s="105"/>
      <c r="M1094" s="105"/>
      <c r="N1094" s="105"/>
      <c r="O1094" s="106"/>
      <c r="P1094" s="106"/>
    </row>
    <row r="1095" customFormat="false" ht="15.75" hidden="false" customHeight="true" outlineLevel="0" collapsed="false">
      <c r="D1095" s="105"/>
      <c r="E1095" s="105"/>
      <c r="F1095" s="105"/>
      <c r="G1095" s="105"/>
      <c r="H1095" s="105"/>
      <c r="I1095" s="105"/>
      <c r="J1095" s="105"/>
      <c r="K1095" s="105"/>
      <c r="L1095" s="105"/>
      <c r="M1095" s="105"/>
      <c r="N1095" s="105"/>
      <c r="O1095" s="106"/>
      <c r="P1095" s="106"/>
    </row>
    <row r="1096" customFormat="false" ht="15.75" hidden="false" customHeight="true" outlineLevel="0" collapsed="false">
      <c r="D1096" s="105"/>
      <c r="E1096" s="105"/>
      <c r="F1096" s="105"/>
      <c r="G1096" s="105"/>
      <c r="H1096" s="105"/>
      <c r="I1096" s="105"/>
      <c r="J1096" s="105"/>
      <c r="K1096" s="105"/>
      <c r="L1096" s="105"/>
      <c r="M1096" s="105"/>
      <c r="N1096" s="105"/>
      <c r="O1096" s="106"/>
      <c r="P1096" s="106"/>
    </row>
    <row r="1097" customFormat="false" ht="15.75" hidden="false" customHeight="true" outlineLevel="0" collapsed="false">
      <c r="D1097" s="105"/>
      <c r="E1097" s="105"/>
      <c r="F1097" s="105"/>
      <c r="G1097" s="105"/>
      <c r="H1097" s="105"/>
      <c r="I1097" s="105"/>
      <c r="J1097" s="105"/>
      <c r="K1097" s="105"/>
      <c r="L1097" s="105"/>
      <c r="M1097" s="105"/>
      <c r="N1097" s="105"/>
      <c r="O1097" s="106"/>
      <c r="P1097" s="106"/>
    </row>
    <row r="1098" customFormat="false" ht="15.75" hidden="false" customHeight="true" outlineLevel="0" collapsed="false">
      <c r="D1098" s="105"/>
      <c r="E1098" s="105"/>
      <c r="F1098" s="105"/>
      <c r="G1098" s="105"/>
      <c r="H1098" s="105"/>
      <c r="I1098" s="105"/>
      <c r="J1098" s="105"/>
      <c r="K1098" s="105"/>
      <c r="L1098" s="105"/>
      <c r="M1098" s="105"/>
      <c r="N1098" s="105"/>
      <c r="O1098" s="106"/>
      <c r="P1098" s="106"/>
    </row>
    <row r="1099" customFormat="false" ht="15.75" hidden="false" customHeight="true" outlineLevel="0" collapsed="false">
      <c r="D1099" s="105"/>
      <c r="E1099" s="105"/>
      <c r="F1099" s="105"/>
      <c r="G1099" s="105"/>
      <c r="H1099" s="105"/>
      <c r="I1099" s="105"/>
      <c r="J1099" s="105"/>
      <c r="K1099" s="105"/>
      <c r="L1099" s="105"/>
      <c r="M1099" s="105"/>
      <c r="N1099" s="105"/>
      <c r="O1099" s="106"/>
      <c r="P1099" s="106"/>
    </row>
    <row r="1100" customFormat="false" ht="15.75" hidden="false" customHeight="true" outlineLevel="0" collapsed="false"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6"/>
      <c r="P1100" s="106"/>
    </row>
    <row r="1101" customFormat="false" ht="15.75" hidden="false" customHeight="true" outlineLevel="0" collapsed="false">
      <c r="D1101" s="105"/>
      <c r="E1101" s="105"/>
      <c r="F1101" s="105"/>
      <c r="G1101" s="105"/>
      <c r="H1101" s="105"/>
      <c r="I1101" s="105"/>
      <c r="J1101" s="105"/>
      <c r="K1101" s="105"/>
      <c r="L1101" s="105"/>
      <c r="M1101" s="105"/>
      <c r="N1101" s="105"/>
      <c r="O1101" s="106"/>
      <c r="P1101" s="106"/>
    </row>
    <row r="1102" customFormat="false" ht="15.75" hidden="false" customHeight="true" outlineLevel="0" collapsed="false">
      <c r="D1102" s="105"/>
      <c r="E1102" s="105"/>
      <c r="F1102" s="105"/>
      <c r="G1102" s="105"/>
      <c r="H1102" s="105"/>
      <c r="I1102" s="105"/>
      <c r="J1102" s="105"/>
      <c r="K1102" s="105"/>
      <c r="L1102" s="105"/>
      <c r="M1102" s="105"/>
      <c r="N1102" s="105"/>
      <c r="O1102" s="106"/>
      <c r="P1102" s="106"/>
    </row>
    <row r="1103" customFormat="false" ht="15.75" hidden="false" customHeight="true" outlineLevel="0" collapsed="false">
      <c r="D1103" s="105"/>
      <c r="E1103" s="105"/>
      <c r="F1103" s="105"/>
      <c r="G1103" s="105"/>
      <c r="H1103" s="105"/>
      <c r="I1103" s="105"/>
      <c r="J1103" s="105"/>
      <c r="K1103" s="105"/>
      <c r="L1103" s="105"/>
      <c r="M1103" s="105"/>
      <c r="N1103" s="105"/>
      <c r="O1103" s="106"/>
      <c r="P1103" s="106"/>
    </row>
    <row r="1104" customFormat="false" ht="15.75" hidden="false" customHeight="true" outlineLevel="0" collapsed="false">
      <c r="D1104" s="105"/>
      <c r="E1104" s="105"/>
      <c r="F1104" s="105"/>
      <c r="G1104" s="105"/>
      <c r="H1104" s="105"/>
      <c r="I1104" s="105"/>
      <c r="J1104" s="105"/>
      <c r="K1104" s="105"/>
      <c r="L1104" s="105"/>
      <c r="M1104" s="105"/>
      <c r="N1104" s="105"/>
      <c r="O1104" s="106"/>
      <c r="P1104" s="106"/>
    </row>
    <row r="1105" customFormat="false" ht="15.75" hidden="false" customHeight="true" outlineLevel="0" collapsed="false">
      <c r="D1105" s="105"/>
      <c r="E1105" s="105"/>
      <c r="F1105" s="105"/>
      <c r="G1105" s="105"/>
      <c r="H1105" s="105"/>
      <c r="I1105" s="105"/>
      <c r="J1105" s="105"/>
      <c r="K1105" s="105"/>
      <c r="L1105" s="105"/>
      <c r="M1105" s="105"/>
      <c r="N1105" s="105"/>
      <c r="O1105" s="106"/>
      <c r="P1105" s="106"/>
    </row>
    <row r="1106" customFormat="false" ht="15.75" hidden="false" customHeight="true" outlineLevel="0" collapsed="false">
      <c r="D1106" s="105"/>
      <c r="E1106" s="105"/>
      <c r="F1106" s="105"/>
      <c r="G1106" s="105"/>
      <c r="H1106" s="105"/>
      <c r="I1106" s="105"/>
      <c r="J1106" s="105"/>
      <c r="K1106" s="105"/>
      <c r="L1106" s="105"/>
      <c r="M1106" s="105"/>
      <c r="N1106" s="105"/>
      <c r="O1106" s="106"/>
      <c r="P1106" s="106"/>
    </row>
    <row r="1107" customFormat="false" ht="15.75" hidden="false" customHeight="true" outlineLevel="0" collapsed="false">
      <c r="D1107" s="105"/>
      <c r="E1107" s="105"/>
      <c r="F1107" s="105"/>
      <c r="G1107" s="105"/>
      <c r="H1107" s="105"/>
      <c r="I1107" s="105"/>
      <c r="J1107" s="105"/>
      <c r="K1107" s="105"/>
      <c r="L1107" s="105"/>
      <c r="M1107" s="105"/>
      <c r="N1107" s="105"/>
      <c r="O1107" s="106"/>
      <c r="P1107" s="106"/>
    </row>
    <row r="1108" customFormat="false" ht="15.75" hidden="false" customHeight="true" outlineLevel="0" collapsed="false">
      <c r="D1108" s="105"/>
      <c r="E1108" s="105"/>
      <c r="F1108" s="105"/>
      <c r="G1108" s="105"/>
      <c r="H1108" s="105"/>
      <c r="I1108" s="105"/>
      <c r="J1108" s="105"/>
      <c r="K1108" s="105"/>
      <c r="L1108" s="105"/>
      <c r="M1108" s="105"/>
      <c r="N1108" s="105"/>
      <c r="O1108" s="106"/>
      <c r="P1108" s="106"/>
    </row>
    <row r="1109" customFormat="false" ht="15.75" hidden="false" customHeight="true" outlineLevel="0" collapsed="false">
      <c r="D1109" s="105"/>
      <c r="E1109" s="105"/>
      <c r="F1109" s="105"/>
      <c r="G1109" s="105"/>
      <c r="H1109" s="105"/>
      <c r="I1109" s="105"/>
      <c r="J1109" s="105"/>
      <c r="K1109" s="105"/>
      <c r="L1109" s="105"/>
      <c r="M1109" s="105"/>
      <c r="N1109" s="105"/>
      <c r="O1109" s="106"/>
      <c r="P1109" s="106"/>
    </row>
    <row r="1110" customFormat="false" ht="15.75" hidden="false" customHeight="true" outlineLevel="0" collapsed="false">
      <c r="D1110" s="105"/>
      <c r="E1110" s="105"/>
      <c r="F1110" s="105"/>
      <c r="G1110" s="105"/>
      <c r="H1110" s="105"/>
      <c r="I1110" s="105"/>
      <c r="J1110" s="105"/>
      <c r="K1110" s="105"/>
      <c r="L1110" s="105"/>
      <c r="M1110" s="105"/>
      <c r="N1110" s="105"/>
      <c r="O1110" s="106"/>
      <c r="P1110" s="106"/>
    </row>
    <row r="1111" customFormat="false" ht="15.75" hidden="false" customHeight="true" outlineLevel="0" collapsed="false">
      <c r="D1111" s="105"/>
      <c r="E1111" s="105"/>
      <c r="F1111" s="105"/>
      <c r="G1111" s="105"/>
      <c r="H1111" s="105"/>
      <c r="I1111" s="105"/>
      <c r="J1111" s="105"/>
      <c r="K1111" s="105"/>
      <c r="L1111" s="105"/>
      <c r="M1111" s="105"/>
      <c r="N1111" s="105"/>
      <c r="O1111" s="106"/>
      <c r="P1111" s="106"/>
    </row>
    <row r="1112" customFormat="false" ht="15.75" hidden="false" customHeight="true" outlineLevel="0" collapsed="false">
      <c r="D1112" s="105"/>
      <c r="E1112" s="105"/>
      <c r="F1112" s="105"/>
      <c r="G1112" s="105"/>
      <c r="H1112" s="105"/>
      <c r="I1112" s="105"/>
      <c r="J1112" s="105"/>
      <c r="K1112" s="105"/>
      <c r="L1112" s="105"/>
      <c r="M1112" s="105"/>
      <c r="N1112" s="105"/>
      <c r="O1112" s="106"/>
      <c r="P1112" s="106"/>
    </row>
    <row r="1113" customFormat="false" ht="15.75" hidden="false" customHeight="true" outlineLevel="0" collapsed="false">
      <c r="D1113" s="105"/>
      <c r="E1113" s="105"/>
      <c r="F1113" s="105"/>
      <c r="G1113" s="105"/>
      <c r="H1113" s="105"/>
      <c r="I1113" s="105"/>
      <c r="J1113" s="105"/>
      <c r="K1113" s="105"/>
      <c r="L1113" s="105"/>
      <c r="M1113" s="105"/>
      <c r="N1113" s="105"/>
      <c r="O1113" s="106"/>
      <c r="P1113" s="106"/>
    </row>
    <row r="1114" customFormat="false" ht="15.75" hidden="false" customHeight="true" outlineLevel="0" collapsed="false">
      <c r="D1114" s="105"/>
      <c r="E1114" s="105"/>
      <c r="F1114" s="105"/>
      <c r="G1114" s="105"/>
      <c r="H1114" s="105"/>
      <c r="I1114" s="105"/>
      <c r="J1114" s="105"/>
      <c r="K1114" s="105"/>
      <c r="L1114" s="105"/>
      <c r="M1114" s="105"/>
      <c r="N1114" s="105"/>
      <c r="O1114" s="106"/>
      <c r="P1114" s="106"/>
    </row>
    <row r="1115" customFormat="false" ht="15.75" hidden="false" customHeight="true" outlineLevel="0" collapsed="false">
      <c r="D1115" s="105"/>
      <c r="E1115" s="105"/>
      <c r="F1115" s="105"/>
      <c r="G1115" s="105"/>
      <c r="H1115" s="105"/>
      <c r="I1115" s="105"/>
      <c r="J1115" s="105"/>
      <c r="K1115" s="105"/>
      <c r="L1115" s="105"/>
      <c r="M1115" s="105"/>
      <c r="N1115" s="105"/>
      <c r="O1115" s="106"/>
      <c r="P1115" s="106"/>
    </row>
    <row r="1116" customFormat="false" ht="15.75" hidden="false" customHeight="true" outlineLevel="0" collapsed="false">
      <c r="D1116" s="105"/>
      <c r="E1116" s="105"/>
      <c r="F1116" s="105"/>
      <c r="G1116" s="105"/>
      <c r="H1116" s="105"/>
      <c r="I1116" s="105"/>
      <c r="J1116" s="105"/>
      <c r="K1116" s="105"/>
      <c r="L1116" s="105"/>
      <c r="M1116" s="105"/>
      <c r="N1116" s="105"/>
      <c r="O1116" s="106"/>
      <c r="P1116" s="106"/>
    </row>
    <row r="1117" customFormat="false" ht="15.75" hidden="false" customHeight="true" outlineLevel="0" collapsed="false">
      <c r="D1117" s="105"/>
      <c r="E1117" s="105"/>
      <c r="F1117" s="105"/>
      <c r="G1117" s="105"/>
      <c r="H1117" s="105"/>
      <c r="I1117" s="105"/>
      <c r="J1117" s="105"/>
      <c r="K1117" s="105"/>
      <c r="L1117" s="105"/>
      <c r="M1117" s="105"/>
      <c r="N1117" s="105"/>
      <c r="O1117" s="106"/>
      <c r="P1117" s="106"/>
    </row>
    <row r="1118" customFormat="false" ht="15.75" hidden="false" customHeight="true" outlineLevel="0" collapsed="false">
      <c r="D1118" s="105"/>
      <c r="E1118" s="105"/>
      <c r="F1118" s="105"/>
      <c r="G1118" s="105"/>
      <c r="H1118" s="105"/>
      <c r="I1118" s="105"/>
      <c r="J1118" s="105"/>
      <c r="K1118" s="105"/>
      <c r="L1118" s="105"/>
      <c r="M1118" s="105"/>
      <c r="N1118" s="105"/>
      <c r="O1118" s="106"/>
      <c r="P1118" s="106"/>
    </row>
    <row r="1119" customFormat="false" ht="15.75" hidden="false" customHeight="true" outlineLevel="0" collapsed="false">
      <c r="D1119" s="105"/>
      <c r="E1119" s="105"/>
      <c r="F1119" s="105"/>
      <c r="G1119" s="105"/>
      <c r="H1119" s="105"/>
      <c r="I1119" s="105"/>
      <c r="J1119" s="105"/>
      <c r="K1119" s="105"/>
      <c r="L1119" s="105"/>
      <c r="M1119" s="105"/>
      <c r="N1119" s="105"/>
      <c r="O1119" s="106"/>
      <c r="P1119" s="106"/>
    </row>
    <row r="1120" customFormat="false" ht="15.75" hidden="false" customHeight="true" outlineLevel="0" collapsed="false">
      <c r="D1120" s="105"/>
      <c r="E1120" s="105"/>
      <c r="F1120" s="105"/>
      <c r="G1120" s="105"/>
      <c r="H1120" s="105"/>
      <c r="I1120" s="105"/>
      <c r="J1120" s="105"/>
      <c r="K1120" s="105"/>
      <c r="L1120" s="105"/>
      <c r="M1120" s="105"/>
      <c r="N1120" s="105"/>
      <c r="O1120" s="106"/>
      <c r="P1120" s="106"/>
    </row>
    <row r="1121" customFormat="false" ht="15.75" hidden="false" customHeight="true" outlineLevel="0" collapsed="false">
      <c r="D1121" s="105"/>
      <c r="E1121" s="105"/>
      <c r="F1121" s="105"/>
      <c r="G1121" s="105"/>
      <c r="H1121" s="105"/>
      <c r="I1121" s="105"/>
      <c r="J1121" s="105"/>
      <c r="K1121" s="105"/>
      <c r="L1121" s="105"/>
      <c r="M1121" s="105"/>
      <c r="N1121" s="105"/>
      <c r="O1121" s="106"/>
      <c r="P1121" s="106"/>
    </row>
    <row r="1122" customFormat="false" ht="15.75" hidden="false" customHeight="true" outlineLevel="0" collapsed="false">
      <c r="D1122" s="105"/>
      <c r="E1122" s="105"/>
      <c r="F1122" s="105"/>
      <c r="G1122" s="105"/>
      <c r="H1122" s="105"/>
      <c r="I1122" s="105"/>
      <c r="J1122" s="105"/>
      <c r="K1122" s="105"/>
      <c r="L1122" s="105"/>
      <c r="M1122" s="105"/>
      <c r="N1122" s="105"/>
      <c r="O1122" s="106"/>
      <c r="P1122" s="106"/>
    </row>
    <row r="1123" customFormat="false" ht="15.75" hidden="false" customHeight="true" outlineLevel="0" collapsed="false">
      <c r="D1123" s="105"/>
      <c r="E1123" s="105"/>
      <c r="F1123" s="105"/>
      <c r="G1123" s="105"/>
      <c r="H1123" s="105"/>
      <c r="I1123" s="105"/>
      <c r="J1123" s="105"/>
      <c r="K1123" s="105"/>
      <c r="L1123" s="105"/>
      <c r="M1123" s="105"/>
      <c r="N1123" s="105"/>
      <c r="O1123" s="106"/>
      <c r="P1123" s="106"/>
    </row>
    <row r="1124" customFormat="false" ht="15.75" hidden="false" customHeight="true" outlineLevel="0" collapsed="false">
      <c r="D1124" s="105"/>
      <c r="E1124" s="105"/>
      <c r="F1124" s="105"/>
      <c r="G1124" s="105"/>
      <c r="H1124" s="105"/>
      <c r="I1124" s="105"/>
      <c r="J1124" s="105"/>
      <c r="K1124" s="105"/>
      <c r="L1124" s="105"/>
      <c r="M1124" s="105"/>
      <c r="N1124" s="105"/>
      <c r="O1124" s="106"/>
      <c r="P1124" s="106"/>
    </row>
    <row r="1125" customFormat="false" ht="15.75" hidden="false" customHeight="true" outlineLevel="0" collapsed="false">
      <c r="D1125" s="105"/>
      <c r="E1125" s="105"/>
      <c r="F1125" s="105"/>
      <c r="G1125" s="105"/>
      <c r="H1125" s="105"/>
      <c r="I1125" s="105"/>
      <c r="J1125" s="105"/>
      <c r="K1125" s="105"/>
      <c r="L1125" s="105"/>
      <c r="M1125" s="105"/>
      <c r="N1125" s="105"/>
      <c r="O1125" s="106"/>
      <c r="P1125" s="106"/>
    </row>
    <row r="1126" customFormat="false" ht="15.75" hidden="false" customHeight="true" outlineLevel="0" collapsed="false">
      <c r="D1126" s="105"/>
      <c r="E1126" s="105"/>
      <c r="F1126" s="105"/>
      <c r="G1126" s="105"/>
      <c r="H1126" s="105"/>
      <c r="I1126" s="105"/>
      <c r="J1126" s="105"/>
      <c r="K1126" s="105"/>
      <c r="L1126" s="105"/>
      <c r="M1126" s="105"/>
      <c r="N1126" s="105"/>
      <c r="O1126" s="106"/>
      <c r="P1126" s="106"/>
    </row>
  </sheetData>
  <autoFilter ref="A3:AR250"/>
  <mergeCells count="46">
    <mergeCell ref="A1:A2"/>
    <mergeCell ref="B1:C1"/>
    <mergeCell ref="D1:F1"/>
    <mergeCell ref="G1:P1"/>
    <mergeCell ref="Q1:AG1"/>
    <mergeCell ref="AH1:AQ1"/>
    <mergeCell ref="B2:C2"/>
    <mergeCell ref="D2:E2"/>
    <mergeCell ref="G2:H2"/>
    <mergeCell ref="J2:L2"/>
    <mergeCell ref="M2:O2"/>
    <mergeCell ref="Q2:R2"/>
    <mergeCell ref="T2:V2"/>
    <mergeCell ref="W2:Y2"/>
    <mergeCell ref="AA2:AC2"/>
    <mergeCell ref="AD2:AF2"/>
    <mergeCell ref="AH2:AI2"/>
    <mergeCell ref="AK2:AM2"/>
    <mergeCell ref="AN2:AP2"/>
    <mergeCell ref="A4:A69"/>
    <mergeCell ref="A72:A76"/>
    <mergeCell ref="A77:A82"/>
    <mergeCell ref="A83:A84"/>
    <mergeCell ref="A85:A87"/>
    <mergeCell ref="A88:A91"/>
    <mergeCell ref="A92:A116"/>
    <mergeCell ref="A117:A121"/>
    <mergeCell ref="A124:A138"/>
    <mergeCell ref="A139:A147"/>
    <mergeCell ref="A150:A151"/>
    <mergeCell ref="A153:A154"/>
    <mergeCell ref="A156:A158"/>
    <mergeCell ref="A165:A166"/>
    <mergeCell ref="A168:A170"/>
    <mergeCell ref="A175:A179"/>
    <mergeCell ref="A182:A184"/>
    <mergeCell ref="A186:A187"/>
    <mergeCell ref="A188:A189"/>
    <mergeCell ref="A193:A194"/>
    <mergeCell ref="A195:A196"/>
    <mergeCell ref="A199:A226"/>
    <mergeCell ref="A227:A228"/>
    <mergeCell ref="A229:A230"/>
    <mergeCell ref="A238:A244"/>
    <mergeCell ref="A245:A248"/>
    <mergeCell ref="A249:A2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3.88"/>
    <col collapsed="false" customWidth="true" hidden="false" outlineLevel="0" max="2" min="2" style="1" width="29.38"/>
  </cols>
  <sheetData>
    <row r="1" customFormat="false" ht="15" hidden="false" customHeight="false" outlineLevel="0" collapsed="false">
      <c r="A1" s="102" t="s">
        <v>584</v>
      </c>
      <c r="B1" s="102" t="s">
        <v>585</v>
      </c>
      <c r="C1" s="102" t="s">
        <v>586</v>
      </c>
    </row>
    <row r="2" customFormat="false" ht="15" hidden="false" customHeight="false" outlineLevel="0" collapsed="false">
      <c r="A2" s="107" t="s">
        <v>587</v>
      </c>
      <c r="B2" s="102" t="n">
        <v>65</v>
      </c>
      <c r="C2" s="108" t="n">
        <f aca="false">COUNTIF('Paper - Table 2'!F$4:F$250, "Observed Flaky Test") / 247</f>
        <v>0.263157894736842</v>
      </c>
    </row>
    <row r="3" customFormat="false" ht="15" hidden="false" customHeight="false" outlineLevel="0" collapsed="false">
      <c r="A3" s="107" t="s">
        <v>588</v>
      </c>
      <c r="B3" s="102" t="n">
        <v>93</v>
      </c>
      <c r="C3" s="108" t="n">
        <f aca="false">COUNTIF('Paper - Table 2'!I$4:I$250, "Observed Flaky Test") / 247</f>
        <v>0.376518218623482</v>
      </c>
    </row>
    <row r="4" customFormat="false" ht="15" hidden="false" customHeight="false" outlineLevel="0" collapsed="false">
      <c r="A4" s="107" t="s">
        <v>4</v>
      </c>
      <c r="B4" s="102" t="n">
        <v>101</v>
      </c>
      <c r="C4" s="108" t="n">
        <f aca="false">COUNTIF('Paper - Table 2'!S$4:S$250, "Observed Flaky Test") / 247</f>
        <v>0.408906882591093</v>
      </c>
    </row>
    <row r="5" customFormat="false" ht="15" hidden="false" customHeight="false" outlineLevel="0" collapsed="false">
      <c r="A5" s="107" t="s">
        <v>589</v>
      </c>
      <c r="B5" s="102" t="n">
        <v>104</v>
      </c>
      <c r="C5" s="108" t="n">
        <f aca="false">COUNTIF('Paper - Table 2'!AJ$4:AJ$250, "Observed Flaky Test") / 247</f>
        <v>0.421052631578947</v>
      </c>
    </row>
    <row r="6" customFormat="false" ht="15" hidden="false" customHeight="false" outlineLevel="0" collapsed="false">
      <c r="A6" s="107"/>
      <c r="B6" s="102"/>
      <c r="C6" s="102"/>
    </row>
    <row r="7" customFormat="false" ht="15" hidden="false" customHeight="false" outlineLevel="0" collapsed="false">
      <c r="A7" s="102" t="s">
        <v>584</v>
      </c>
      <c r="B7" s="102" t="s">
        <v>590</v>
      </c>
      <c r="C7" s="102"/>
    </row>
    <row r="8" customFormat="false" ht="15" hidden="false" customHeight="false" outlineLevel="0" collapsed="false">
      <c r="A8" s="107" t="s">
        <v>587</v>
      </c>
      <c r="B8" s="102" t="n">
        <v>182</v>
      </c>
      <c r="C8" s="108" t="n">
        <f aca="false">COUNTIF('Paper - Table 2'!F$4:F$250, "Non-observed Flaky Test") / 247</f>
        <v>0.736842105263158</v>
      </c>
    </row>
    <row r="9" customFormat="false" ht="15" hidden="false" customHeight="false" outlineLevel="0" collapsed="false">
      <c r="A9" s="107" t="s">
        <v>588</v>
      </c>
      <c r="B9" s="102" t="n">
        <v>154</v>
      </c>
      <c r="C9" s="108" t="n">
        <f aca="false">COUNTIF('Paper - Table 2'!I$4:I$250, "Non-observed Flaky Test") / 247</f>
        <v>0.623481781376518</v>
      </c>
    </row>
    <row r="10" customFormat="false" ht="15" hidden="false" customHeight="false" outlineLevel="0" collapsed="false">
      <c r="A10" s="107" t="s">
        <v>4</v>
      </c>
      <c r="B10" s="102" t="n">
        <v>146</v>
      </c>
      <c r="C10" s="108" t="n">
        <f aca="false">COUNTIF('Paper - Table 2'!S$4:S$250, "Non-observed Flaky Test") / 247</f>
        <v>0.591093117408907</v>
      </c>
    </row>
    <row r="11" customFormat="false" ht="15" hidden="false" customHeight="false" outlineLevel="0" collapsed="false">
      <c r="A11" s="107" t="s">
        <v>589</v>
      </c>
      <c r="B11" s="102" t="n">
        <v>143</v>
      </c>
      <c r="C11" s="108" t="n">
        <f aca="false">COUNTIF('Paper - Table 2'!AJ$4:AJ$250, "Non-observed Flaky Test") / 247</f>
        <v>0.578947368421053</v>
      </c>
    </row>
    <row r="12" customFormat="false" ht="15" hidden="false" customHeight="false" outlineLevel="0" collapsed="false">
      <c r="A12" s="107"/>
      <c r="B12" s="102"/>
      <c r="C12" s="102"/>
    </row>
    <row r="13" customFormat="false" ht="15" hidden="false" customHeight="false" outlineLevel="0" collapsed="false">
      <c r="A13" s="102" t="s">
        <v>591</v>
      </c>
      <c r="B13" s="102" t="s">
        <v>592</v>
      </c>
      <c r="C13" s="102"/>
    </row>
    <row r="14" customFormat="false" ht="15" hidden="false" customHeight="false" outlineLevel="0" collapsed="false">
      <c r="A14" s="107" t="s">
        <v>585</v>
      </c>
      <c r="B14" s="102" t="n">
        <v>129</v>
      </c>
      <c r="C14" s="108" t="n">
        <f aca="false">COUNTIF('Paper - Table 2'!AR$4:AR$250, "Observed Flaky Test") / 247</f>
        <v>0.522267206477733</v>
      </c>
    </row>
    <row r="15" customFormat="false" ht="26.85" hidden="false" customHeight="false" outlineLevel="0" collapsed="false">
      <c r="A15" s="107" t="s">
        <v>590</v>
      </c>
      <c r="B15" s="102" t="n">
        <v>118</v>
      </c>
      <c r="C15" s="108" t="n">
        <f aca="false">COUNTIF('Paper - Table 2'!AR$4:AR$250, "Non-observed Flaky Test") / 247</f>
        <v>0.477732793522267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2026-10-08T15:39:33Z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